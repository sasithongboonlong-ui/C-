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1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2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4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6.xml" ContentType="application/vnd.openxmlformats-officedocument.drawingml.chartshape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7.xml" ContentType="application/vnd.openxmlformats-officedocument.drawingml.chartshape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8.xml" ContentType="application/vnd.openxmlformats-officedocument.drawingml.chartshape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9.xml" ContentType="application/vnd.openxmlformats-officedocument.drawingml.chartshapes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0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1.xml" ContentType="application/vnd.openxmlformats-officedocument.drawingml.chartshapes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2.xml" ContentType="application/vnd.openxmlformats-officedocument.drawingml.chartshapes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3.xml" ContentType="application/vnd.openxmlformats-officedocument.drawingml.chartshapes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24.xml" ContentType="application/vnd.openxmlformats-officedocument.drawingml.chartshapes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25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6.xml" ContentType="application/vnd.openxmlformats-officedocument.drawingml.chartshapes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27.xml" ContentType="application/vnd.openxmlformats-officedocument.drawingml.chartshapes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28.xml" ContentType="application/vnd.openxmlformats-officedocument.drawingml.chartshapes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29.xml" ContentType="application/vnd.openxmlformats-officedocument.drawingml.chartshapes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sasithbo\Downloads\"/>
    </mc:Choice>
  </mc:AlternateContent>
  <xr:revisionPtr revIDLastSave="0" documentId="13_ncr:1_{08A65C85-A808-4AA4-A773-9C1A6ECE6D4E}" xr6:coauthVersionLast="36" xr6:coauthVersionMax="47" xr10:uidLastSave="{00000000-0000-0000-0000-000000000000}"/>
  <bookViews>
    <workbookView xWindow="0" yWindow="0" windowWidth="20490" windowHeight="6950" tabRatio="853" xr2:uid="{69190C8F-3F08-43DC-93C8-A51D8A573ABC}"/>
  </bookViews>
  <sheets>
    <sheet name="Production" sheetId="1" r:id="rId1"/>
    <sheet name="Water withdrawal" sheetId="3" r:id="rId2"/>
    <sheet name="Hz waste gen" sheetId="4" r:id="rId3"/>
    <sheet name="Waste disposal" sheetId="6" r:id="rId4"/>
    <sheet name="TSP" sheetId="12" r:id="rId5"/>
    <sheet name="Non-hz waste gen" sheetId="5" r:id="rId6"/>
    <sheet name="NOx" sheetId="7" r:id="rId7"/>
    <sheet name="SOx" sheetId="8" r:id="rId8"/>
    <sheet name="VOCs" sheetId="13" r:id="rId9"/>
    <sheet name="Dashboard" sheetId="11" r:id="rId10"/>
    <sheet name="Target" sheetId="14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Print_Area" localSheetId="0">Production!$A$1:$AL$37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" i="1" l="1"/>
  <c r="E3" i="1"/>
  <c r="R3" i="1" l="1"/>
  <c r="K29" i="1"/>
  <c r="H20" i="3"/>
  <c r="I10" i="5"/>
  <c r="G86" i="3" l="1"/>
  <c r="H85" i="3"/>
  <c r="G85" i="3"/>
  <c r="F6" i="14"/>
  <c r="G33" i="12" l="1"/>
  <c r="G19" i="1" l="1"/>
  <c r="J19" i="1"/>
  <c r="C31" i="14" l="1"/>
  <c r="C30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C29" i="13"/>
  <c r="E34" i="5"/>
  <c r="E32" i="5"/>
  <c r="E41" i="5" s="1"/>
  <c r="W37" i="4"/>
  <c r="X37" i="4"/>
  <c r="Y37" i="4"/>
  <c r="E33" i="3"/>
  <c r="D16" i="13"/>
  <c r="E16" i="13"/>
  <c r="F16" i="13"/>
  <c r="G16" i="13"/>
  <c r="H16" i="13"/>
  <c r="I16" i="13"/>
  <c r="J16" i="13"/>
  <c r="K16" i="13"/>
  <c r="L16" i="13"/>
  <c r="M16" i="13"/>
  <c r="N16" i="13"/>
  <c r="C16" i="13"/>
  <c r="D15" i="13"/>
  <c r="E15" i="13"/>
  <c r="F15" i="13"/>
  <c r="G15" i="13"/>
  <c r="H15" i="13"/>
  <c r="I15" i="13"/>
  <c r="J15" i="13"/>
  <c r="K15" i="13"/>
  <c r="L15" i="13"/>
  <c r="M15" i="13"/>
  <c r="N15" i="13"/>
  <c r="C15" i="13"/>
  <c r="E33" i="6"/>
  <c r="F25" i="1"/>
  <c r="F3" i="4" l="1"/>
  <c r="E29" i="1"/>
  <c r="Z29" i="1" s="1"/>
  <c r="E33" i="4"/>
  <c r="E73" i="3" l="1"/>
  <c r="E74" i="5"/>
  <c r="E75" i="6"/>
  <c r="E74" i="4"/>
  <c r="W29" i="14"/>
  <c r="D33" i="11"/>
  <c r="D32" i="11"/>
  <c r="D31" i="11"/>
  <c r="D29" i="11"/>
  <c r="D28" i="11"/>
  <c r="D27" i="11"/>
  <c r="D22" i="11"/>
  <c r="D21" i="11"/>
  <c r="D20" i="11"/>
  <c r="B75" i="12"/>
  <c r="D30" i="11" s="1"/>
  <c r="D18" i="11"/>
  <c r="D17" i="11"/>
  <c r="D16" i="11"/>
  <c r="D8" i="11"/>
  <c r="D11" i="11"/>
  <c r="D10" i="11"/>
  <c r="D7" i="11"/>
  <c r="D9" i="11"/>
  <c r="D6" i="11"/>
  <c r="D5" i="11"/>
  <c r="S28" i="14"/>
  <c r="S31" i="14"/>
  <c r="S12" i="14"/>
  <c r="Y29" i="14"/>
  <c r="Z22" i="14"/>
  <c r="Z21" i="14"/>
  <c r="Z35" i="14" s="1"/>
  <c r="Z17" i="14"/>
  <c r="Z3" i="14"/>
  <c r="Z2" i="14"/>
  <c r="Z34" i="14" s="1"/>
  <c r="W17" i="14"/>
  <c r="W6" i="14"/>
  <c r="W22" i="14"/>
  <c r="W21" i="14"/>
  <c r="W35" i="14" s="1"/>
  <c r="W18" i="14"/>
  <c r="W15" i="14"/>
  <c r="W11" i="14"/>
  <c r="W5" i="14"/>
  <c r="T14" i="14"/>
  <c r="T3" i="14"/>
  <c r="T5" i="14"/>
  <c r="T6" i="14"/>
  <c r="T7" i="14"/>
  <c r="T8" i="14"/>
  <c r="T9" i="14"/>
  <c r="T10" i="14"/>
  <c r="T11" i="14"/>
  <c r="T15" i="14"/>
  <c r="T16" i="14"/>
  <c r="T17" i="14"/>
  <c r="T18" i="14"/>
  <c r="T20" i="14"/>
  <c r="T21" i="14"/>
  <c r="T22" i="14"/>
  <c r="T23" i="14"/>
  <c r="T24" i="14"/>
  <c r="T25" i="14"/>
  <c r="T26" i="14"/>
  <c r="T27" i="14"/>
  <c r="T29" i="14"/>
  <c r="T30" i="14"/>
  <c r="T32" i="14"/>
  <c r="T2" i="14"/>
  <c r="T4" i="14" s="1"/>
  <c r="T34" i="14" s="1"/>
  <c r="Q19" i="14"/>
  <c r="Q13" i="14"/>
  <c r="Q18" i="14"/>
  <c r="Q15" i="14"/>
  <c r="Q11" i="14"/>
  <c r="Q5" i="14"/>
  <c r="Q6" i="14"/>
  <c r="N35" i="14"/>
  <c r="N4" i="14"/>
  <c r="N34" i="14"/>
  <c r="N36" i="14" s="1"/>
  <c r="B41" i="12"/>
  <c r="B74" i="12" s="1"/>
  <c r="D19" i="11" s="1"/>
  <c r="S19" i="11" s="1"/>
  <c r="L32" i="14"/>
  <c r="L30" i="14"/>
  <c r="L29" i="14"/>
  <c r="L28" i="14"/>
  <c r="L27" i="14"/>
  <c r="L26" i="14"/>
  <c r="L25" i="14"/>
  <c r="L24" i="14"/>
  <c r="L23" i="14"/>
  <c r="L22" i="14"/>
  <c r="L21" i="14"/>
  <c r="L20" i="14"/>
  <c r="L15" i="14"/>
  <c r="L16" i="14"/>
  <c r="L17" i="14"/>
  <c r="L18" i="14"/>
  <c r="L14" i="14"/>
  <c r="L3" i="14"/>
  <c r="L5" i="14"/>
  <c r="L6" i="14"/>
  <c r="L7" i="14"/>
  <c r="L8" i="14"/>
  <c r="L9" i="14"/>
  <c r="L10" i="14"/>
  <c r="L11" i="14"/>
  <c r="L12" i="14"/>
  <c r="L2" i="14"/>
  <c r="L19" i="14"/>
  <c r="L13" i="14"/>
  <c r="I19" i="14"/>
  <c r="J19" i="14" s="1"/>
  <c r="I13" i="14"/>
  <c r="J13" i="14" s="1"/>
  <c r="I3" i="14"/>
  <c r="I5" i="14"/>
  <c r="I6" i="14"/>
  <c r="I7" i="14"/>
  <c r="I8" i="14"/>
  <c r="I9" i="14"/>
  <c r="I10" i="14"/>
  <c r="I11" i="14"/>
  <c r="I12" i="14"/>
  <c r="I14" i="14"/>
  <c r="I15" i="14"/>
  <c r="I16" i="14"/>
  <c r="I17" i="14"/>
  <c r="I18" i="14"/>
  <c r="I20" i="14"/>
  <c r="I21" i="14"/>
  <c r="I22" i="14"/>
  <c r="I23" i="14"/>
  <c r="I24" i="14"/>
  <c r="I25" i="14"/>
  <c r="I26" i="14"/>
  <c r="I27" i="14"/>
  <c r="I28" i="14"/>
  <c r="I29" i="14"/>
  <c r="I30" i="14"/>
  <c r="I32" i="14"/>
  <c r="I2" i="14"/>
  <c r="F19" i="14"/>
  <c r="F13" i="14"/>
  <c r="F3" i="14"/>
  <c r="F5" i="14"/>
  <c r="F7" i="14"/>
  <c r="F8" i="14"/>
  <c r="F9" i="14"/>
  <c r="F10" i="14"/>
  <c r="F11" i="14"/>
  <c r="F12" i="14"/>
  <c r="F14" i="14"/>
  <c r="F15" i="14"/>
  <c r="F16" i="14"/>
  <c r="F17" i="14"/>
  <c r="F18" i="14"/>
  <c r="F20" i="14"/>
  <c r="F21" i="14"/>
  <c r="F22" i="14"/>
  <c r="F23" i="14"/>
  <c r="F24" i="14"/>
  <c r="F25" i="14"/>
  <c r="F26" i="14"/>
  <c r="F27" i="14"/>
  <c r="F28" i="14"/>
  <c r="F29" i="14"/>
  <c r="F30" i="14"/>
  <c r="F32" i="14"/>
  <c r="F2" i="14"/>
  <c r="C35" i="14"/>
  <c r="C4" i="14"/>
  <c r="Q4" i="14" l="1"/>
  <c r="Q34" i="14" s="1"/>
  <c r="W4" i="14"/>
  <c r="W34" i="14" s="1"/>
  <c r="V35" i="14"/>
  <c r="Z36" i="14"/>
  <c r="Y35" i="14"/>
  <c r="W36" i="14"/>
  <c r="T35" i="14"/>
  <c r="S35" i="14" s="1"/>
  <c r="T36" i="14"/>
  <c r="L31" i="14"/>
  <c r="Q31" i="14"/>
  <c r="Q35" i="14" s="1"/>
  <c r="I4" i="14"/>
  <c r="I34" i="14" s="1"/>
  <c r="L4" i="14"/>
  <c r="L34" i="14" s="1"/>
  <c r="L35" i="14"/>
  <c r="K35" i="14" s="1"/>
  <c r="F31" i="14"/>
  <c r="F35" i="14" s="1"/>
  <c r="E35" i="14" s="1"/>
  <c r="I31" i="14"/>
  <c r="I35" i="14"/>
  <c r="H35" i="14" s="1"/>
  <c r="C34" i="14"/>
  <c r="F4" i="14"/>
  <c r="F34" i="14" s="1"/>
  <c r="Y34" i="14" l="1"/>
  <c r="V34" i="14"/>
  <c r="P34" i="14"/>
  <c r="S34" i="14"/>
  <c r="P35" i="14"/>
  <c r="Q36" i="14"/>
  <c r="L36" i="14"/>
  <c r="K34" i="14"/>
  <c r="H34" i="14"/>
  <c r="C36" i="14"/>
  <c r="I36" i="14"/>
  <c r="H36" i="14" s="1"/>
  <c r="E34" i="14"/>
  <c r="F36" i="14"/>
  <c r="E36" i="14" s="1"/>
  <c r="E56" i="5"/>
  <c r="V36" i="14" l="1"/>
  <c r="Y36" i="14"/>
  <c r="Q37" i="14"/>
  <c r="S36" i="14"/>
  <c r="P36" i="14"/>
  <c r="L37" i="14"/>
  <c r="I37" i="14"/>
  <c r="K36" i="14"/>
  <c r="F37" i="14"/>
  <c r="P31" i="8" l="1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P8" i="8"/>
  <c r="P7" i="8"/>
  <c r="P6" i="8"/>
  <c r="P4" i="8"/>
  <c r="P3" i="8"/>
  <c r="O31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4" i="8"/>
  <c r="O3" i="8"/>
  <c r="N31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6" i="8"/>
  <c r="N4" i="8"/>
  <c r="N3" i="8"/>
  <c r="M31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4" i="8"/>
  <c r="M3" i="8"/>
  <c r="L31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4" i="8"/>
  <c r="L3" i="8"/>
  <c r="K31" i="8"/>
  <c r="K29" i="8"/>
  <c r="K28" i="8"/>
  <c r="K27" i="8"/>
  <c r="K26" i="8"/>
  <c r="K24" i="8"/>
  <c r="K25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4" i="8"/>
  <c r="K3" i="8"/>
  <c r="J3" i="8"/>
  <c r="J4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1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4" i="8"/>
  <c r="I3" i="8"/>
  <c r="H31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4" i="8"/>
  <c r="H3" i="8"/>
  <c r="G3" i="8"/>
  <c r="G4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F16" i="8"/>
  <c r="F15" i="8"/>
  <c r="G21" i="8"/>
  <c r="G22" i="8"/>
  <c r="G23" i="8"/>
  <c r="G24" i="8"/>
  <c r="G25" i="8"/>
  <c r="G26" i="8"/>
  <c r="G27" i="8"/>
  <c r="G28" i="8"/>
  <c r="G29" i="8"/>
  <c r="G31" i="8"/>
  <c r="E3" i="8"/>
  <c r="E4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1" i="8"/>
  <c r="P32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4" i="7"/>
  <c r="P3" i="7"/>
  <c r="O4" i="7"/>
  <c r="O3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2" i="7"/>
  <c r="N32" i="7"/>
  <c r="N30" i="7"/>
  <c r="U30" i="7" s="1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4" i="7"/>
  <c r="N3" i="7"/>
  <c r="M3" i="7"/>
  <c r="M4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2" i="7"/>
  <c r="L32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4" i="7"/>
  <c r="L3" i="7"/>
  <c r="K32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4" i="7"/>
  <c r="K3" i="7"/>
  <c r="J32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4" i="7"/>
  <c r="J3" i="7"/>
  <c r="I32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4" i="7"/>
  <c r="I3" i="7"/>
  <c r="H32" i="7"/>
  <c r="H30" i="7"/>
  <c r="S30" i="7" s="1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4" i="7"/>
  <c r="H3" i="7"/>
  <c r="G32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4" i="7"/>
  <c r="G3" i="7"/>
  <c r="E12" i="7"/>
  <c r="E32" i="7"/>
  <c r="E73" i="7" s="1"/>
  <c r="E30" i="7"/>
  <c r="E29" i="7"/>
  <c r="E28" i="7"/>
  <c r="E27" i="7"/>
  <c r="E26" i="7"/>
  <c r="E25" i="7"/>
  <c r="E24" i="7"/>
  <c r="E23" i="7"/>
  <c r="E19" i="7"/>
  <c r="E22" i="7"/>
  <c r="E21" i="7"/>
  <c r="E20" i="7"/>
  <c r="E18" i="7"/>
  <c r="E17" i="7"/>
  <c r="E16" i="7"/>
  <c r="E15" i="7"/>
  <c r="E14" i="7"/>
  <c r="E13" i="7"/>
  <c r="E11" i="7"/>
  <c r="E10" i="7"/>
  <c r="E9" i="7"/>
  <c r="E8" i="7"/>
  <c r="E7" i="7"/>
  <c r="E6" i="7"/>
  <c r="E4" i="7"/>
  <c r="E3" i="7"/>
  <c r="P33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4" i="5"/>
  <c r="P3" i="5"/>
  <c r="O33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4" i="5"/>
  <c r="O3" i="5"/>
  <c r="N33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4" i="5"/>
  <c r="N3" i="5"/>
  <c r="M33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4" i="5"/>
  <c r="M3" i="5"/>
  <c r="L33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4" i="5"/>
  <c r="L3" i="5"/>
  <c r="K33" i="5"/>
  <c r="K31" i="5"/>
  <c r="K30" i="5"/>
  <c r="K32" i="5" s="1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4" i="5"/>
  <c r="K3" i="5"/>
  <c r="J33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4" i="5"/>
  <c r="J3" i="5"/>
  <c r="I33" i="5"/>
  <c r="I31" i="5"/>
  <c r="I30" i="5"/>
  <c r="I32" i="5" s="1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9" i="5"/>
  <c r="I8" i="5"/>
  <c r="I7" i="5"/>
  <c r="I6" i="5"/>
  <c r="I4" i="5"/>
  <c r="I3" i="5"/>
  <c r="H33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4" i="5"/>
  <c r="H3" i="5"/>
  <c r="G33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4" i="5"/>
  <c r="G3" i="5"/>
  <c r="O33" i="12"/>
  <c r="O32" i="12"/>
  <c r="O31" i="12"/>
  <c r="O30" i="12"/>
  <c r="O29" i="12"/>
  <c r="O28" i="12"/>
  <c r="O47" i="12" s="1"/>
  <c r="O27" i="12"/>
  <c r="O26" i="12"/>
  <c r="O25" i="12"/>
  <c r="O24" i="12"/>
  <c r="O23" i="12"/>
  <c r="O22" i="12"/>
  <c r="O21" i="12"/>
  <c r="N33" i="12"/>
  <c r="N32" i="12"/>
  <c r="N31" i="12"/>
  <c r="N30" i="12"/>
  <c r="N29" i="12"/>
  <c r="N28" i="12"/>
  <c r="N47" i="12" s="1"/>
  <c r="N27" i="12"/>
  <c r="N26" i="12"/>
  <c r="N25" i="12"/>
  <c r="N24" i="12"/>
  <c r="N23" i="12"/>
  <c r="N22" i="12"/>
  <c r="N21" i="12"/>
  <c r="M33" i="12"/>
  <c r="M32" i="12"/>
  <c r="M31" i="12"/>
  <c r="M30" i="12"/>
  <c r="M29" i="12"/>
  <c r="M28" i="12"/>
  <c r="M47" i="12" s="1"/>
  <c r="M27" i="12"/>
  <c r="M26" i="12"/>
  <c r="M25" i="12"/>
  <c r="M24" i="12"/>
  <c r="M23" i="12"/>
  <c r="M22" i="12"/>
  <c r="M21" i="12"/>
  <c r="L33" i="12"/>
  <c r="L32" i="12"/>
  <c r="L31" i="12"/>
  <c r="L30" i="12"/>
  <c r="L29" i="12"/>
  <c r="L28" i="12"/>
  <c r="L47" i="12" s="1"/>
  <c r="L27" i="12"/>
  <c r="L26" i="12"/>
  <c r="L25" i="12"/>
  <c r="L24" i="12"/>
  <c r="L23" i="12"/>
  <c r="L22" i="12"/>
  <c r="L21" i="12"/>
  <c r="K33" i="12"/>
  <c r="K32" i="12"/>
  <c r="K31" i="12"/>
  <c r="K30" i="12"/>
  <c r="K29" i="12"/>
  <c r="K28" i="12"/>
  <c r="K47" i="12" s="1"/>
  <c r="K27" i="12"/>
  <c r="K26" i="12"/>
  <c r="K25" i="12"/>
  <c r="K24" i="12"/>
  <c r="K23" i="12"/>
  <c r="K22" i="12"/>
  <c r="K21" i="12"/>
  <c r="J33" i="12"/>
  <c r="J32" i="12"/>
  <c r="J31" i="12"/>
  <c r="J30" i="12"/>
  <c r="J29" i="12"/>
  <c r="J28" i="12"/>
  <c r="J47" i="12" s="1"/>
  <c r="J27" i="12"/>
  <c r="J26" i="12"/>
  <c r="J25" i="12"/>
  <c r="J24" i="12"/>
  <c r="J23" i="12"/>
  <c r="J22" i="12"/>
  <c r="J21" i="12"/>
  <c r="I33" i="12"/>
  <c r="I32" i="12"/>
  <c r="I31" i="12"/>
  <c r="I30" i="12"/>
  <c r="I29" i="12"/>
  <c r="I28" i="12"/>
  <c r="I47" i="12" s="1"/>
  <c r="I27" i="12"/>
  <c r="I26" i="12"/>
  <c r="I25" i="12"/>
  <c r="I24" i="12"/>
  <c r="I23" i="12"/>
  <c r="I22" i="12"/>
  <c r="I21" i="12"/>
  <c r="H33" i="12"/>
  <c r="H32" i="12"/>
  <c r="H31" i="12"/>
  <c r="H30" i="12"/>
  <c r="H29" i="12"/>
  <c r="H28" i="12"/>
  <c r="H47" i="12" s="1"/>
  <c r="H27" i="12"/>
  <c r="H26" i="12"/>
  <c r="H25" i="12"/>
  <c r="H24" i="12"/>
  <c r="H23" i="12"/>
  <c r="H22" i="12"/>
  <c r="H21" i="12"/>
  <c r="G32" i="12"/>
  <c r="G31" i="12"/>
  <c r="G30" i="12"/>
  <c r="G29" i="12"/>
  <c r="G28" i="12"/>
  <c r="G47" i="12" s="1"/>
  <c r="G27" i="12"/>
  <c r="G26" i="12"/>
  <c r="G25" i="12"/>
  <c r="G24" i="12"/>
  <c r="G23" i="12"/>
  <c r="G22" i="12"/>
  <c r="G21" i="12"/>
  <c r="F33" i="12"/>
  <c r="F32" i="12"/>
  <c r="F31" i="12"/>
  <c r="F30" i="12"/>
  <c r="F29" i="12"/>
  <c r="F28" i="12"/>
  <c r="F47" i="12" s="1"/>
  <c r="F27" i="12"/>
  <c r="F26" i="12"/>
  <c r="F25" i="12"/>
  <c r="F24" i="12"/>
  <c r="F23" i="12"/>
  <c r="F22" i="12"/>
  <c r="F21" i="12"/>
  <c r="P33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4" i="6"/>
  <c r="P3" i="6"/>
  <c r="O33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4" i="6"/>
  <c r="O3" i="6"/>
  <c r="N33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4" i="6"/>
  <c r="N3" i="6"/>
  <c r="M33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4" i="6"/>
  <c r="M3" i="6"/>
  <c r="L33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4" i="6"/>
  <c r="L3" i="6"/>
  <c r="K33" i="6"/>
  <c r="K31" i="6"/>
  <c r="K30" i="6"/>
  <c r="K32" i="6" s="1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4" i="6"/>
  <c r="K3" i="6"/>
  <c r="J33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4" i="6"/>
  <c r="J3" i="6"/>
  <c r="I33" i="6"/>
  <c r="I31" i="6"/>
  <c r="I30" i="6"/>
  <c r="I32" i="6" s="1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4" i="6"/>
  <c r="I3" i="6"/>
  <c r="E28" i="12"/>
  <c r="E47" i="12" s="1"/>
  <c r="M34" i="5" l="1"/>
  <c r="H30" i="8"/>
  <c r="H38" i="8" s="1"/>
  <c r="L30" i="8"/>
  <c r="L38" i="8" s="1"/>
  <c r="P5" i="8"/>
  <c r="I30" i="8"/>
  <c r="I38" i="8" s="1"/>
  <c r="M30" i="8"/>
  <c r="M38" i="8" s="1"/>
  <c r="G33" i="7"/>
  <c r="G32" i="5"/>
  <c r="G41" i="5" s="1"/>
  <c r="J33" i="7"/>
  <c r="M34" i="6"/>
  <c r="P33" i="7"/>
  <c r="K34" i="6"/>
  <c r="K34" i="5"/>
  <c r="K30" i="8"/>
  <c r="O30" i="8"/>
  <c r="O38" i="8" s="1"/>
  <c r="O32" i="6"/>
  <c r="O41" i="6" s="1"/>
  <c r="O32" i="5"/>
  <c r="O41" i="5" s="1"/>
  <c r="P30" i="8"/>
  <c r="P38" i="8" s="1"/>
  <c r="P32" i="6"/>
  <c r="P41" i="6" s="1"/>
  <c r="P32" i="5"/>
  <c r="P41" i="5" s="1"/>
  <c r="K41" i="6"/>
  <c r="N32" i="6"/>
  <c r="P34" i="6"/>
  <c r="N32" i="5"/>
  <c r="N41" i="5" s="1"/>
  <c r="P34" i="5"/>
  <c r="S32" i="7"/>
  <c r="U32" i="7"/>
  <c r="N30" i="8"/>
  <c r="N38" i="8" s="1"/>
  <c r="I34" i="6"/>
  <c r="I41" i="6"/>
  <c r="L32" i="6"/>
  <c r="N34" i="6"/>
  <c r="L32" i="5"/>
  <c r="L41" i="5" s="1"/>
  <c r="J32" i="6"/>
  <c r="J41" i="6" s="1"/>
  <c r="L34" i="6"/>
  <c r="J32" i="5"/>
  <c r="J41" i="5" s="1"/>
  <c r="E33" i="7"/>
  <c r="J34" i="6"/>
  <c r="M32" i="6"/>
  <c r="M41" i="6" s="1"/>
  <c r="O34" i="6"/>
  <c r="G30" i="8"/>
  <c r="G38" i="8" s="1"/>
  <c r="H32" i="8"/>
  <c r="J32" i="8"/>
  <c r="L32" i="8"/>
  <c r="P32" i="8"/>
  <c r="E30" i="8"/>
  <c r="W12" i="8"/>
  <c r="T12" i="8"/>
  <c r="G32" i="8"/>
  <c r="I32" i="8"/>
  <c r="M32" i="8"/>
  <c r="S12" i="8"/>
  <c r="J30" i="8"/>
  <c r="J38" i="8" s="1"/>
  <c r="U31" i="8"/>
  <c r="E32" i="8"/>
  <c r="K32" i="8"/>
  <c r="O32" i="8"/>
  <c r="N32" i="8"/>
  <c r="W31" i="8"/>
  <c r="T31" i="8"/>
  <c r="S31" i="8"/>
  <c r="U12" i="8"/>
  <c r="O33" i="7"/>
  <c r="K33" i="7"/>
  <c r="I31" i="7"/>
  <c r="I39" i="7" s="1"/>
  <c r="L31" i="7"/>
  <c r="L39" i="7" s="1"/>
  <c r="N33" i="7"/>
  <c r="M33" i="7"/>
  <c r="I33" i="7"/>
  <c r="L33" i="7"/>
  <c r="H33" i="7"/>
  <c r="S28" i="7"/>
  <c r="U28" i="7"/>
  <c r="G31" i="7"/>
  <c r="G39" i="7" s="1"/>
  <c r="J31" i="7"/>
  <c r="J39" i="7" s="1"/>
  <c r="P31" i="7"/>
  <c r="P39" i="7" s="1"/>
  <c r="W30" i="7"/>
  <c r="T30" i="7"/>
  <c r="S24" i="7"/>
  <c r="W24" i="7"/>
  <c r="W28" i="7"/>
  <c r="T28" i="7"/>
  <c r="H31" i="7"/>
  <c r="H39" i="7" s="1"/>
  <c r="S29" i="7"/>
  <c r="T29" i="7"/>
  <c r="K31" i="7"/>
  <c r="K39" i="7" s="1"/>
  <c r="W29" i="7"/>
  <c r="U29" i="7"/>
  <c r="N31" i="7"/>
  <c r="N39" i="7" s="1"/>
  <c r="W32" i="7"/>
  <c r="T32" i="7"/>
  <c r="E31" i="7"/>
  <c r="E39" i="7" s="1"/>
  <c r="O31" i="7"/>
  <c r="O39" i="7" s="1"/>
  <c r="S25" i="7"/>
  <c r="W25" i="7"/>
  <c r="T25" i="7"/>
  <c r="U25" i="7"/>
  <c r="S26" i="7"/>
  <c r="W26" i="7"/>
  <c r="T26" i="7"/>
  <c r="M31" i="7"/>
  <c r="M39" i="7" s="1"/>
  <c r="U26" i="7"/>
  <c r="S27" i="7"/>
  <c r="T27" i="7"/>
  <c r="W27" i="7"/>
  <c r="U27" i="7"/>
  <c r="I41" i="5"/>
  <c r="N34" i="5"/>
  <c r="U33" i="5"/>
  <c r="G34" i="5"/>
  <c r="K41" i="5"/>
  <c r="I34" i="5"/>
  <c r="L34" i="5"/>
  <c r="J34" i="5"/>
  <c r="S31" i="5"/>
  <c r="M32" i="5"/>
  <c r="O34" i="5"/>
  <c r="H34" i="5"/>
  <c r="H32" i="5"/>
  <c r="W31" i="6"/>
  <c r="T31" i="6"/>
  <c r="U31" i="6"/>
  <c r="J5" i="8"/>
  <c r="M5" i="5"/>
  <c r="K5" i="8"/>
  <c r="H5" i="8"/>
  <c r="L5" i="8"/>
  <c r="L5" i="6"/>
  <c r="P5" i="6"/>
  <c r="N5" i="6"/>
  <c r="G5" i="5"/>
  <c r="O5" i="5"/>
  <c r="G5" i="8"/>
  <c r="I5" i="6"/>
  <c r="H5" i="7"/>
  <c r="L5" i="5"/>
  <c r="T3" i="7"/>
  <c r="J5" i="6"/>
  <c r="M5" i="6"/>
  <c r="N5" i="5"/>
  <c r="N5" i="7"/>
  <c r="M34" i="12"/>
  <c r="J5" i="7"/>
  <c r="I5" i="5"/>
  <c r="K5" i="7"/>
  <c r="F34" i="12"/>
  <c r="F35" i="12" s="1"/>
  <c r="E5" i="8"/>
  <c r="I34" i="12"/>
  <c r="J5" i="5"/>
  <c r="E5" i="7"/>
  <c r="I5" i="7"/>
  <c r="I5" i="8"/>
  <c r="P5" i="5"/>
  <c r="O5" i="8"/>
  <c r="P5" i="7"/>
  <c r="O5" i="7"/>
  <c r="N5" i="8"/>
  <c r="M5" i="8"/>
  <c r="M5" i="7"/>
  <c r="L5" i="7"/>
  <c r="G5" i="7"/>
  <c r="K5" i="5"/>
  <c r="H5" i="5"/>
  <c r="O5" i="6"/>
  <c r="K5" i="6"/>
  <c r="H33" i="6"/>
  <c r="H31" i="6"/>
  <c r="S31" i="6" s="1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4" i="6"/>
  <c r="H3" i="6"/>
  <c r="G33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4" i="6"/>
  <c r="E3" i="6"/>
  <c r="P33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4" i="4"/>
  <c r="P3" i="4"/>
  <c r="O33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4" i="4"/>
  <c r="O3" i="4"/>
  <c r="N33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4" i="4"/>
  <c r="N3" i="4"/>
  <c r="M33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4" i="4"/>
  <c r="M3" i="4"/>
  <c r="L33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4" i="4"/>
  <c r="L3" i="4"/>
  <c r="K33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5" i="4"/>
  <c r="K16" i="4"/>
  <c r="K14" i="4"/>
  <c r="K13" i="4"/>
  <c r="K12" i="4"/>
  <c r="K11" i="4"/>
  <c r="K10" i="4"/>
  <c r="K9" i="4"/>
  <c r="K8" i="4"/>
  <c r="K7" i="4"/>
  <c r="K6" i="4"/>
  <c r="K4" i="4"/>
  <c r="K3" i="4"/>
  <c r="J33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4" i="4"/>
  <c r="J3" i="4"/>
  <c r="I33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4" i="4"/>
  <c r="I3" i="4"/>
  <c r="H33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4" i="4"/>
  <c r="H3" i="4"/>
  <c r="G33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4" i="4"/>
  <c r="G3" i="4"/>
  <c r="P33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AL12" i="3" s="1"/>
  <c r="P11" i="3"/>
  <c r="P10" i="3"/>
  <c r="P9" i="3"/>
  <c r="P8" i="3"/>
  <c r="P7" i="3"/>
  <c r="P6" i="3"/>
  <c r="P4" i="3"/>
  <c r="P3" i="3"/>
  <c r="O33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AK12" i="3" s="1"/>
  <c r="O11" i="3"/>
  <c r="O10" i="3"/>
  <c r="O9" i="3"/>
  <c r="O8" i="3"/>
  <c r="O7" i="3"/>
  <c r="O6" i="3"/>
  <c r="O4" i="3"/>
  <c r="O3" i="3"/>
  <c r="N33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AJ12" i="3" s="1"/>
  <c r="N11" i="3"/>
  <c r="N10" i="3"/>
  <c r="N9" i="3"/>
  <c r="N8" i="3"/>
  <c r="N7" i="3"/>
  <c r="N6" i="3"/>
  <c r="N4" i="3"/>
  <c r="N3" i="3"/>
  <c r="M33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AI12" i="3" s="1"/>
  <c r="M11" i="3"/>
  <c r="M10" i="3"/>
  <c r="M9" i="3"/>
  <c r="M8" i="3"/>
  <c r="M7" i="3"/>
  <c r="M6" i="3"/>
  <c r="M4" i="3"/>
  <c r="M3" i="3"/>
  <c r="L33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AH12" i="3" s="1"/>
  <c r="L11" i="3"/>
  <c r="L10" i="3"/>
  <c r="L9" i="3"/>
  <c r="L8" i="3"/>
  <c r="L7" i="3"/>
  <c r="L6" i="3"/>
  <c r="L4" i="3"/>
  <c r="L3" i="3"/>
  <c r="K33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AG12" i="3" s="1"/>
  <c r="K11" i="3"/>
  <c r="K10" i="3"/>
  <c r="K9" i="3"/>
  <c r="K8" i="3"/>
  <c r="K7" i="3"/>
  <c r="K6" i="3"/>
  <c r="K4" i="3"/>
  <c r="K3" i="3"/>
  <c r="J33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AF12" i="3" s="1"/>
  <c r="J11" i="3"/>
  <c r="J10" i="3"/>
  <c r="J9" i="3"/>
  <c r="J8" i="3"/>
  <c r="J7" i="3"/>
  <c r="J6" i="3"/>
  <c r="J4" i="3"/>
  <c r="J3" i="3"/>
  <c r="O32" i="3" l="1"/>
  <c r="N32" i="3"/>
  <c r="N40" i="3" s="1"/>
  <c r="P32" i="3"/>
  <c r="P40" i="3" s="1"/>
  <c r="T30" i="8"/>
  <c r="M32" i="3"/>
  <c r="G5" i="4"/>
  <c r="I32" i="4"/>
  <c r="I40" i="4" s="1"/>
  <c r="H32" i="4"/>
  <c r="H40" i="4" s="1"/>
  <c r="L32" i="3"/>
  <c r="L40" i="3" s="1"/>
  <c r="J32" i="3"/>
  <c r="J40" i="3" s="1"/>
  <c r="K32" i="3"/>
  <c r="K40" i="3" s="1"/>
  <c r="K38" i="8"/>
  <c r="T34" i="6"/>
  <c r="P34" i="8"/>
  <c r="U32" i="6"/>
  <c r="T32" i="6"/>
  <c r="E34" i="6"/>
  <c r="T32" i="5"/>
  <c r="J34" i="4"/>
  <c r="M32" i="4"/>
  <c r="M40" i="4" s="1"/>
  <c r="O34" i="4"/>
  <c r="G32" i="6"/>
  <c r="G41" i="6" s="1"/>
  <c r="U30" i="8"/>
  <c r="W30" i="8"/>
  <c r="K32" i="4"/>
  <c r="K40" i="4" s="1"/>
  <c r="T34" i="5"/>
  <c r="U34" i="6"/>
  <c r="L41" i="6"/>
  <c r="J5" i="4"/>
  <c r="L32" i="4"/>
  <c r="L40" i="4" s="1"/>
  <c r="P35" i="8"/>
  <c r="J34" i="3"/>
  <c r="AF34" i="3" s="1"/>
  <c r="W34" i="5"/>
  <c r="W34" i="6"/>
  <c r="M40" i="3"/>
  <c r="N41" i="6"/>
  <c r="M34" i="4"/>
  <c r="H32" i="6"/>
  <c r="S32" i="6" s="1"/>
  <c r="U33" i="7"/>
  <c r="W32" i="6"/>
  <c r="H34" i="4"/>
  <c r="G32" i="4"/>
  <c r="G40" i="4" s="1"/>
  <c r="U32" i="5"/>
  <c r="L34" i="3"/>
  <c r="AH34" i="3" s="1"/>
  <c r="H34" i="6"/>
  <c r="S34" i="6" s="1"/>
  <c r="E32" i="6"/>
  <c r="E41" i="6" s="1"/>
  <c r="S34" i="5"/>
  <c r="O40" i="3"/>
  <c r="G34" i="6"/>
  <c r="P32" i="4"/>
  <c r="P40" i="4" s="1"/>
  <c r="K40" i="6"/>
  <c r="K36" i="6"/>
  <c r="K37" i="6"/>
  <c r="O40" i="6"/>
  <c r="O36" i="6"/>
  <c r="O37" i="6"/>
  <c r="M40" i="6"/>
  <c r="M36" i="6"/>
  <c r="M37" i="6"/>
  <c r="J40" i="6"/>
  <c r="J36" i="6"/>
  <c r="J37" i="6"/>
  <c r="I40" i="6"/>
  <c r="I36" i="6"/>
  <c r="I37" i="6"/>
  <c r="N40" i="6"/>
  <c r="N37" i="6"/>
  <c r="N36" i="6"/>
  <c r="P40" i="6"/>
  <c r="P36" i="6"/>
  <c r="P37" i="6"/>
  <c r="L40" i="6"/>
  <c r="L36" i="6"/>
  <c r="L37" i="6"/>
  <c r="S32" i="5"/>
  <c r="H41" i="5"/>
  <c r="S30" i="8"/>
  <c r="U32" i="8"/>
  <c r="T32" i="8"/>
  <c r="W32" i="8"/>
  <c r="O34" i="8"/>
  <c r="O35" i="8"/>
  <c r="I35" i="8"/>
  <c r="I34" i="8"/>
  <c r="L34" i="8"/>
  <c r="L35" i="8"/>
  <c r="H35" i="8"/>
  <c r="H34" i="8"/>
  <c r="K35" i="8"/>
  <c r="K34" i="8"/>
  <c r="E35" i="8"/>
  <c r="E34" i="8"/>
  <c r="E37" i="8"/>
  <c r="J35" i="8"/>
  <c r="J34" i="8"/>
  <c r="M35" i="8"/>
  <c r="M34" i="8"/>
  <c r="E38" i="8"/>
  <c r="N34" i="8"/>
  <c r="N35" i="8"/>
  <c r="G35" i="8"/>
  <c r="G34" i="8"/>
  <c r="S32" i="8"/>
  <c r="S33" i="7"/>
  <c r="T33" i="7"/>
  <c r="W33" i="7"/>
  <c r="E35" i="7"/>
  <c r="E38" i="7"/>
  <c r="E36" i="7"/>
  <c r="S31" i="7"/>
  <c r="L35" i="7"/>
  <c r="L36" i="7"/>
  <c r="H36" i="7"/>
  <c r="H35" i="7"/>
  <c r="K35" i="7"/>
  <c r="K36" i="7"/>
  <c r="I35" i="7"/>
  <c r="I36" i="7"/>
  <c r="O36" i="7"/>
  <c r="O35" i="7"/>
  <c r="G36" i="7"/>
  <c r="G35" i="7"/>
  <c r="P36" i="7"/>
  <c r="P35" i="7"/>
  <c r="J36" i="7"/>
  <c r="J35" i="7"/>
  <c r="M35" i="7"/>
  <c r="M36" i="7"/>
  <c r="N36" i="7"/>
  <c r="N35" i="7"/>
  <c r="U31" i="7"/>
  <c r="T31" i="7"/>
  <c r="W31" i="7"/>
  <c r="P36" i="5"/>
  <c r="P37" i="5"/>
  <c r="N37" i="5"/>
  <c r="N36" i="5"/>
  <c r="H36" i="5"/>
  <c r="H37" i="5"/>
  <c r="M41" i="5"/>
  <c r="K36" i="5"/>
  <c r="K37" i="5"/>
  <c r="W32" i="5"/>
  <c r="J36" i="5"/>
  <c r="J37" i="5"/>
  <c r="L37" i="5"/>
  <c r="L36" i="5"/>
  <c r="M37" i="5"/>
  <c r="M36" i="5"/>
  <c r="I36" i="5"/>
  <c r="I37" i="5"/>
  <c r="O36" i="5"/>
  <c r="O37" i="5"/>
  <c r="U34" i="5"/>
  <c r="G36" i="5"/>
  <c r="G37" i="5"/>
  <c r="K34" i="4"/>
  <c r="Z33" i="4"/>
  <c r="P34" i="4"/>
  <c r="N34" i="4"/>
  <c r="G34" i="4"/>
  <c r="U30" i="4"/>
  <c r="L34" i="4"/>
  <c r="I34" i="4"/>
  <c r="O34" i="3"/>
  <c r="M34" i="3"/>
  <c r="W31" i="3"/>
  <c r="K34" i="3"/>
  <c r="P34" i="3"/>
  <c r="N34" i="3"/>
  <c r="Z31" i="4"/>
  <c r="O32" i="4"/>
  <c r="J32" i="4"/>
  <c r="N32" i="4"/>
  <c r="N40" i="4" s="1"/>
  <c r="E5" i="6"/>
  <c r="N5" i="4"/>
  <c r="G5" i="6"/>
  <c r="L5" i="4"/>
  <c r="M5" i="3"/>
  <c r="P5" i="3"/>
  <c r="M5" i="4"/>
  <c r="U12" i="3"/>
  <c r="P5" i="4"/>
  <c r="O5" i="3"/>
  <c r="K5" i="3"/>
  <c r="O5" i="4"/>
  <c r="I5" i="4"/>
  <c r="T12" i="3"/>
  <c r="W12" i="3"/>
  <c r="H5" i="6"/>
  <c r="L5" i="3"/>
  <c r="K5" i="4"/>
  <c r="H5" i="4"/>
  <c r="N5" i="3"/>
  <c r="J5" i="3"/>
  <c r="I33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AE12" i="3" s="1"/>
  <c r="I11" i="3"/>
  <c r="I10" i="3"/>
  <c r="I9" i="3"/>
  <c r="I8" i="3"/>
  <c r="I7" i="3"/>
  <c r="I6" i="3"/>
  <c r="I4" i="3"/>
  <c r="I3" i="3"/>
  <c r="H33" i="3"/>
  <c r="H31" i="3"/>
  <c r="H30" i="3"/>
  <c r="H29" i="3"/>
  <c r="H28" i="3"/>
  <c r="H27" i="3"/>
  <c r="H26" i="3"/>
  <c r="H25" i="3"/>
  <c r="H24" i="3"/>
  <c r="H23" i="3"/>
  <c r="H22" i="3"/>
  <c r="H21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4" i="3"/>
  <c r="H3" i="3"/>
  <c r="G33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AC12" i="3" s="1"/>
  <c r="G11" i="3"/>
  <c r="G10" i="3"/>
  <c r="G9" i="3"/>
  <c r="G8" i="3"/>
  <c r="G7" i="3"/>
  <c r="G6" i="3"/>
  <c r="G4" i="3"/>
  <c r="G3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4" i="3"/>
  <c r="E3" i="3"/>
  <c r="P29" i="1"/>
  <c r="P73" i="7" s="1"/>
  <c r="P27" i="1"/>
  <c r="P71" i="7" s="1"/>
  <c r="P26" i="1"/>
  <c r="P25" i="1"/>
  <c r="P69" i="7" s="1"/>
  <c r="P24" i="1"/>
  <c r="P68" i="7" s="1"/>
  <c r="P23" i="1"/>
  <c r="P67" i="7" s="1"/>
  <c r="P22" i="1"/>
  <c r="P66" i="7" s="1"/>
  <c r="P21" i="1"/>
  <c r="P65" i="7" s="1"/>
  <c r="P20" i="1"/>
  <c r="P64" i="7" s="1"/>
  <c r="P19" i="1"/>
  <c r="P18" i="1"/>
  <c r="P61" i="7" s="1"/>
  <c r="P17" i="1"/>
  <c r="P16" i="1"/>
  <c r="P15" i="1"/>
  <c r="P14" i="1"/>
  <c r="P57" i="7" s="1"/>
  <c r="P13" i="1"/>
  <c r="P12" i="1"/>
  <c r="P55" i="5" s="1"/>
  <c r="P11" i="1"/>
  <c r="P53" i="3" s="1"/>
  <c r="P10" i="1"/>
  <c r="P51" i="7" s="1"/>
  <c r="P9" i="1"/>
  <c r="P50" i="7" s="1"/>
  <c r="P8" i="1"/>
  <c r="P7" i="1"/>
  <c r="P6" i="1"/>
  <c r="P4" i="1"/>
  <c r="P3" i="1"/>
  <c r="O29" i="1"/>
  <c r="O73" i="7" s="1"/>
  <c r="O27" i="1"/>
  <c r="O71" i="7" s="1"/>
  <c r="O26" i="1"/>
  <c r="O25" i="1"/>
  <c r="O69" i="7" s="1"/>
  <c r="O24" i="1"/>
  <c r="O68" i="7" s="1"/>
  <c r="O23" i="1"/>
  <c r="O67" i="7" s="1"/>
  <c r="O22" i="1"/>
  <c r="O66" i="7" s="1"/>
  <c r="O21" i="1"/>
  <c r="O65" i="7" s="1"/>
  <c r="O20" i="1"/>
  <c r="O64" i="7" s="1"/>
  <c r="O19" i="1"/>
  <c r="O18" i="1"/>
  <c r="O61" i="7" s="1"/>
  <c r="O17" i="1"/>
  <c r="O16" i="1"/>
  <c r="O15" i="1"/>
  <c r="O14" i="1"/>
  <c r="O57" i="7" s="1"/>
  <c r="O13" i="1"/>
  <c r="O12" i="1"/>
  <c r="O55" i="5" s="1"/>
  <c r="O11" i="1"/>
  <c r="O53" i="3" s="1"/>
  <c r="O10" i="1"/>
  <c r="O51" i="7" s="1"/>
  <c r="O9" i="1"/>
  <c r="O50" i="7" s="1"/>
  <c r="O8" i="1"/>
  <c r="O7" i="1"/>
  <c r="O6" i="1"/>
  <c r="O4" i="1"/>
  <c r="O3" i="1"/>
  <c r="N29" i="1"/>
  <c r="N73" i="7" s="1"/>
  <c r="N27" i="1"/>
  <c r="N71" i="7" s="1"/>
  <c r="N26" i="1"/>
  <c r="N25" i="1"/>
  <c r="N69" i="7" s="1"/>
  <c r="N24" i="1"/>
  <c r="N68" i="7" s="1"/>
  <c r="N23" i="1"/>
  <c r="N67" i="7" s="1"/>
  <c r="N22" i="1"/>
  <c r="N66" i="7" s="1"/>
  <c r="N21" i="1"/>
  <c r="N65" i="7" s="1"/>
  <c r="N20" i="1"/>
  <c r="N64" i="7" s="1"/>
  <c r="N19" i="1"/>
  <c r="N18" i="1"/>
  <c r="N61" i="7" s="1"/>
  <c r="N17" i="1"/>
  <c r="N16" i="1"/>
  <c r="N15" i="1"/>
  <c r="N14" i="1"/>
  <c r="N57" i="7" s="1"/>
  <c r="N13" i="1"/>
  <c r="N12" i="1"/>
  <c r="N55" i="5" s="1"/>
  <c r="N11" i="1"/>
  <c r="N53" i="3" s="1"/>
  <c r="N10" i="1"/>
  <c r="N51" i="7" s="1"/>
  <c r="N9" i="1"/>
  <c r="N50" i="7" s="1"/>
  <c r="N8" i="1"/>
  <c r="N7" i="1"/>
  <c r="N6" i="1"/>
  <c r="N4" i="1"/>
  <c r="N3" i="1"/>
  <c r="M29" i="1"/>
  <c r="M73" i="7" s="1"/>
  <c r="M27" i="1"/>
  <c r="M71" i="7" s="1"/>
  <c r="M26" i="1"/>
  <c r="M25" i="1"/>
  <c r="M69" i="7" s="1"/>
  <c r="M24" i="1"/>
  <c r="M68" i="7" s="1"/>
  <c r="M23" i="1"/>
  <c r="M67" i="7" s="1"/>
  <c r="M22" i="1"/>
  <c r="M66" i="7" s="1"/>
  <c r="M21" i="1"/>
  <c r="M65" i="7" s="1"/>
  <c r="M20" i="1"/>
  <c r="M64" i="7" s="1"/>
  <c r="M19" i="1"/>
  <c r="M18" i="1"/>
  <c r="M61" i="7" s="1"/>
  <c r="M17" i="1"/>
  <c r="M16" i="1"/>
  <c r="M15" i="1"/>
  <c r="M14" i="1"/>
  <c r="M57" i="7" s="1"/>
  <c r="M13" i="1"/>
  <c r="M12" i="1"/>
  <c r="M55" i="5" s="1"/>
  <c r="M11" i="1"/>
  <c r="M53" i="3" s="1"/>
  <c r="M10" i="1"/>
  <c r="M51" i="7" s="1"/>
  <c r="M9" i="1"/>
  <c r="M50" i="7" s="1"/>
  <c r="M8" i="1"/>
  <c r="M7" i="1"/>
  <c r="M6" i="1"/>
  <c r="M4" i="1"/>
  <c r="M3" i="1"/>
  <c r="L29" i="1"/>
  <c r="L73" i="7" s="1"/>
  <c r="L27" i="1"/>
  <c r="L71" i="7" s="1"/>
  <c r="L26" i="1"/>
  <c r="L25" i="1"/>
  <c r="L69" i="7" s="1"/>
  <c r="L24" i="1"/>
  <c r="L68" i="7" s="1"/>
  <c r="L23" i="1"/>
  <c r="L67" i="7" s="1"/>
  <c r="L22" i="1"/>
  <c r="L66" i="7" s="1"/>
  <c r="L21" i="1"/>
  <c r="L65" i="7" s="1"/>
  <c r="L20" i="1"/>
  <c r="L64" i="7" s="1"/>
  <c r="L19" i="1"/>
  <c r="L18" i="1"/>
  <c r="L61" i="7" s="1"/>
  <c r="L17" i="1"/>
  <c r="L16" i="1"/>
  <c r="L15" i="1"/>
  <c r="L14" i="1"/>
  <c r="L57" i="7" s="1"/>
  <c r="L13" i="1"/>
  <c r="L12" i="1"/>
  <c r="L55" i="5" s="1"/>
  <c r="L11" i="1"/>
  <c r="L53" i="3" s="1"/>
  <c r="L10" i="1"/>
  <c r="L51" i="7" s="1"/>
  <c r="L9" i="1"/>
  <c r="L50" i="7" s="1"/>
  <c r="L8" i="1"/>
  <c r="L7" i="1"/>
  <c r="L6" i="1"/>
  <c r="L4" i="1"/>
  <c r="L3" i="1"/>
  <c r="K73" i="7"/>
  <c r="K27" i="1"/>
  <c r="K71" i="7" s="1"/>
  <c r="K26" i="1"/>
  <c r="K25" i="1"/>
  <c r="K69" i="7" s="1"/>
  <c r="K24" i="1"/>
  <c r="K68" i="7" s="1"/>
  <c r="K23" i="1"/>
  <c r="K67" i="7" s="1"/>
  <c r="K22" i="1"/>
  <c r="K66" i="7" s="1"/>
  <c r="K21" i="1"/>
  <c r="K65" i="7" s="1"/>
  <c r="K20" i="1"/>
  <c r="K64" i="7" s="1"/>
  <c r="K19" i="1"/>
  <c r="K18" i="1"/>
  <c r="K61" i="7" s="1"/>
  <c r="K17" i="1"/>
  <c r="K16" i="1"/>
  <c r="K15" i="1"/>
  <c r="K14" i="1"/>
  <c r="K57" i="7" s="1"/>
  <c r="K13" i="1"/>
  <c r="K12" i="1"/>
  <c r="K55" i="5" s="1"/>
  <c r="K11" i="1"/>
  <c r="K53" i="3" s="1"/>
  <c r="K10" i="1"/>
  <c r="K51" i="7" s="1"/>
  <c r="K9" i="1"/>
  <c r="K50" i="7" s="1"/>
  <c r="K8" i="1"/>
  <c r="K7" i="1"/>
  <c r="K6" i="1"/>
  <c r="K4" i="1"/>
  <c r="K3" i="1"/>
  <c r="J29" i="1"/>
  <c r="J73" i="7" s="1"/>
  <c r="J27" i="1"/>
  <c r="J71" i="7" s="1"/>
  <c r="J26" i="1"/>
  <c r="J25" i="1"/>
  <c r="J69" i="7" s="1"/>
  <c r="J24" i="1"/>
  <c r="J68" i="7" s="1"/>
  <c r="J23" i="1"/>
  <c r="J67" i="7" s="1"/>
  <c r="J22" i="1"/>
  <c r="J66" i="7" s="1"/>
  <c r="J21" i="1"/>
  <c r="J65" i="7" s="1"/>
  <c r="J20" i="1"/>
  <c r="J64" i="7" s="1"/>
  <c r="J18" i="1"/>
  <c r="J61" i="7" s="1"/>
  <c r="J17" i="1"/>
  <c r="J16" i="1"/>
  <c r="J15" i="1"/>
  <c r="J14" i="1"/>
  <c r="J57" i="7" s="1"/>
  <c r="J13" i="1"/>
  <c r="J12" i="1"/>
  <c r="J55" i="5" s="1"/>
  <c r="J11" i="1"/>
  <c r="J53" i="3" s="1"/>
  <c r="J10" i="1"/>
  <c r="J51" i="7" s="1"/>
  <c r="J9" i="1"/>
  <c r="J50" i="7" s="1"/>
  <c r="J8" i="1"/>
  <c r="J7" i="1"/>
  <c r="J6" i="1"/>
  <c r="J4" i="1"/>
  <c r="J3" i="1"/>
  <c r="I29" i="1"/>
  <c r="I73" i="7" s="1"/>
  <c r="I27" i="1"/>
  <c r="I71" i="7" s="1"/>
  <c r="I26" i="1"/>
  <c r="I25" i="1"/>
  <c r="I69" i="7" s="1"/>
  <c r="I24" i="1"/>
  <c r="I68" i="7" s="1"/>
  <c r="I23" i="1"/>
  <c r="I67" i="7" s="1"/>
  <c r="I22" i="1"/>
  <c r="I66" i="7" s="1"/>
  <c r="I21" i="1"/>
  <c r="I65" i="7" s="1"/>
  <c r="I20" i="1"/>
  <c r="I64" i="7" s="1"/>
  <c r="I19" i="1"/>
  <c r="I18" i="1"/>
  <c r="I61" i="7" s="1"/>
  <c r="I17" i="1"/>
  <c r="I16" i="1"/>
  <c r="I15" i="1"/>
  <c r="I14" i="1"/>
  <c r="I57" i="7" s="1"/>
  <c r="I13" i="1"/>
  <c r="I12" i="1"/>
  <c r="I55" i="5" s="1"/>
  <c r="I11" i="1"/>
  <c r="I10" i="1"/>
  <c r="I51" i="7" s="1"/>
  <c r="I9" i="1"/>
  <c r="I50" i="7" s="1"/>
  <c r="I8" i="1"/>
  <c r="I7" i="1"/>
  <c r="I6" i="1"/>
  <c r="I4" i="1"/>
  <c r="I3" i="1"/>
  <c r="H29" i="1"/>
  <c r="H73" i="7" s="1"/>
  <c r="H27" i="1"/>
  <c r="H26" i="1"/>
  <c r="H25" i="1"/>
  <c r="H69" i="7" s="1"/>
  <c r="H24" i="1"/>
  <c r="H68" i="7" s="1"/>
  <c r="H23" i="1"/>
  <c r="H67" i="7" s="1"/>
  <c r="H22" i="1"/>
  <c r="H66" i="7" s="1"/>
  <c r="H21" i="1"/>
  <c r="H65" i="7" s="1"/>
  <c r="H20" i="1"/>
  <c r="H64" i="7" s="1"/>
  <c r="H19" i="1"/>
  <c r="H18" i="1"/>
  <c r="H61" i="7" s="1"/>
  <c r="H17" i="1"/>
  <c r="H16" i="1"/>
  <c r="H15" i="1"/>
  <c r="H14" i="1"/>
  <c r="H57" i="7" s="1"/>
  <c r="H13" i="1"/>
  <c r="H3" i="1"/>
  <c r="H46" i="4" s="1"/>
  <c r="H12" i="1"/>
  <c r="H55" i="5" s="1"/>
  <c r="H11" i="1"/>
  <c r="H10" i="1"/>
  <c r="H51" i="7" s="1"/>
  <c r="H9" i="1"/>
  <c r="H8" i="1"/>
  <c r="H7" i="1"/>
  <c r="H6" i="1"/>
  <c r="H4" i="1"/>
  <c r="G29" i="1"/>
  <c r="G73" i="7" s="1"/>
  <c r="G27" i="1"/>
  <c r="G26" i="1"/>
  <c r="G25" i="1"/>
  <c r="G69" i="7" s="1"/>
  <c r="G24" i="1"/>
  <c r="G68" i="7" s="1"/>
  <c r="G23" i="1"/>
  <c r="G67" i="7" s="1"/>
  <c r="G22" i="1"/>
  <c r="G66" i="7" s="1"/>
  <c r="G21" i="1"/>
  <c r="G65" i="7" s="1"/>
  <c r="G20" i="1"/>
  <c r="G64" i="7" s="1"/>
  <c r="G18" i="1"/>
  <c r="G61" i="7" s="1"/>
  <c r="G17" i="1"/>
  <c r="G16" i="1"/>
  <c r="G15" i="1"/>
  <c r="G14" i="1"/>
  <c r="G57" i="7" s="1"/>
  <c r="G13" i="1"/>
  <c r="G12" i="1"/>
  <c r="G55" i="5" s="1"/>
  <c r="G11" i="1"/>
  <c r="G10" i="1"/>
  <c r="G51" i="7" s="1"/>
  <c r="G9" i="1"/>
  <c r="G50" i="7" s="1"/>
  <c r="G8" i="1"/>
  <c r="G7" i="1"/>
  <c r="G6" i="1"/>
  <c r="G4" i="1"/>
  <c r="G3" i="1"/>
  <c r="R3" i="3" l="1"/>
  <c r="H5" i="3"/>
  <c r="T8" i="1"/>
  <c r="S6" i="1"/>
  <c r="H50" i="7"/>
  <c r="S9" i="1"/>
  <c r="H49" i="6"/>
  <c r="U32" i="3"/>
  <c r="K28" i="1"/>
  <c r="K72" i="3" s="1"/>
  <c r="H41" i="6"/>
  <c r="I32" i="3"/>
  <c r="I40" i="3" s="1"/>
  <c r="H32" i="3"/>
  <c r="I28" i="1"/>
  <c r="J28" i="1"/>
  <c r="J72" i="3" s="1"/>
  <c r="G32" i="3"/>
  <c r="G40" i="3" s="1"/>
  <c r="W32" i="3"/>
  <c r="T32" i="3"/>
  <c r="P28" i="1"/>
  <c r="P72" i="3" s="1"/>
  <c r="G64" i="6"/>
  <c r="T32" i="4"/>
  <c r="O28" i="1"/>
  <c r="O72" i="3" s="1"/>
  <c r="G28" i="1"/>
  <c r="H28" i="1"/>
  <c r="H37" i="1" s="1"/>
  <c r="M28" i="1"/>
  <c r="M73" i="4" s="1"/>
  <c r="N28" i="1"/>
  <c r="N72" i="3" s="1"/>
  <c r="I34" i="3"/>
  <c r="AE34" i="3" s="1"/>
  <c r="G34" i="3"/>
  <c r="E34" i="3"/>
  <c r="O36" i="4"/>
  <c r="G49" i="7"/>
  <c r="G30" i="1"/>
  <c r="G76" i="6" s="1"/>
  <c r="G71" i="7"/>
  <c r="G72" i="4"/>
  <c r="H49" i="7"/>
  <c r="H30" i="1"/>
  <c r="I49" i="7"/>
  <c r="I30" i="1"/>
  <c r="I76" i="6" s="1"/>
  <c r="J49" i="7"/>
  <c r="J30" i="1"/>
  <c r="K49" i="7"/>
  <c r="K30" i="1"/>
  <c r="K75" i="4" s="1"/>
  <c r="L49" i="7"/>
  <c r="L30" i="1"/>
  <c r="L75" i="4" s="1"/>
  <c r="M49" i="7"/>
  <c r="M30" i="1"/>
  <c r="M74" i="3" s="1"/>
  <c r="N49" i="7"/>
  <c r="N30" i="1"/>
  <c r="N74" i="3" s="1"/>
  <c r="O49" i="7"/>
  <c r="O30" i="1"/>
  <c r="O74" i="3" s="1"/>
  <c r="P49" i="7"/>
  <c r="P30" i="1"/>
  <c r="P76" i="6" s="1"/>
  <c r="J37" i="3"/>
  <c r="J36" i="3"/>
  <c r="N37" i="3"/>
  <c r="N36" i="3"/>
  <c r="G36" i="4"/>
  <c r="G39" i="4"/>
  <c r="G37" i="4"/>
  <c r="H37" i="4"/>
  <c r="H36" i="4"/>
  <c r="L37" i="3"/>
  <c r="L36" i="3"/>
  <c r="H40" i="6"/>
  <c r="H36" i="6"/>
  <c r="H37" i="6"/>
  <c r="K37" i="3"/>
  <c r="K36" i="3"/>
  <c r="O37" i="3"/>
  <c r="O36" i="3"/>
  <c r="P37" i="3"/>
  <c r="P36" i="3"/>
  <c r="M37" i="3"/>
  <c r="M36" i="3"/>
  <c r="G40" i="6"/>
  <c r="G36" i="6"/>
  <c r="G37" i="6"/>
  <c r="E40" i="6"/>
  <c r="E37" i="6"/>
  <c r="E36" i="6"/>
  <c r="J40" i="4"/>
  <c r="J37" i="4"/>
  <c r="J36" i="4"/>
  <c r="O40" i="4"/>
  <c r="AJ34" i="3"/>
  <c r="U34" i="3"/>
  <c r="AL34" i="3"/>
  <c r="AG34" i="3"/>
  <c r="W34" i="3"/>
  <c r="T34" i="3"/>
  <c r="AI34" i="3"/>
  <c r="AK34" i="3"/>
  <c r="S34" i="4"/>
  <c r="U34" i="4"/>
  <c r="I37" i="4"/>
  <c r="I36" i="4"/>
  <c r="T34" i="4"/>
  <c r="Z34" i="4"/>
  <c r="P37" i="4"/>
  <c r="P36" i="4"/>
  <c r="Z32" i="4"/>
  <c r="M37" i="4"/>
  <c r="M36" i="4"/>
  <c r="K36" i="4"/>
  <c r="K37" i="4"/>
  <c r="L36" i="4"/>
  <c r="L37" i="4"/>
  <c r="N37" i="4"/>
  <c r="N36" i="4"/>
  <c r="O37" i="4"/>
  <c r="H34" i="3"/>
  <c r="E32" i="3"/>
  <c r="L28" i="1"/>
  <c r="J60" i="7"/>
  <c r="H71" i="7"/>
  <c r="S27" i="1"/>
  <c r="U32" i="4"/>
  <c r="S32" i="4"/>
  <c r="AA31" i="3"/>
  <c r="G60" i="7"/>
  <c r="G70" i="7"/>
  <c r="G66" i="8"/>
  <c r="H60" i="7"/>
  <c r="H66" i="8"/>
  <c r="H70" i="7"/>
  <c r="I60" i="7"/>
  <c r="I70" i="7"/>
  <c r="I66" i="8"/>
  <c r="J70" i="7"/>
  <c r="J66" i="8"/>
  <c r="K60" i="7"/>
  <c r="K66" i="8"/>
  <c r="K70" i="7"/>
  <c r="L60" i="7"/>
  <c r="L70" i="7"/>
  <c r="L66" i="8"/>
  <c r="M60" i="7"/>
  <c r="M70" i="7"/>
  <c r="M66" i="8"/>
  <c r="N60" i="7"/>
  <c r="N66" i="8"/>
  <c r="N70" i="7"/>
  <c r="O60" i="7"/>
  <c r="O70" i="7"/>
  <c r="O66" i="8"/>
  <c r="P60" i="7"/>
  <c r="P70" i="7"/>
  <c r="P66" i="8"/>
  <c r="G53" i="3"/>
  <c r="H53" i="3"/>
  <c r="I53" i="3"/>
  <c r="N5" i="1"/>
  <c r="K5" i="1"/>
  <c r="S6" i="3"/>
  <c r="O5" i="1"/>
  <c r="U12" i="1"/>
  <c r="AD12" i="3"/>
  <c r="S12" i="3"/>
  <c r="M5" i="1"/>
  <c r="H5" i="1"/>
  <c r="G5" i="3"/>
  <c r="J5" i="1"/>
  <c r="L5" i="1"/>
  <c r="P5" i="1"/>
  <c r="I5" i="3"/>
  <c r="W12" i="1"/>
  <c r="T12" i="1"/>
  <c r="I5" i="1"/>
  <c r="S12" i="1"/>
  <c r="G5" i="1"/>
  <c r="E27" i="1"/>
  <c r="E71" i="7" s="1"/>
  <c r="E26" i="1"/>
  <c r="E70" i="3" s="1"/>
  <c r="E25" i="1"/>
  <c r="E69" i="3" s="1"/>
  <c r="E24" i="1"/>
  <c r="E68" i="7" s="1"/>
  <c r="E23" i="1"/>
  <c r="E67" i="7" s="1"/>
  <c r="E22" i="1"/>
  <c r="E66" i="7" s="1"/>
  <c r="E21" i="1"/>
  <c r="E65" i="7" s="1"/>
  <c r="E20" i="1"/>
  <c r="E19" i="1"/>
  <c r="E63" i="3" s="1"/>
  <c r="E18" i="1"/>
  <c r="E61" i="7" s="1"/>
  <c r="E17" i="1"/>
  <c r="E16" i="1"/>
  <c r="E59" i="3" s="1"/>
  <c r="E15" i="1"/>
  <c r="E55" i="8" s="1"/>
  <c r="E14" i="1"/>
  <c r="E57" i="3" s="1"/>
  <c r="E13" i="1"/>
  <c r="E56" i="3" s="1"/>
  <c r="E12" i="1"/>
  <c r="E11" i="1"/>
  <c r="E10" i="1"/>
  <c r="E51" i="7" s="1"/>
  <c r="E9" i="1"/>
  <c r="E8" i="1"/>
  <c r="E7" i="1"/>
  <c r="E6" i="1"/>
  <c r="E4" i="1"/>
  <c r="F4" i="1"/>
  <c r="E45" i="3"/>
  <c r="F31" i="8"/>
  <c r="F29" i="8"/>
  <c r="Q29" i="8" s="1"/>
  <c r="F28" i="8"/>
  <c r="F27" i="8"/>
  <c r="F26" i="8"/>
  <c r="F25" i="8"/>
  <c r="F24" i="8"/>
  <c r="F23" i="8"/>
  <c r="F22" i="8"/>
  <c r="F21" i="8"/>
  <c r="F20" i="8"/>
  <c r="F19" i="8"/>
  <c r="F18" i="8"/>
  <c r="F17" i="8"/>
  <c r="F14" i="8"/>
  <c r="F13" i="8"/>
  <c r="F12" i="8"/>
  <c r="F11" i="8"/>
  <c r="F10" i="8"/>
  <c r="F9" i="8"/>
  <c r="F8" i="8"/>
  <c r="F7" i="8"/>
  <c r="F6" i="8"/>
  <c r="F4" i="8"/>
  <c r="F3" i="8"/>
  <c r="F32" i="7"/>
  <c r="F30" i="7"/>
  <c r="F29" i="7"/>
  <c r="F28" i="7"/>
  <c r="F27" i="7"/>
  <c r="F26" i="7"/>
  <c r="F25" i="7"/>
  <c r="F24" i="7"/>
  <c r="R24" i="7" s="1"/>
  <c r="F23" i="7"/>
  <c r="Q23" i="7" s="1"/>
  <c r="F22" i="7"/>
  <c r="V22" i="7" s="1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4" i="7"/>
  <c r="F3" i="7"/>
  <c r="F33" i="5"/>
  <c r="V33" i="5" s="1"/>
  <c r="F31" i="5"/>
  <c r="V31" i="5" s="1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4" i="5"/>
  <c r="F3" i="5"/>
  <c r="F33" i="6"/>
  <c r="F31" i="6"/>
  <c r="V31" i="6" s="1"/>
  <c r="F30" i="6"/>
  <c r="F29" i="6"/>
  <c r="F71" i="6" s="1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Q15" i="6" s="1"/>
  <c r="F14" i="6"/>
  <c r="F13" i="6"/>
  <c r="F12" i="6"/>
  <c r="F11" i="6"/>
  <c r="F10" i="6"/>
  <c r="F9" i="6"/>
  <c r="F8" i="6"/>
  <c r="F7" i="6"/>
  <c r="F6" i="6"/>
  <c r="F4" i="6"/>
  <c r="F3" i="6"/>
  <c r="S15" i="4"/>
  <c r="T15" i="4"/>
  <c r="U15" i="4"/>
  <c r="S10" i="4"/>
  <c r="T10" i="4"/>
  <c r="U10" i="4"/>
  <c r="S13" i="4"/>
  <c r="T13" i="4"/>
  <c r="U13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56" i="4" s="1"/>
  <c r="E13" i="4"/>
  <c r="E12" i="4"/>
  <c r="E11" i="4"/>
  <c r="E10" i="4"/>
  <c r="E9" i="4"/>
  <c r="E8" i="4"/>
  <c r="E7" i="4"/>
  <c r="E6" i="4"/>
  <c r="E4" i="4"/>
  <c r="E3" i="4"/>
  <c r="F33" i="4"/>
  <c r="Q33" i="4" s="1"/>
  <c r="F31" i="4"/>
  <c r="F30" i="4"/>
  <c r="F29" i="4"/>
  <c r="F70" i="4" s="1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4" i="4"/>
  <c r="D33" i="12"/>
  <c r="D52" i="12" s="1"/>
  <c r="D32" i="12"/>
  <c r="D31" i="12"/>
  <c r="D30" i="12"/>
  <c r="D29" i="12"/>
  <c r="D28" i="12"/>
  <c r="D47" i="12" s="1"/>
  <c r="D27" i="12"/>
  <c r="D26" i="12"/>
  <c r="D25" i="12"/>
  <c r="D24" i="12"/>
  <c r="D23" i="12"/>
  <c r="D22" i="12"/>
  <c r="D21" i="12"/>
  <c r="D40" i="12" s="1"/>
  <c r="E31" i="12"/>
  <c r="E33" i="12"/>
  <c r="E32" i="12"/>
  <c r="E30" i="12"/>
  <c r="E29" i="12"/>
  <c r="E27" i="12"/>
  <c r="E26" i="12"/>
  <c r="E25" i="12"/>
  <c r="E24" i="12"/>
  <c r="E23" i="12"/>
  <c r="E22" i="12"/>
  <c r="E21" i="12"/>
  <c r="F33" i="3"/>
  <c r="Q33" i="3" s="1"/>
  <c r="F31" i="3"/>
  <c r="V31" i="3" s="1"/>
  <c r="F30" i="3"/>
  <c r="F29" i="3"/>
  <c r="F69" i="3" s="1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E120" i="3" s="1"/>
  <c r="C99" i="3" s="1"/>
  <c r="F12" i="3"/>
  <c r="F11" i="3"/>
  <c r="F10" i="3"/>
  <c r="F9" i="3"/>
  <c r="F8" i="3"/>
  <c r="F7" i="3"/>
  <c r="F6" i="3"/>
  <c r="F4" i="3"/>
  <c r="F3" i="3"/>
  <c r="Q3" i="3" s="1"/>
  <c r="E5" i="3"/>
  <c r="F29" i="1"/>
  <c r="Q29" i="1" s="1"/>
  <c r="F27" i="1"/>
  <c r="F26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3" i="1"/>
  <c r="AA3" i="1" s="1"/>
  <c r="Q6" i="1" l="1"/>
  <c r="R20" i="1"/>
  <c r="H33" i="1"/>
  <c r="H32" i="1"/>
  <c r="E46" i="4"/>
  <c r="I72" i="3"/>
  <c r="E49" i="4"/>
  <c r="E51" i="4"/>
  <c r="Q9" i="1"/>
  <c r="E64" i="7"/>
  <c r="E64" i="3"/>
  <c r="E68" i="3"/>
  <c r="E58" i="3"/>
  <c r="AA34" i="3"/>
  <c r="E67" i="3"/>
  <c r="K37" i="1"/>
  <c r="E52" i="4"/>
  <c r="E62" i="3"/>
  <c r="E66" i="3"/>
  <c r="E61" i="3"/>
  <c r="E53" i="4"/>
  <c r="E71" i="3"/>
  <c r="E65" i="3"/>
  <c r="E48" i="7"/>
  <c r="Q7" i="1"/>
  <c r="V7" i="1"/>
  <c r="I37" i="1"/>
  <c r="E51" i="6"/>
  <c r="Q8" i="1"/>
  <c r="Q5" i="1"/>
  <c r="Z3" i="1"/>
  <c r="AF28" i="1"/>
  <c r="K73" i="4"/>
  <c r="K74" i="6"/>
  <c r="Z4" i="1"/>
  <c r="Q4" i="1"/>
  <c r="R6" i="1"/>
  <c r="Z6" i="1"/>
  <c r="S32" i="3"/>
  <c r="AC28" i="1"/>
  <c r="H74" i="6"/>
  <c r="AD28" i="1"/>
  <c r="E118" i="3"/>
  <c r="C97" i="3" s="1"/>
  <c r="H40" i="3"/>
  <c r="E119" i="3"/>
  <c r="C98" i="3" s="1"/>
  <c r="G72" i="3"/>
  <c r="E117" i="3"/>
  <c r="C96" i="3" s="1"/>
  <c r="P74" i="3"/>
  <c r="J74" i="6"/>
  <c r="I74" i="6"/>
  <c r="S28" i="1"/>
  <c r="I73" i="4"/>
  <c r="J73" i="4"/>
  <c r="E5" i="1"/>
  <c r="E36" i="1" s="1"/>
  <c r="P37" i="1"/>
  <c r="P73" i="4"/>
  <c r="P74" i="6"/>
  <c r="G36" i="3"/>
  <c r="AK28" i="1"/>
  <c r="AJ28" i="1"/>
  <c r="AE28" i="1"/>
  <c r="E32" i="4"/>
  <c r="E40" i="4" s="1"/>
  <c r="F32" i="3"/>
  <c r="AB32" i="3" s="1"/>
  <c r="AB28" i="1"/>
  <c r="O74" i="6"/>
  <c r="G74" i="6"/>
  <c r="H73" i="4"/>
  <c r="O73" i="4"/>
  <c r="G73" i="4"/>
  <c r="J37" i="1"/>
  <c r="AI28" i="1"/>
  <c r="U28" i="1"/>
  <c r="G37" i="1"/>
  <c r="N73" i="4"/>
  <c r="N74" i="6"/>
  <c r="AH28" i="1"/>
  <c r="N37" i="1"/>
  <c r="M74" i="6"/>
  <c r="M72" i="3"/>
  <c r="O37" i="1"/>
  <c r="M37" i="1"/>
  <c r="H72" i="3"/>
  <c r="F32" i="6"/>
  <c r="F41" i="6" s="1"/>
  <c r="E28" i="1"/>
  <c r="K74" i="3"/>
  <c r="F32" i="5"/>
  <c r="V32" i="5" s="1"/>
  <c r="G75" i="4"/>
  <c r="I74" i="3"/>
  <c r="G74" i="3"/>
  <c r="I75" i="4"/>
  <c r="F28" i="1"/>
  <c r="F37" i="1" s="1"/>
  <c r="F34" i="5"/>
  <c r="P75" i="4"/>
  <c r="F30" i="1"/>
  <c r="F34" i="6"/>
  <c r="R34" i="6" s="1"/>
  <c r="N75" i="4"/>
  <c r="E34" i="4"/>
  <c r="F34" i="3"/>
  <c r="F32" i="4"/>
  <c r="F40" i="4" s="1"/>
  <c r="E55" i="4"/>
  <c r="AC34" i="3"/>
  <c r="F33" i="7"/>
  <c r="R33" i="7" s="1"/>
  <c r="E39" i="3"/>
  <c r="E37" i="3"/>
  <c r="AA37" i="3" s="1"/>
  <c r="F64" i="4"/>
  <c r="Q74" i="4"/>
  <c r="F54" i="7"/>
  <c r="F55" i="7"/>
  <c r="E51" i="5"/>
  <c r="E30" i="1"/>
  <c r="E57" i="5"/>
  <c r="E54" i="7"/>
  <c r="E57" i="7"/>
  <c r="E55" i="7"/>
  <c r="E69" i="7"/>
  <c r="G36" i="1"/>
  <c r="G33" i="1"/>
  <c r="G32" i="1"/>
  <c r="I33" i="1"/>
  <c r="I32" i="1"/>
  <c r="H37" i="3"/>
  <c r="H36" i="3"/>
  <c r="I37" i="3"/>
  <c r="I36" i="3"/>
  <c r="P33" i="1"/>
  <c r="P32" i="1"/>
  <c r="L33" i="1"/>
  <c r="L32" i="1"/>
  <c r="J33" i="1"/>
  <c r="J32" i="1"/>
  <c r="G37" i="3"/>
  <c r="M33" i="1"/>
  <c r="M32" i="1"/>
  <c r="O33" i="1"/>
  <c r="O32" i="1"/>
  <c r="K33" i="1"/>
  <c r="K32" i="1"/>
  <c r="N33" i="1"/>
  <c r="N32" i="1"/>
  <c r="W28" i="1"/>
  <c r="L72" i="3"/>
  <c r="E40" i="3"/>
  <c r="AD34" i="3"/>
  <c r="S34" i="3"/>
  <c r="H74" i="3"/>
  <c r="O76" i="6"/>
  <c r="O75" i="4"/>
  <c r="U30" i="1"/>
  <c r="N76" i="6"/>
  <c r="M76" i="6"/>
  <c r="M75" i="4"/>
  <c r="L76" i="6"/>
  <c r="L74" i="3"/>
  <c r="W30" i="1"/>
  <c r="T30" i="1"/>
  <c r="K76" i="6"/>
  <c r="J76" i="6"/>
  <c r="J74" i="3"/>
  <c r="J75" i="4"/>
  <c r="S30" i="1"/>
  <c r="H75" i="4"/>
  <c r="H76" i="6"/>
  <c r="R12" i="8"/>
  <c r="V12" i="8"/>
  <c r="R31" i="8"/>
  <c r="V31" i="8"/>
  <c r="F32" i="8"/>
  <c r="F30" i="8"/>
  <c r="R28" i="8"/>
  <c r="V25" i="7"/>
  <c r="Q25" i="7"/>
  <c r="R25" i="7"/>
  <c r="R26" i="7"/>
  <c r="V26" i="7"/>
  <c r="Q26" i="7"/>
  <c r="F69" i="7"/>
  <c r="V28" i="7"/>
  <c r="Q28" i="7"/>
  <c r="R28" i="7"/>
  <c r="R27" i="7"/>
  <c r="V27" i="7"/>
  <c r="Q27" i="7"/>
  <c r="F31" i="7"/>
  <c r="F39" i="7" s="1"/>
  <c r="Q29" i="7"/>
  <c r="V30" i="7"/>
  <c r="R30" i="7"/>
  <c r="Q30" i="7"/>
  <c r="V32" i="7"/>
  <c r="R32" i="7"/>
  <c r="Q32" i="7"/>
  <c r="F55" i="5"/>
  <c r="F34" i="4"/>
  <c r="R30" i="4"/>
  <c r="AA32" i="3"/>
  <c r="E36" i="3"/>
  <c r="R31" i="3"/>
  <c r="E69" i="4"/>
  <c r="Q27" i="1"/>
  <c r="Z27" i="1"/>
  <c r="L74" i="6"/>
  <c r="AG28" i="1"/>
  <c r="L73" i="4"/>
  <c r="L37" i="1"/>
  <c r="T28" i="1"/>
  <c r="E60" i="7"/>
  <c r="Q29" i="4"/>
  <c r="Q31" i="3"/>
  <c r="F49" i="7"/>
  <c r="F50" i="7"/>
  <c r="F51" i="7"/>
  <c r="F57" i="7"/>
  <c r="F60" i="7"/>
  <c r="F64" i="7"/>
  <c r="F65" i="7"/>
  <c r="F66" i="7"/>
  <c r="F67" i="7"/>
  <c r="F68" i="7"/>
  <c r="F71" i="7"/>
  <c r="F73" i="7"/>
  <c r="F66" i="8"/>
  <c r="E49" i="7"/>
  <c r="E52" i="6"/>
  <c r="E50" i="7"/>
  <c r="E66" i="8"/>
  <c r="E70" i="7"/>
  <c r="T4" i="12"/>
  <c r="T5" i="12"/>
  <c r="T6" i="12"/>
  <c r="T7" i="12"/>
  <c r="T8" i="12"/>
  <c r="F61" i="7"/>
  <c r="F70" i="7"/>
  <c r="V29" i="7"/>
  <c r="R29" i="7"/>
  <c r="AB11" i="3"/>
  <c r="F53" i="3"/>
  <c r="F53" i="7"/>
  <c r="E54" i="5"/>
  <c r="E53" i="3"/>
  <c r="E53" i="7"/>
  <c r="E54" i="3"/>
  <c r="F51" i="5"/>
  <c r="F50" i="3"/>
  <c r="R11" i="1"/>
  <c r="F5" i="5"/>
  <c r="F51" i="6"/>
  <c r="F5" i="8"/>
  <c r="F55" i="4"/>
  <c r="F5" i="4"/>
  <c r="F5" i="6"/>
  <c r="P21" i="12"/>
  <c r="AB12" i="3"/>
  <c r="F54" i="3"/>
  <c r="R3" i="4"/>
  <c r="F5" i="7"/>
  <c r="V12" i="1"/>
  <c r="R15" i="4"/>
  <c r="E4" i="12"/>
  <c r="R10" i="4"/>
  <c r="V13" i="4"/>
  <c r="E5" i="4"/>
  <c r="R12" i="1"/>
  <c r="F5" i="1"/>
  <c r="R12" i="4"/>
  <c r="F5" i="3"/>
  <c r="V15" i="4"/>
  <c r="Q13" i="4"/>
  <c r="Q15" i="4"/>
  <c r="R13" i="4"/>
  <c r="D44" i="12"/>
  <c r="E70" i="6"/>
  <c r="E68" i="5"/>
  <c r="E79" i="3" l="1"/>
  <c r="F40" i="3"/>
  <c r="E72" i="3"/>
  <c r="E37" i="1"/>
  <c r="R30" i="1"/>
  <c r="AA36" i="3"/>
  <c r="E80" i="3"/>
  <c r="E74" i="3"/>
  <c r="Z5" i="1"/>
  <c r="V32" i="3"/>
  <c r="Q32" i="3"/>
  <c r="R32" i="3"/>
  <c r="F41" i="5"/>
  <c r="Q32" i="5"/>
  <c r="R32" i="5"/>
  <c r="V28" i="1"/>
  <c r="Q28" i="1"/>
  <c r="E74" i="6"/>
  <c r="Q32" i="6"/>
  <c r="F74" i="6"/>
  <c r="Z28" i="1"/>
  <c r="R32" i="6"/>
  <c r="V32" i="4"/>
  <c r="F74" i="3"/>
  <c r="Q32" i="4"/>
  <c r="F72" i="3"/>
  <c r="R32" i="4"/>
  <c r="R28" i="1"/>
  <c r="F73" i="4"/>
  <c r="AA28" i="1"/>
  <c r="F76" i="6"/>
  <c r="V34" i="3"/>
  <c r="AB34" i="3"/>
  <c r="Q33" i="7"/>
  <c r="V33" i="7"/>
  <c r="R34" i="3"/>
  <c r="Q34" i="6"/>
  <c r="Q34" i="3"/>
  <c r="V34" i="6"/>
  <c r="F37" i="3"/>
  <c r="F39" i="3"/>
  <c r="F36" i="3"/>
  <c r="F36" i="1"/>
  <c r="F33" i="1"/>
  <c r="AA33" i="1" s="1"/>
  <c r="F32" i="1"/>
  <c r="E39" i="4"/>
  <c r="E37" i="4"/>
  <c r="E36" i="4"/>
  <c r="F37" i="6"/>
  <c r="F36" i="6"/>
  <c r="F40" i="6"/>
  <c r="F39" i="4"/>
  <c r="F36" i="4"/>
  <c r="F37" i="4"/>
  <c r="R34" i="4"/>
  <c r="F75" i="4"/>
  <c r="V34" i="4"/>
  <c r="V30" i="1"/>
  <c r="Q30" i="1"/>
  <c r="E74" i="7"/>
  <c r="E76" i="6"/>
  <c r="E75" i="4"/>
  <c r="F34" i="8"/>
  <c r="F37" i="8"/>
  <c r="F35" i="8"/>
  <c r="V30" i="8"/>
  <c r="Q30" i="8"/>
  <c r="R30" i="8"/>
  <c r="Q32" i="8"/>
  <c r="R32" i="8"/>
  <c r="V32" i="8"/>
  <c r="F38" i="8"/>
  <c r="F38" i="7"/>
  <c r="F36" i="7"/>
  <c r="F35" i="7"/>
  <c r="V31" i="7"/>
  <c r="R31" i="7"/>
  <c r="Q31" i="7"/>
  <c r="F36" i="5"/>
  <c r="F37" i="5"/>
  <c r="V34" i="5"/>
  <c r="R34" i="5"/>
  <c r="Q34" i="5"/>
  <c r="V32" i="6"/>
  <c r="Q34" i="4"/>
  <c r="Q71" i="3"/>
  <c r="AA5" i="1"/>
  <c r="E73" i="4"/>
  <c r="Q5" i="6"/>
  <c r="V5" i="6"/>
  <c r="R5" i="4"/>
  <c r="Q12" i="1"/>
  <c r="Q55" i="4" s="1"/>
  <c r="G54" i="3"/>
  <c r="H54" i="3"/>
  <c r="I54" i="3"/>
  <c r="J54" i="3"/>
  <c r="K54" i="3"/>
  <c r="L54" i="3"/>
  <c r="M54" i="3"/>
  <c r="N54" i="3"/>
  <c r="O54" i="3"/>
  <c r="P54" i="3"/>
  <c r="G55" i="4"/>
  <c r="H55" i="4"/>
  <c r="I55" i="4"/>
  <c r="J55" i="4"/>
  <c r="K55" i="4"/>
  <c r="L55" i="4"/>
  <c r="M55" i="4"/>
  <c r="N55" i="4"/>
  <c r="O55" i="4"/>
  <c r="P55" i="4"/>
  <c r="F55" i="6"/>
  <c r="G55" i="6"/>
  <c r="H55" i="6"/>
  <c r="I55" i="6"/>
  <c r="J55" i="6"/>
  <c r="K55" i="6"/>
  <c r="L55" i="6"/>
  <c r="M55" i="6"/>
  <c r="N55" i="6"/>
  <c r="O55" i="6"/>
  <c r="P55" i="6"/>
  <c r="E55" i="6"/>
  <c r="E13" i="5"/>
  <c r="E34" i="12"/>
  <c r="G34" i="12"/>
  <c r="H34" i="12"/>
  <c r="J34" i="12"/>
  <c r="K34" i="12"/>
  <c r="L34" i="12"/>
  <c r="N34" i="12"/>
  <c r="O34" i="12"/>
  <c r="D34" i="12"/>
  <c r="X56" i="6"/>
  <c r="Q12" i="7"/>
  <c r="R12" i="7"/>
  <c r="V12" i="7"/>
  <c r="R13" i="5"/>
  <c r="V13" i="5"/>
  <c r="R10" i="5"/>
  <c r="V10" i="5"/>
  <c r="P28" i="12"/>
  <c r="P47" i="12" s="1"/>
  <c r="Q13" i="6"/>
  <c r="R13" i="6"/>
  <c r="V13" i="6"/>
  <c r="R10" i="6"/>
  <c r="V10" i="6"/>
  <c r="Q10" i="4"/>
  <c r="V10" i="4"/>
  <c r="Q12" i="3"/>
  <c r="R12" i="3"/>
  <c r="V12" i="3"/>
  <c r="AA12" i="3"/>
  <c r="Q72" i="3" l="1"/>
  <c r="Q74" i="6"/>
  <c r="Q74" i="3"/>
  <c r="F78" i="6"/>
  <c r="Q76" i="6"/>
  <c r="Q75" i="4"/>
  <c r="E55" i="5"/>
  <c r="Q13" i="5"/>
  <c r="Q55" i="5" s="1"/>
  <c r="F77" i="3"/>
  <c r="Q73" i="4"/>
  <c r="Q55" i="6"/>
  <c r="Q54" i="3"/>
  <c r="C21" i="13"/>
  <c r="E33" i="1" l="1"/>
  <c r="E79" i="6" s="1"/>
  <c r="E32" i="1"/>
  <c r="E76" i="3" s="1"/>
  <c r="E46" i="7"/>
  <c r="E48" i="4"/>
  <c r="E47" i="3"/>
  <c r="X62" i="6"/>
  <c r="E60" i="4"/>
  <c r="E61" i="4"/>
  <c r="AA61" i="4"/>
  <c r="AA56" i="4"/>
  <c r="E16" i="12"/>
  <c r="E69" i="12" s="1"/>
  <c r="F16" i="12"/>
  <c r="F69" i="12" s="1"/>
  <c r="G16" i="12"/>
  <c r="G69" i="12" s="1"/>
  <c r="H16" i="12"/>
  <c r="H69" i="12" s="1"/>
  <c r="I16" i="12"/>
  <c r="I69" i="12" s="1"/>
  <c r="J16" i="12"/>
  <c r="J69" i="12" s="1"/>
  <c r="K16" i="12"/>
  <c r="K69" i="12" s="1"/>
  <c r="L16" i="12"/>
  <c r="L69" i="12" s="1"/>
  <c r="M16" i="12"/>
  <c r="M69" i="12" s="1"/>
  <c r="N16" i="12"/>
  <c r="N69" i="12" s="1"/>
  <c r="O16" i="12"/>
  <c r="O69" i="12" s="1"/>
  <c r="F4" i="12"/>
  <c r="G4" i="12"/>
  <c r="H4" i="12"/>
  <c r="I4" i="12"/>
  <c r="J4" i="12"/>
  <c r="K4" i="12"/>
  <c r="L4" i="12"/>
  <c r="M4" i="12"/>
  <c r="N4" i="12"/>
  <c r="O4" i="12"/>
  <c r="E5" i="12"/>
  <c r="F5" i="12"/>
  <c r="G5" i="12"/>
  <c r="H5" i="12"/>
  <c r="I5" i="12"/>
  <c r="J5" i="12"/>
  <c r="K5" i="12"/>
  <c r="L5" i="12"/>
  <c r="M5" i="12"/>
  <c r="N5" i="12"/>
  <c r="O5" i="12"/>
  <c r="E6" i="12"/>
  <c r="F6" i="12"/>
  <c r="G6" i="12"/>
  <c r="H6" i="12"/>
  <c r="I6" i="12"/>
  <c r="J6" i="12"/>
  <c r="K6" i="12"/>
  <c r="L6" i="12"/>
  <c r="M6" i="12"/>
  <c r="N6" i="12"/>
  <c r="O6" i="12"/>
  <c r="E7" i="12"/>
  <c r="F7" i="12"/>
  <c r="G7" i="12"/>
  <c r="H7" i="12"/>
  <c r="I7" i="12"/>
  <c r="J7" i="12"/>
  <c r="K7" i="12"/>
  <c r="L7" i="12"/>
  <c r="M7" i="12"/>
  <c r="N7" i="12"/>
  <c r="O7" i="12"/>
  <c r="E8" i="12"/>
  <c r="F8" i="12"/>
  <c r="G8" i="12"/>
  <c r="H8" i="12"/>
  <c r="I8" i="12"/>
  <c r="J8" i="12"/>
  <c r="K8" i="12"/>
  <c r="L8" i="12"/>
  <c r="M8" i="12"/>
  <c r="N8" i="12"/>
  <c r="O8" i="12"/>
  <c r="E9" i="12"/>
  <c r="F9" i="12"/>
  <c r="G9" i="12"/>
  <c r="H9" i="12"/>
  <c r="I9" i="12"/>
  <c r="J9" i="12"/>
  <c r="K9" i="12"/>
  <c r="L9" i="12"/>
  <c r="M9" i="12"/>
  <c r="N9" i="12"/>
  <c r="O9" i="12"/>
  <c r="E10" i="12"/>
  <c r="F10" i="12"/>
  <c r="G10" i="12"/>
  <c r="H10" i="12"/>
  <c r="I10" i="12"/>
  <c r="J10" i="12"/>
  <c r="K10" i="12"/>
  <c r="L10" i="12"/>
  <c r="M10" i="12"/>
  <c r="N10" i="12"/>
  <c r="O10" i="12"/>
  <c r="E11" i="12"/>
  <c r="F11" i="12"/>
  <c r="G11" i="12"/>
  <c r="H11" i="12"/>
  <c r="I11" i="12"/>
  <c r="J11" i="12"/>
  <c r="K11" i="12"/>
  <c r="L11" i="12"/>
  <c r="M11" i="12"/>
  <c r="N11" i="12"/>
  <c r="O11" i="12"/>
  <c r="E12" i="12"/>
  <c r="F12" i="12"/>
  <c r="G12" i="12"/>
  <c r="H12" i="12"/>
  <c r="I12" i="12"/>
  <c r="J12" i="12"/>
  <c r="K12" i="12"/>
  <c r="L12" i="12"/>
  <c r="M12" i="12"/>
  <c r="N12" i="12"/>
  <c r="O12" i="12"/>
  <c r="E13" i="12"/>
  <c r="F13" i="12"/>
  <c r="G13" i="12"/>
  <c r="H13" i="12"/>
  <c r="I13" i="12"/>
  <c r="J13" i="12"/>
  <c r="K13" i="12"/>
  <c r="L13" i="12"/>
  <c r="M13" i="12"/>
  <c r="N13" i="12"/>
  <c r="O13" i="12"/>
  <c r="E14" i="12"/>
  <c r="F14" i="12"/>
  <c r="G14" i="12"/>
  <c r="H14" i="12"/>
  <c r="I14" i="12"/>
  <c r="J14" i="12"/>
  <c r="K14" i="12"/>
  <c r="L14" i="12"/>
  <c r="M14" i="12"/>
  <c r="N14" i="12"/>
  <c r="O14" i="12"/>
  <c r="E15" i="12"/>
  <c r="F15" i="12"/>
  <c r="G15" i="12"/>
  <c r="H15" i="12"/>
  <c r="I15" i="12"/>
  <c r="J15" i="12"/>
  <c r="K15" i="12"/>
  <c r="L15" i="12"/>
  <c r="M15" i="12"/>
  <c r="N15" i="12"/>
  <c r="O15" i="12"/>
  <c r="D16" i="12"/>
  <c r="D69" i="12" s="1"/>
  <c r="D46" i="12"/>
  <c r="D43" i="12"/>
  <c r="D15" i="12"/>
  <c r="D14" i="12"/>
  <c r="D13" i="12"/>
  <c r="D12" i="12"/>
  <c r="D65" i="12" s="1"/>
  <c r="D11" i="12"/>
  <c r="D10" i="12"/>
  <c r="D9" i="12"/>
  <c r="D8" i="12"/>
  <c r="D7" i="12"/>
  <c r="S6" i="12" s="1"/>
  <c r="D6" i="12"/>
  <c r="D5" i="12"/>
  <c r="D4" i="12"/>
  <c r="Y60" i="3"/>
  <c r="Y55" i="3"/>
  <c r="G87" i="3" l="1"/>
  <c r="Z32" i="1"/>
  <c r="E77" i="4"/>
  <c r="F87" i="4" s="1"/>
  <c r="S4" i="12"/>
  <c r="Z33" i="1"/>
  <c r="E78" i="4"/>
  <c r="S5" i="12"/>
  <c r="S7" i="12"/>
  <c r="S8" i="12"/>
  <c r="D17" i="12"/>
  <c r="O17" i="12"/>
  <c r="N17" i="12"/>
  <c r="M17" i="12"/>
  <c r="L17" i="12"/>
  <c r="K17" i="12"/>
  <c r="J17" i="12"/>
  <c r="I17" i="12"/>
  <c r="H17" i="12"/>
  <c r="G17" i="12"/>
  <c r="F17" i="12"/>
  <c r="E17" i="12"/>
  <c r="D58" i="12" l="1"/>
  <c r="E5" i="5"/>
  <c r="E40" i="5" l="1"/>
  <c r="E36" i="5"/>
  <c r="E78" i="5" s="1"/>
  <c r="E37" i="5"/>
  <c r="Q5" i="5"/>
  <c r="D35" i="12"/>
  <c r="AA13" i="3" l="1"/>
  <c r="AA11" i="3"/>
  <c r="Z12" i="1"/>
  <c r="AA12" i="1"/>
  <c r="AB12" i="1"/>
  <c r="AC12" i="1"/>
  <c r="AD12" i="1"/>
  <c r="AE12" i="1"/>
  <c r="AF12" i="1"/>
  <c r="AG12" i="1"/>
  <c r="AH12" i="1"/>
  <c r="AI12" i="1"/>
  <c r="AJ12" i="1"/>
  <c r="AK12" i="1"/>
  <c r="D120" i="3" l="1"/>
  <c r="D117" i="3"/>
  <c r="D118" i="3"/>
  <c r="E116" i="3"/>
  <c r="C95" i="3" s="1"/>
  <c r="D116" i="3"/>
  <c r="D119" i="3"/>
  <c r="D115" i="3"/>
  <c r="E115" i="3"/>
  <c r="C94" i="3" s="1"/>
  <c r="C117" i="3"/>
  <c r="P16" i="12"/>
  <c r="C116" i="3"/>
  <c r="C115" i="3"/>
  <c r="P33" i="12"/>
  <c r="E52" i="12"/>
  <c r="F52" i="12"/>
  <c r="G52" i="12"/>
  <c r="H52" i="12"/>
  <c r="I52" i="12"/>
  <c r="J52" i="12"/>
  <c r="K52" i="12"/>
  <c r="L52" i="12"/>
  <c r="M52" i="12"/>
  <c r="N52" i="12"/>
  <c r="O52" i="12"/>
  <c r="Q30" i="3"/>
  <c r="R30" i="3"/>
  <c r="P52" i="12" l="1"/>
  <c r="P69" i="12"/>
  <c r="L45" i="12"/>
  <c r="K51" i="12"/>
  <c r="L51" i="12"/>
  <c r="M51" i="12"/>
  <c r="N51" i="12"/>
  <c r="O51" i="12"/>
  <c r="M45" i="12"/>
  <c r="N45" i="12"/>
  <c r="O45" i="12"/>
  <c r="K45" i="12"/>
  <c r="G45" i="12"/>
  <c r="I45" i="12"/>
  <c r="D45" i="12"/>
  <c r="F45" i="12"/>
  <c r="E45" i="12" l="1"/>
  <c r="J45" i="12"/>
  <c r="H45" i="12"/>
  <c r="P26" i="12"/>
  <c r="K48" i="12"/>
  <c r="P45" i="12" l="1"/>
  <c r="M44" i="12" l="1"/>
  <c r="N44" i="12"/>
  <c r="O44" i="12"/>
  <c r="J44" i="12"/>
  <c r="K44" i="12"/>
  <c r="L44" i="12"/>
  <c r="G44" i="12"/>
  <c r="H44" i="12"/>
  <c r="I44" i="12"/>
  <c r="E44" i="12"/>
  <c r="F44" i="12"/>
  <c r="M46" i="12"/>
  <c r="N46" i="12"/>
  <c r="O46" i="12"/>
  <c r="J46" i="12"/>
  <c r="K46" i="12"/>
  <c r="L46" i="12"/>
  <c r="G46" i="12"/>
  <c r="H46" i="12"/>
  <c r="I46" i="12"/>
  <c r="E46" i="12"/>
  <c r="F46" i="12"/>
  <c r="P27" i="12" l="1"/>
  <c r="P46" i="12" s="1"/>
  <c r="K43" i="12"/>
  <c r="L43" i="12"/>
  <c r="M43" i="12"/>
  <c r="N43" i="12"/>
  <c r="O43" i="12"/>
  <c r="N68" i="12" l="1"/>
  <c r="O68" i="12"/>
  <c r="K68" i="12"/>
  <c r="P25" i="12"/>
  <c r="P44" i="12" s="1"/>
  <c r="G51" i="12"/>
  <c r="H51" i="12"/>
  <c r="I51" i="12"/>
  <c r="D51" i="12"/>
  <c r="E51" i="12"/>
  <c r="F51" i="12"/>
  <c r="E68" i="12" l="1"/>
  <c r="F68" i="12"/>
  <c r="D68" i="12"/>
  <c r="U8" i="12"/>
  <c r="L68" i="12"/>
  <c r="G68" i="12"/>
  <c r="M68" i="12"/>
  <c r="P15" i="12"/>
  <c r="I68" i="12"/>
  <c r="H68" i="12"/>
  <c r="G42" i="12"/>
  <c r="F42" i="12"/>
  <c r="E42" i="12"/>
  <c r="D42" i="12"/>
  <c r="J68" i="12" l="1"/>
  <c r="J51" i="12"/>
  <c r="P32" i="12"/>
  <c r="J43" i="12"/>
  <c r="G43" i="12"/>
  <c r="H43" i="12"/>
  <c r="I43" i="12"/>
  <c r="E43" i="12"/>
  <c r="F43" i="12"/>
  <c r="P51" i="12" l="1"/>
  <c r="P68" i="12"/>
  <c r="U6" i="12"/>
  <c r="P24" i="12"/>
  <c r="P43" i="12" s="1"/>
  <c r="Z137" i="4" l="1"/>
  <c r="Z136" i="4"/>
  <c r="W135" i="4"/>
  <c r="X135" i="4"/>
  <c r="T135" i="4" l="1"/>
  <c r="U135" i="4"/>
  <c r="V135" i="4"/>
  <c r="J136" i="4"/>
  <c r="I136" i="4" l="1"/>
  <c r="H20" i="13" l="1"/>
  <c r="I20" i="13"/>
  <c r="J20" i="13"/>
  <c r="K20" i="13"/>
  <c r="L20" i="13"/>
  <c r="M20" i="13"/>
  <c r="N20" i="13"/>
  <c r="H21" i="13"/>
  <c r="I21" i="13"/>
  <c r="J21" i="13"/>
  <c r="K21" i="13"/>
  <c r="L21" i="13"/>
  <c r="M21" i="13"/>
  <c r="N21" i="13"/>
  <c r="H23" i="13"/>
  <c r="I23" i="13"/>
  <c r="J23" i="13"/>
  <c r="K23" i="13"/>
  <c r="L23" i="13"/>
  <c r="M23" i="13"/>
  <c r="N23" i="13"/>
  <c r="H24" i="13"/>
  <c r="I24" i="13"/>
  <c r="J24" i="13"/>
  <c r="K24" i="13"/>
  <c r="L24" i="13"/>
  <c r="M24" i="13"/>
  <c r="N24" i="13"/>
  <c r="H25" i="13"/>
  <c r="I25" i="13"/>
  <c r="J25" i="13"/>
  <c r="K25" i="13"/>
  <c r="L25" i="13"/>
  <c r="M25" i="13"/>
  <c r="N25" i="13"/>
  <c r="H26" i="13"/>
  <c r="I26" i="13"/>
  <c r="J26" i="13"/>
  <c r="K26" i="13"/>
  <c r="L26" i="13"/>
  <c r="M26" i="13"/>
  <c r="N26" i="13"/>
  <c r="H27" i="13"/>
  <c r="I27" i="13"/>
  <c r="J27" i="13"/>
  <c r="K27" i="13"/>
  <c r="L27" i="13"/>
  <c r="M27" i="13"/>
  <c r="N27" i="13"/>
  <c r="H28" i="13"/>
  <c r="I28" i="13"/>
  <c r="J28" i="13"/>
  <c r="K28" i="13"/>
  <c r="L28" i="13"/>
  <c r="M28" i="13"/>
  <c r="N28" i="13"/>
  <c r="H29" i="13"/>
  <c r="I29" i="13"/>
  <c r="J29" i="13"/>
  <c r="K29" i="13"/>
  <c r="L29" i="13"/>
  <c r="M29" i="13"/>
  <c r="N29" i="13"/>
  <c r="C25" i="13"/>
  <c r="C42" i="13" s="1"/>
  <c r="D25" i="13"/>
  <c r="E25" i="13"/>
  <c r="F25" i="13"/>
  <c r="G25" i="13"/>
  <c r="D23" i="13"/>
  <c r="E23" i="13"/>
  <c r="F23" i="13"/>
  <c r="G23" i="13"/>
  <c r="J32" i="13"/>
  <c r="D20" i="13"/>
  <c r="F20" i="13"/>
  <c r="G20" i="13"/>
  <c r="D21" i="13"/>
  <c r="E21" i="13"/>
  <c r="F21" i="13"/>
  <c r="G21" i="13"/>
  <c r="D28" i="13"/>
  <c r="E28" i="13"/>
  <c r="F28" i="13"/>
  <c r="G28" i="13"/>
  <c r="D29" i="13"/>
  <c r="E29" i="13"/>
  <c r="F29" i="13"/>
  <c r="G29" i="13"/>
  <c r="D26" i="13"/>
  <c r="E26" i="13"/>
  <c r="F26" i="13"/>
  <c r="G26" i="13"/>
  <c r="D27" i="13"/>
  <c r="E27" i="13"/>
  <c r="F27" i="13"/>
  <c r="G27" i="13"/>
  <c r="D24" i="13"/>
  <c r="E24" i="13"/>
  <c r="F24" i="13"/>
  <c r="G24" i="13"/>
  <c r="N32" i="13" l="1"/>
  <c r="M32" i="13"/>
  <c r="L32" i="13"/>
  <c r="L31" i="13"/>
  <c r="K32" i="13"/>
  <c r="K31" i="13"/>
  <c r="J22" i="13"/>
  <c r="J31" i="13"/>
  <c r="I22" i="13"/>
  <c r="I31" i="13"/>
  <c r="H22" i="13"/>
  <c r="H31" i="13"/>
  <c r="O8" i="13"/>
  <c r="O24" i="13" s="1"/>
  <c r="O7" i="13"/>
  <c r="O23" i="13" s="1"/>
  <c r="C32" i="13"/>
  <c r="O5" i="13"/>
  <c r="O21" i="13" s="1"/>
  <c r="O12" i="13"/>
  <c r="O28" i="13" s="1"/>
  <c r="C23" i="13"/>
  <c r="C40" i="13" s="1"/>
  <c r="O10" i="13"/>
  <c r="O26" i="13" s="1"/>
  <c r="O11" i="13"/>
  <c r="I32" i="13"/>
  <c r="C28" i="13"/>
  <c r="C45" i="13" s="1"/>
  <c r="N22" i="13"/>
  <c r="O13" i="13"/>
  <c r="O29" i="13" s="1"/>
  <c r="H32" i="13"/>
  <c r="C26" i="13"/>
  <c r="M22" i="13"/>
  <c r="E20" i="13"/>
  <c r="O4" i="13"/>
  <c r="O20" i="13" s="1"/>
  <c r="C24" i="13"/>
  <c r="L22" i="13"/>
  <c r="N31" i="13"/>
  <c r="K22" i="13"/>
  <c r="C20" i="13"/>
  <c r="C37" i="13" s="1"/>
  <c r="O9" i="13"/>
  <c r="O25" i="13" s="1"/>
  <c r="M31" i="13"/>
  <c r="C27" i="13"/>
  <c r="C44" i="13" s="1"/>
  <c r="O27" i="13" l="1"/>
  <c r="F22" i="13"/>
  <c r="F31" i="13"/>
  <c r="C22" i="13"/>
  <c r="C31" i="13"/>
  <c r="D31" i="13"/>
  <c r="E22" i="13"/>
  <c r="E31" i="13"/>
  <c r="G22" i="13"/>
  <c r="G31" i="13"/>
  <c r="F32" i="13"/>
  <c r="G32" i="13"/>
  <c r="E32" i="13"/>
  <c r="D32" i="13"/>
  <c r="D22" i="13"/>
  <c r="O6" i="13"/>
  <c r="O16" i="13" l="1"/>
  <c r="O15" i="13"/>
  <c r="O31" i="13"/>
  <c r="O22" i="13"/>
  <c r="O32" i="13" l="1"/>
  <c r="P5" i="13"/>
  <c r="P13" i="13"/>
  <c r="P8" i="13"/>
  <c r="P12" i="13"/>
  <c r="P6" i="13"/>
  <c r="P4" i="13"/>
  <c r="P10" i="13"/>
  <c r="P7" i="13"/>
  <c r="P9" i="13"/>
  <c r="P11" i="13"/>
  <c r="M50" i="12"/>
  <c r="N50" i="12"/>
  <c r="O50" i="12"/>
  <c r="J50" i="12"/>
  <c r="K50" i="12"/>
  <c r="L50" i="12"/>
  <c r="G50" i="12"/>
  <c r="H50" i="12"/>
  <c r="I50" i="12"/>
  <c r="D50" i="12"/>
  <c r="E50" i="12"/>
  <c r="F50" i="12"/>
  <c r="M49" i="12"/>
  <c r="N49" i="12"/>
  <c r="O49" i="12"/>
  <c r="J49" i="12"/>
  <c r="K49" i="12"/>
  <c r="L49" i="12"/>
  <c r="G49" i="12"/>
  <c r="H49" i="12"/>
  <c r="I49" i="12"/>
  <c r="D49" i="12"/>
  <c r="E49" i="12"/>
  <c r="F49" i="12"/>
  <c r="M48" i="12"/>
  <c r="N48" i="12"/>
  <c r="O48" i="12"/>
  <c r="J48" i="12"/>
  <c r="L48" i="12"/>
  <c r="G48" i="12"/>
  <c r="H48" i="12"/>
  <c r="I48" i="12"/>
  <c r="D48" i="12"/>
  <c r="E48" i="12"/>
  <c r="F48" i="12"/>
  <c r="M40" i="12"/>
  <c r="N40" i="12"/>
  <c r="O40" i="12"/>
  <c r="M41" i="12"/>
  <c r="N41" i="12"/>
  <c r="O41" i="12"/>
  <c r="J40" i="12"/>
  <c r="K40" i="12"/>
  <c r="L40" i="12"/>
  <c r="J41" i="12"/>
  <c r="K41" i="12"/>
  <c r="L41" i="12"/>
  <c r="G40" i="12"/>
  <c r="H40" i="12"/>
  <c r="I40" i="12"/>
  <c r="G41" i="12"/>
  <c r="H41" i="12"/>
  <c r="I41" i="12"/>
  <c r="E40" i="12"/>
  <c r="F40" i="12"/>
  <c r="D41" i="12"/>
  <c r="D74" i="12" s="1"/>
  <c r="E41" i="12"/>
  <c r="F41" i="12"/>
  <c r="M42" i="12"/>
  <c r="N42" i="12"/>
  <c r="O42" i="12"/>
  <c r="J42" i="12"/>
  <c r="K42" i="12"/>
  <c r="L42" i="12"/>
  <c r="H42" i="12"/>
  <c r="I42" i="12"/>
  <c r="N75" i="12" l="1"/>
  <c r="O30" i="11" s="1"/>
  <c r="K75" i="12"/>
  <c r="L30" i="11" s="1"/>
  <c r="O75" i="12"/>
  <c r="P30" i="11" s="1"/>
  <c r="J75" i="12"/>
  <c r="K30" i="11" s="1"/>
  <c r="M75" i="12"/>
  <c r="N30" i="11" s="1"/>
  <c r="F75" i="12"/>
  <c r="G30" i="11" s="1"/>
  <c r="E75" i="12"/>
  <c r="F30" i="11" s="1"/>
  <c r="I75" i="12"/>
  <c r="J30" i="11" s="1"/>
  <c r="H75" i="12"/>
  <c r="I30" i="11" s="1"/>
  <c r="G75" i="12"/>
  <c r="H30" i="11" s="1"/>
  <c r="L75" i="12"/>
  <c r="M30" i="11" s="1"/>
  <c r="F74" i="12"/>
  <c r="E74" i="12"/>
  <c r="I74" i="12"/>
  <c r="H74" i="12"/>
  <c r="G74" i="12"/>
  <c r="L74" i="12"/>
  <c r="K74" i="12"/>
  <c r="K76" i="12" s="1"/>
  <c r="J74" i="12"/>
  <c r="J76" i="12" s="1"/>
  <c r="O74" i="12"/>
  <c r="N74" i="12"/>
  <c r="N76" i="12" s="1"/>
  <c r="M74" i="12"/>
  <c r="D75" i="12"/>
  <c r="U7" i="12"/>
  <c r="U5" i="12"/>
  <c r="G65" i="12"/>
  <c r="G67" i="12"/>
  <c r="P31" i="12"/>
  <c r="P50" i="12" s="1"/>
  <c r="P30" i="12"/>
  <c r="P49" i="12" s="1"/>
  <c r="P29" i="12"/>
  <c r="P48" i="12" s="1"/>
  <c r="P23" i="12"/>
  <c r="P42" i="12" s="1"/>
  <c r="P22" i="12"/>
  <c r="P41" i="12" s="1"/>
  <c r="I76" i="12" l="1"/>
  <c r="E76" i="12"/>
  <c r="O76" i="12"/>
  <c r="M76" i="12"/>
  <c r="G76" i="12"/>
  <c r="H76" i="12"/>
  <c r="F76" i="12"/>
  <c r="L76" i="12"/>
  <c r="P75" i="12"/>
  <c r="Q30" i="11" s="1"/>
  <c r="S30" i="11" s="1"/>
  <c r="D76" i="12"/>
  <c r="E30" i="11"/>
  <c r="P40" i="12"/>
  <c r="P74" i="12" s="1"/>
  <c r="P34" i="12"/>
  <c r="E8" i="11"/>
  <c r="D53" i="12"/>
  <c r="K35" i="12"/>
  <c r="L8" i="11" s="1"/>
  <c r="K53" i="12"/>
  <c r="G35" i="12"/>
  <c r="H8" i="11" s="1"/>
  <c r="G53" i="12"/>
  <c r="J35" i="12"/>
  <c r="K8" i="11" s="1"/>
  <c r="J53" i="12"/>
  <c r="G8" i="11"/>
  <c r="F53" i="12"/>
  <c r="E35" i="12"/>
  <c r="F8" i="11" s="1"/>
  <c r="E53" i="12"/>
  <c r="H35" i="12"/>
  <c r="I8" i="11" s="1"/>
  <c r="H53" i="12"/>
  <c r="I35" i="12"/>
  <c r="J8" i="11" s="1"/>
  <c r="I53" i="12"/>
  <c r="N35" i="12"/>
  <c r="O8" i="11" s="1"/>
  <c r="N53" i="12"/>
  <c r="O35" i="12"/>
  <c r="P8" i="11" s="1"/>
  <c r="O53" i="12"/>
  <c r="M35" i="12"/>
  <c r="N8" i="11" s="1"/>
  <c r="M53" i="12"/>
  <c r="L35" i="12"/>
  <c r="M8" i="11" s="1"/>
  <c r="L53" i="12"/>
  <c r="T9" i="12"/>
  <c r="U4" i="12"/>
  <c r="U9" i="12" s="1"/>
  <c r="P76" i="12" l="1"/>
  <c r="C120" i="3"/>
  <c r="C118" i="3"/>
  <c r="C119" i="3"/>
  <c r="P35" i="12"/>
  <c r="Q8" i="11" s="1"/>
  <c r="S8" i="11" s="1"/>
  <c r="P53" i="12"/>
  <c r="Q10" i="5"/>
  <c r="Q10" i="6"/>
  <c r="L71" i="6" l="1"/>
  <c r="Q25" i="8"/>
  <c r="R25" i="8"/>
  <c r="S25" i="8"/>
  <c r="T25" i="8"/>
  <c r="U25" i="8"/>
  <c r="V25" i="8"/>
  <c r="W25" i="8"/>
  <c r="Q26" i="8"/>
  <c r="R26" i="8"/>
  <c r="S26" i="8"/>
  <c r="T26" i="8"/>
  <c r="U26" i="8"/>
  <c r="V26" i="8"/>
  <c r="W26" i="8"/>
  <c r="Q27" i="8"/>
  <c r="R27" i="8"/>
  <c r="S27" i="8"/>
  <c r="T27" i="8"/>
  <c r="U27" i="8"/>
  <c r="V27" i="8"/>
  <c r="W27" i="8"/>
  <c r="Q28" i="8"/>
  <c r="S28" i="8"/>
  <c r="T28" i="8"/>
  <c r="U28" i="8"/>
  <c r="V28" i="8"/>
  <c r="W28" i="8"/>
  <c r="R29" i="8"/>
  <c r="S29" i="8"/>
  <c r="T29" i="8"/>
  <c r="U29" i="8"/>
  <c r="V29" i="8"/>
  <c r="W29" i="8"/>
  <c r="Q31" i="8"/>
  <c r="E71" i="6"/>
  <c r="G71" i="6"/>
  <c r="H71" i="6"/>
  <c r="I71" i="6"/>
  <c r="J71" i="6"/>
  <c r="K71" i="6"/>
  <c r="M71" i="6"/>
  <c r="N71" i="6"/>
  <c r="O71" i="6"/>
  <c r="P71" i="6"/>
  <c r="E72" i="6"/>
  <c r="F72" i="6"/>
  <c r="G72" i="6"/>
  <c r="H72" i="6"/>
  <c r="I72" i="6"/>
  <c r="J72" i="6"/>
  <c r="K72" i="6"/>
  <c r="L72" i="6"/>
  <c r="M72" i="6"/>
  <c r="N72" i="6"/>
  <c r="O72" i="6"/>
  <c r="P72" i="6"/>
  <c r="E73" i="6"/>
  <c r="F73" i="6"/>
  <c r="G73" i="6"/>
  <c r="H73" i="6"/>
  <c r="I73" i="6"/>
  <c r="J73" i="6"/>
  <c r="K73" i="6"/>
  <c r="L73" i="6"/>
  <c r="M73" i="6"/>
  <c r="N73" i="6"/>
  <c r="O73" i="6"/>
  <c r="P73" i="6"/>
  <c r="AM1" i="3"/>
  <c r="AM12" i="3" l="1"/>
  <c r="AM34" i="3"/>
  <c r="AM32" i="3"/>
  <c r="K40" i="5"/>
  <c r="J40" i="5"/>
  <c r="O39" i="4"/>
  <c r="P39" i="4"/>
  <c r="L45" i="13"/>
  <c r="M45" i="13"/>
  <c r="N45" i="13"/>
  <c r="I45" i="13"/>
  <c r="J45" i="13"/>
  <c r="K45" i="13"/>
  <c r="F45" i="13"/>
  <c r="G45" i="13"/>
  <c r="H45" i="13"/>
  <c r="D45" i="13"/>
  <c r="E45" i="13"/>
  <c r="L44" i="13"/>
  <c r="M44" i="13"/>
  <c r="N44" i="13"/>
  <c r="I44" i="13"/>
  <c r="J44" i="13"/>
  <c r="K44" i="13"/>
  <c r="F44" i="13"/>
  <c r="G44" i="13"/>
  <c r="H44" i="13"/>
  <c r="D44" i="13"/>
  <c r="E44" i="13"/>
  <c r="L42" i="13"/>
  <c r="M42" i="13"/>
  <c r="N42" i="13"/>
  <c r="I42" i="13"/>
  <c r="J42" i="13"/>
  <c r="K42" i="13"/>
  <c r="F42" i="13"/>
  <c r="G42" i="13"/>
  <c r="H42" i="13"/>
  <c r="D42" i="13"/>
  <c r="E42" i="13"/>
  <c r="K65" i="12" l="1"/>
  <c r="J58" i="7"/>
  <c r="J55" i="8"/>
  <c r="K58" i="7"/>
  <c r="K55" i="8"/>
  <c r="N58" i="7"/>
  <c r="N55" i="8"/>
  <c r="I55" i="8"/>
  <c r="I58" i="7"/>
  <c r="G58" i="7"/>
  <c r="G55" i="8"/>
  <c r="H55" i="8"/>
  <c r="H58" i="7"/>
  <c r="F58" i="7"/>
  <c r="F55" i="8"/>
  <c r="M58" i="7"/>
  <c r="M55" i="8"/>
  <c r="L55" i="8"/>
  <c r="L58" i="7"/>
  <c r="E58" i="7"/>
  <c r="P58" i="7"/>
  <c r="P55" i="8"/>
  <c r="O58" i="7"/>
  <c r="O55" i="8"/>
  <c r="I64" i="12"/>
  <c r="J64" i="12"/>
  <c r="N63" i="12"/>
  <c r="L62" i="12"/>
  <c r="H65" i="12"/>
  <c r="L66" i="12"/>
  <c r="M66" i="12"/>
  <c r="K67" i="12"/>
  <c r="H64" i="12"/>
  <c r="K62" i="12"/>
  <c r="F65" i="12"/>
  <c r="K66" i="12"/>
  <c r="F67" i="12"/>
  <c r="J67" i="12"/>
  <c r="F64" i="12"/>
  <c r="G64" i="12"/>
  <c r="K63" i="12"/>
  <c r="F62" i="12"/>
  <c r="J62" i="12"/>
  <c r="E65" i="12"/>
  <c r="I66" i="12"/>
  <c r="J66" i="12"/>
  <c r="E67" i="12"/>
  <c r="O67" i="12"/>
  <c r="E64" i="12"/>
  <c r="J63" i="12"/>
  <c r="E62" i="12"/>
  <c r="O62" i="12"/>
  <c r="O65" i="12"/>
  <c r="H66" i="12"/>
  <c r="D67" i="12"/>
  <c r="N67" i="12"/>
  <c r="O64" i="12"/>
  <c r="N62" i="12"/>
  <c r="N65" i="12"/>
  <c r="F66" i="12"/>
  <c r="G66" i="12"/>
  <c r="I67" i="12"/>
  <c r="M67" i="12"/>
  <c r="F63" i="12"/>
  <c r="G63" i="12"/>
  <c r="N64" i="12"/>
  <c r="I62" i="12"/>
  <c r="M62" i="12"/>
  <c r="L65" i="12"/>
  <c r="M65" i="12"/>
  <c r="E66" i="12"/>
  <c r="H67" i="12"/>
  <c r="E63" i="12"/>
  <c r="L64" i="12"/>
  <c r="M64" i="12"/>
  <c r="H62" i="12"/>
  <c r="D66" i="12"/>
  <c r="O66" i="12"/>
  <c r="K64" i="12"/>
  <c r="O63" i="12"/>
  <c r="G62" i="12"/>
  <c r="I65" i="12"/>
  <c r="J65" i="12"/>
  <c r="N66" i="12"/>
  <c r="L67" i="12"/>
  <c r="M51" i="5"/>
  <c r="L63" i="12"/>
  <c r="N51" i="6"/>
  <c r="M63" i="12"/>
  <c r="I51" i="4"/>
  <c r="H63" i="12"/>
  <c r="J51" i="6"/>
  <c r="I63" i="12"/>
  <c r="D63" i="12"/>
  <c r="K41" i="13"/>
  <c r="L61" i="12"/>
  <c r="M48" i="7"/>
  <c r="C41" i="13"/>
  <c r="M41" i="13"/>
  <c r="N61" i="12"/>
  <c r="O48" i="7"/>
  <c r="G41" i="13"/>
  <c r="H61" i="12"/>
  <c r="I48" i="7"/>
  <c r="H41" i="13"/>
  <c r="I61" i="12"/>
  <c r="J48" i="7"/>
  <c r="J41" i="13"/>
  <c r="L48" i="7"/>
  <c r="K61" i="12"/>
  <c r="L41" i="13"/>
  <c r="M61" i="12"/>
  <c r="N48" i="7"/>
  <c r="E41" i="13"/>
  <c r="F61" i="12"/>
  <c r="G48" i="7"/>
  <c r="I41" i="13"/>
  <c r="J61" i="12"/>
  <c r="K48" i="7"/>
  <c r="F41" i="13"/>
  <c r="G61" i="12"/>
  <c r="H48" i="7"/>
  <c r="D41" i="13"/>
  <c r="E61" i="12"/>
  <c r="F48" i="7"/>
  <c r="N41" i="13"/>
  <c r="O61" i="12"/>
  <c r="P48" i="7"/>
  <c r="K37" i="13"/>
  <c r="J59" i="12"/>
  <c r="I38" i="13"/>
  <c r="I59" i="12"/>
  <c r="H38" i="13"/>
  <c r="K60" i="12"/>
  <c r="J40" i="13"/>
  <c r="F60" i="12"/>
  <c r="E40" i="13"/>
  <c r="E59" i="12"/>
  <c r="D38" i="13"/>
  <c r="H37" i="13"/>
  <c r="I37" i="13"/>
  <c r="E60" i="12"/>
  <c r="D40" i="13"/>
  <c r="O60" i="12"/>
  <c r="N40" i="13"/>
  <c r="M37" i="13"/>
  <c r="L37" i="13"/>
  <c r="J37" i="13"/>
  <c r="J60" i="12"/>
  <c r="I40" i="13"/>
  <c r="E37" i="13"/>
  <c r="F37" i="13"/>
  <c r="N59" i="12"/>
  <c r="M38" i="13"/>
  <c r="I60" i="12"/>
  <c r="H40" i="13"/>
  <c r="M60" i="12"/>
  <c r="L40" i="13"/>
  <c r="H59" i="12"/>
  <c r="G38" i="13"/>
  <c r="F59" i="12"/>
  <c r="E38" i="13"/>
  <c r="G37" i="13"/>
  <c r="O59" i="12"/>
  <c r="N38" i="13"/>
  <c r="N60" i="12"/>
  <c r="M40" i="13"/>
  <c r="D37" i="13"/>
  <c r="L59" i="12"/>
  <c r="K38" i="13"/>
  <c r="M59" i="12"/>
  <c r="L38" i="13"/>
  <c r="H60" i="12"/>
  <c r="G40" i="13"/>
  <c r="L60" i="12"/>
  <c r="K40" i="13"/>
  <c r="G59" i="12"/>
  <c r="F38" i="13"/>
  <c r="C38" i="13"/>
  <c r="K59" i="12"/>
  <c r="J38" i="13"/>
  <c r="N37" i="13"/>
  <c r="G60" i="12"/>
  <c r="F40" i="13"/>
  <c r="L58" i="12"/>
  <c r="L48" i="13"/>
  <c r="K39" i="13"/>
  <c r="I39" i="13"/>
  <c r="N39" i="13"/>
  <c r="P51" i="5"/>
  <c r="O39" i="3"/>
  <c r="M39" i="13"/>
  <c r="G70" i="6"/>
  <c r="H70" i="6"/>
  <c r="L69" i="6"/>
  <c r="G75" i="6"/>
  <c r="K75" i="6"/>
  <c r="N39" i="3"/>
  <c r="M51" i="4"/>
  <c r="I70" i="6"/>
  <c r="M69" i="6"/>
  <c r="N69" i="6"/>
  <c r="L75" i="6"/>
  <c r="J39" i="3"/>
  <c r="J39" i="4"/>
  <c r="K39" i="4"/>
  <c r="F70" i="6"/>
  <c r="J69" i="6"/>
  <c r="K69" i="6"/>
  <c r="F75" i="6"/>
  <c r="P75" i="6"/>
  <c r="I69" i="6"/>
  <c r="P70" i="6"/>
  <c r="O75" i="6"/>
  <c r="M40" i="5"/>
  <c r="N40" i="5"/>
  <c r="G69" i="6"/>
  <c r="H69" i="6"/>
  <c r="O70" i="6"/>
  <c r="J75" i="6"/>
  <c r="N75" i="6"/>
  <c r="M38" i="7"/>
  <c r="N38" i="7"/>
  <c r="N37" i="8"/>
  <c r="F69" i="6"/>
  <c r="M70" i="6"/>
  <c r="N70" i="6"/>
  <c r="I75" i="6"/>
  <c r="P39" i="3"/>
  <c r="E69" i="6"/>
  <c r="L70" i="6"/>
  <c r="P69" i="6"/>
  <c r="H75" i="6"/>
  <c r="O51" i="4"/>
  <c r="I40" i="5"/>
  <c r="J70" i="6"/>
  <c r="K70" i="6"/>
  <c r="O69" i="6"/>
  <c r="M75" i="6"/>
  <c r="P37" i="8"/>
  <c r="O38" i="7"/>
  <c r="G38" i="7"/>
  <c r="H38" i="7"/>
  <c r="P38" i="7"/>
  <c r="L38" i="7"/>
  <c r="K39" i="3"/>
  <c r="I39" i="3"/>
  <c r="G39" i="3"/>
  <c r="H39" i="3"/>
  <c r="M37" i="8"/>
  <c r="O37" i="8"/>
  <c r="L37" i="8"/>
  <c r="J37" i="8"/>
  <c r="K37" i="8"/>
  <c r="I37" i="8"/>
  <c r="J38" i="7"/>
  <c r="K38" i="7"/>
  <c r="I38" i="7"/>
  <c r="F40" i="5"/>
  <c r="H51" i="5"/>
  <c r="P40" i="5"/>
  <c r="O40" i="5"/>
  <c r="L40" i="5"/>
  <c r="I39" i="4"/>
  <c r="P51" i="4"/>
  <c r="G51" i="6"/>
  <c r="H51" i="6"/>
  <c r="N51" i="4"/>
  <c r="J51" i="4"/>
  <c r="P51" i="6"/>
  <c r="I51" i="6"/>
  <c r="L51" i="4"/>
  <c r="N51" i="5"/>
  <c r="O51" i="6"/>
  <c r="K51" i="4"/>
  <c r="L51" i="5"/>
  <c r="M51" i="6"/>
  <c r="J51" i="5"/>
  <c r="K51" i="5"/>
  <c r="L51" i="6"/>
  <c r="G51" i="4"/>
  <c r="H51" i="4"/>
  <c r="I51" i="5"/>
  <c r="O51" i="5"/>
  <c r="K51" i="6"/>
  <c r="F51" i="4"/>
  <c r="G51" i="5"/>
  <c r="Q29" i="6"/>
  <c r="Q30" i="6"/>
  <c r="Q31" i="6"/>
  <c r="Q33" i="6"/>
  <c r="R29" i="6"/>
  <c r="S29" i="6"/>
  <c r="T29" i="6"/>
  <c r="U29" i="6"/>
  <c r="V29" i="6"/>
  <c r="W29" i="6"/>
  <c r="R30" i="6"/>
  <c r="S30" i="6"/>
  <c r="T30" i="6"/>
  <c r="U30" i="6"/>
  <c r="V30" i="6"/>
  <c r="W30" i="6"/>
  <c r="R31" i="6"/>
  <c r="R33" i="6"/>
  <c r="S33" i="6"/>
  <c r="T33" i="6"/>
  <c r="U33" i="6"/>
  <c r="V33" i="6"/>
  <c r="W33" i="6"/>
  <c r="E114" i="3" l="1"/>
  <c r="D114" i="3"/>
  <c r="D62" i="12"/>
  <c r="C114" i="3"/>
  <c r="P13" i="12"/>
  <c r="P66" i="12" s="1"/>
  <c r="P10" i="12"/>
  <c r="P64" i="12" s="1"/>
  <c r="P8" i="12"/>
  <c r="P62" i="12" s="1"/>
  <c r="P14" i="12"/>
  <c r="P67" i="12" s="1"/>
  <c r="D64" i="12"/>
  <c r="P12" i="12"/>
  <c r="P65" i="12" s="1"/>
  <c r="P9" i="12"/>
  <c r="P63" i="12" s="1"/>
  <c r="C39" i="13"/>
  <c r="D70" i="12"/>
  <c r="O70" i="12"/>
  <c r="E58" i="12"/>
  <c r="E70" i="12"/>
  <c r="H58" i="12"/>
  <c r="H70" i="12"/>
  <c r="K58" i="12"/>
  <c r="K70" i="12"/>
  <c r="L70" i="12"/>
  <c r="G58" i="12"/>
  <c r="G70" i="12"/>
  <c r="M58" i="12"/>
  <c r="M70" i="12"/>
  <c r="J70" i="12"/>
  <c r="F58" i="12"/>
  <c r="F70" i="12"/>
  <c r="N58" i="12"/>
  <c r="N70" i="12"/>
  <c r="I70" i="12"/>
  <c r="D60" i="12"/>
  <c r="P7" i="12"/>
  <c r="P61" i="12" s="1"/>
  <c r="D61" i="12"/>
  <c r="P5" i="12"/>
  <c r="P59" i="12" s="1"/>
  <c r="J58" i="12"/>
  <c r="D59" i="12"/>
  <c r="H49" i="13"/>
  <c r="H39" i="13"/>
  <c r="P4" i="12"/>
  <c r="N36" i="1"/>
  <c r="N79" i="7" s="1"/>
  <c r="N21" i="11" s="1"/>
  <c r="L39" i="13"/>
  <c r="G79" i="3"/>
  <c r="G16" i="11" s="1"/>
  <c r="E39" i="13"/>
  <c r="H36" i="1"/>
  <c r="H79" i="3" s="1"/>
  <c r="H16" i="11" s="1"/>
  <c r="F39" i="13"/>
  <c r="L36" i="1"/>
  <c r="L81" i="5" s="1"/>
  <c r="L20" i="11" s="1"/>
  <c r="J39" i="13"/>
  <c r="O58" i="12"/>
  <c r="P6" i="12"/>
  <c r="P60" i="12" s="1"/>
  <c r="I36" i="1"/>
  <c r="I79" i="7" s="1"/>
  <c r="I21" i="11" s="1"/>
  <c r="G39" i="13"/>
  <c r="I58" i="12"/>
  <c r="D39" i="13"/>
  <c r="E48" i="13"/>
  <c r="E49" i="13"/>
  <c r="D48" i="13"/>
  <c r="E77" i="8"/>
  <c r="E22" i="11" s="1"/>
  <c r="I80" i="7"/>
  <c r="I32" i="11" s="1"/>
  <c r="I78" i="8"/>
  <c r="I33" i="11" s="1"/>
  <c r="I82" i="6"/>
  <c r="I29" i="11" s="1"/>
  <c r="I82" i="5"/>
  <c r="I31" i="11" s="1"/>
  <c r="I81" i="4"/>
  <c r="I28" i="11" s="1"/>
  <c r="I80" i="3"/>
  <c r="I27" i="11" s="1"/>
  <c r="K82" i="5"/>
  <c r="K31" i="11" s="1"/>
  <c r="K78" i="8"/>
  <c r="K33" i="11" s="1"/>
  <c r="K80" i="7"/>
  <c r="K32" i="11" s="1"/>
  <c r="K82" i="6"/>
  <c r="K29" i="11" s="1"/>
  <c r="K81" i="4"/>
  <c r="K28" i="11" s="1"/>
  <c r="K80" i="3"/>
  <c r="K27" i="11" s="1"/>
  <c r="D49" i="13"/>
  <c r="F80" i="4"/>
  <c r="F17" i="11" s="1"/>
  <c r="O82" i="6"/>
  <c r="O29" i="11" s="1"/>
  <c r="O80" i="7"/>
  <c r="O32" i="11" s="1"/>
  <c r="O78" i="8"/>
  <c r="O33" i="11" s="1"/>
  <c r="O82" i="5"/>
  <c r="O31" i="11" s="1"/>
  <c r="O81" i="4"/>
  <c r="O28" i="11" s="1"/>
  <c r="O80" i="3"/>
  <c r="O27" i="11" s="1"/>
  <c r="J82" i="6"/>
  <c r="J29" i="11" s="1"/>
  <c r="J80" i="7"/>
  <c r="J32" i="11" s="1"/>
  <c r="J82" i="5"/>
  <c r="J31" i="11" s="1"/>
  <c r="J78" i="8"/>
  <c r="J33" i="11" s="1"/>
  <c r="J80" i="3"/>
  <c r="J27" i="11" s="1"/>
  <c r="J81" i="4"/>
  <c r="J28" i="11" s="1"/>
  <c r="P82" i="5"/>
  <c r="P31" i="11" s="1"/>
  <c r="P78" i="8"/>
  <c r="P33" i="11" s="1"/>
  <c r="P82" i="6"/>
  <c r="P29" i="11" s="1"/>
  <c r="P80" i="7"/>
  <c r="P32" i="11" s="1"/>
  <c r="P81" i="4"/>
  <c r="P28" i="11" s="1"/>
  <c r="P80" i="3"/>
  <c r="P27" i="11" s="1"/>
  <c r="O36" i="1"/>
  <c r="O80" i="4" s="1"/>
  <c r="O17" i="11" s="1"/>
  <c r="K48" i="13"/>
  <c r="M36" i="1"/>
  <c r="M77" i="8" s="1"/>
  <c r="M22" i="11" s="1"/>
  <c r="I49" i="13"/>
  <c r="K36" i="1"/>
  <c r="K81" i="5" s="1"/>
  <c r="K20" i="11" s="1"/>
  <c r="M39" i="3"/>
  <c r="E82" i="5"/>
  <c r="E31" i="11" s="1"/>
  <c r="E82" i="6"/>
  <c r="E29" i="11" s="1"/>
  <c r="E78" i="8"/>
  <c r="E33" i="11" s="1"/>
  <c r="E80" i="7"/>
  <c r="E32" i="11" s="1"/>
  <c r="E27" i="11"/>
  <c r="E81" i="4"/>
  <c r="E28" i="11" s="1"/>
  <c r="G80" i="7"/>
  <c r="G32" i="11" s="1"/>
  <c r="G78" i="8"/>
  <c r="G33" i="11" s="1"/>
  <c r="G82" i="6"/>
  <c r="G29" i="11" s="1"/>
  <c r="G82" i="5"/>
  <c r="G31" i="11" s="1"/>
  <c r="G81" i="4"/>
  <c r="G28" i="11" s="1"/>
  <c r="G80" i="3"/>
  <c r="G27" i="11" s="1"/>
  <c r="N80" i="7"/>
  <c r="N32" i="11" s="1"/>
  <c r="N78" i="8"/>
  <c r="N33" i="11" s="1"/>
  <c r="N82" i="6"/>
  <c r="N29" i="11" s="1"/>
  <c r="N82" i="5"/>
  <c r="N31" i="11" s="1"/>
  <c r="N80" i="3"/>
  <c r="N27" i="11" s="1"/>
  <c r="N81" i="4"/>
  <c r="N28" i="11" s="1"/>
  <c r="L82" i="6"/>
  <c r="L29" i="11" s="1"/>
  <c r="L78" i="8"/>
  <c r="L33" i="11" s="1"/>
  <c r="L80" i="7"/>
  <c r="L32" i="11" s="1"/>
  <c r="L82" i="5"/>
  <c r="L31" i="11" s="1"/>
  <c r="L80" i="3"/>
  <c r="L27" i="11" s="1"/>
  <c r="L81" i="4"/>
  <c r="L28" i="11" s="1"/>
  <c r="H48" i="13"/>
  <c r="J36" i="1"/>
  <c r="J81" i="5" s="1"/>
  <c r="J20" i="11" s="1"/>
  <c r="H82" i="6"/>
  <c r="H29" i="11" s="1"/>
  <c r="H78" i="8"/>
  <c r="H33" i="11" s="1"/>
  <c r="H82" i="5"/>
  <c r="H31" i="11" s="1"/>
  <c r="H80" i="7"/>
  <c r="H32" i="11" s="1"/>
  <c r="H80" i="3"/>
  <c r="H27" i="11" s="1"/>
  <c r="H81" i="4"/>
  <c r="H28" i="11" s="1"/>
  <c r="F82" i="5"/>
  <c r="F31" i="11" s="1"/>
  <c r="F78" i="8"/>
  <c r="F33" i="11" s="1"/>
  <c r="F80" i="7"/>
  <c r="F32" i="11" s="1"/>
  <c r="F82" i="6"/>
  <c r="F29" i="11" s="1"/>
  <c r="F81" i="4"/>
  <c r="F28" i="11" s="1"/>
  <c r="F80" i="3"/>
  <c r="F27" i="11" s="1"/>
  <c r="M82" i="6"/>
  <c r="M29" i="11" s="1"/>
  <c r="M82" i="5"/>
  <c r="M31" i="11" s="1"/>
  <c r="M78" i="8"/>
  <c r="M33" i="11" s="1"/>
  <c r="M80" i="7"/>
  <c r="M32" i="11" s="1"/>
  <c r="M81" i="4"/>
  <c r="M28" i="11" s="1"/>
  <c r="M80" i="3"/>
  <c r="M27" i="11" s="1"/>
  <c r="L39" i="3"/>
  <c r="L49" i="13"/>
  <c r="N49" i="13"/>
  <c r="P36" i="1"/>
  <c r="P81" i="5" s="1"/>
  <c r="P20" i="11" s="1"/>
  <c r="H37" i="8"/>
  <c r="G37" i="8"/>
  <c r="G78" i="6"/>
  <c r="G40" i="5"/>
  <c r="H40" i="5"/>
  <c r="L39" i="4"/>
  <c r="N39" i="4"/>
  <c r="H39" i="4"/>
  <c r="M39" i="4"/>
  <c r="I48" i="13"/>
  <c r="K49" i="13"/>
  <c r="N48" i="13"/>
  <c r="M48" i="13"/>
  <c r="M49" i="13"/>
  <c r="C49" i="13"/>
  <c r="F48" i="13"/>
  <c r="J49" i="13"/>
  <c r="J48" i="13"/>
  <c r="G49" i="13"/>
  <c r="G48" i="13"/>
  <c r="N75" i="8"/>
  <c r="N11" i="11" s="1"/>
  <c r="AC36" i="4"/>
  <c r="AD36" i="4"/>
  <c r="AE36" i="4"/>
  <c r="AF36" i="4"/>
  <c r="AG36" i="4"/>
  <c r="AH36" i="4"/>
  <c r="AI36" i="4"/>
  <c r="AJ36" i="4"/>
  <c r="AK36" i="4"/>
  <c r="AL36" i="4"/>
  <c r="AM36" i="4"/>
  <c r="AC37" i="4"/>
  <c r="AD37" i="4"/>
  <c r="AE37" i="4"/>
  <c r="AF37" i="4"/>
  <c r="AG37" i="4"/>
  <c r="AH37" i="4"/>
  <c r="AI37" i="4"/>
  <c r="AJ37" i="4"/>
  <c r="AK37" i="4"/>
  <c r="AL37" i="4"/>
  <c r="AM37" i="4"/>
  <c r="AB37" i="4"/>
  <c r="AB36" i="4"/>
  <c r="AN27" i="4"/>
  <c r="AN28" i="4"/>
  <c r="AN29" i="4"/>
  <c r="AN30" i="4"/>
  <c r="AN31" i="4"/>
  <c r="AN33" i="4"/>
  <c r="Z38" i="5"/>
  <c r="AA38" i="5"/>
  <c r="AB38" i="5"/>
  <c r="AC38" i="5"/>
  <c r="AD38" i="5"/>
  <c r="AE38" i="5"/>
  <c r="AF38" i="5"/>
  <c r="AG38" i="5"/>
  <c r="AH38" i="5"/>
  <c r="AI38" i="5"/>
  <c r="AJ38" i="5"/>
  <c r="Y38" i="5"/>
  <c r="Z37" i="5"/>
  <c r="AA37" i="5"/>
  <c r="AB37" i="5"/>
  <c r="AC37" i="5"/>
  <c r="AD37" i="5"/>
  <c r="AE37" i="5"/>
  <c r="AF37" i="5"/>
  <c r="AG37" i="5"/>
  <c r="AH37" i="5"/>
  <c r="AI37" i="5"/>
  <c r="AJ37" i="5"/>
  <c r="Y37" i="5"/>
  <c r="Z36" i="5"/>
  <c r="AA36" i="5"/>
  <c r="AB36" i="5"/>
  <c r="AC36" i="5"/>
  <c r="AD36" i="5"/>
  <c r="AE36" i="5"/>
  <c r="AF36" i="5"/>
  <c r="AG36" i="5"/>
  <c r="AH36" i="5"/>
  <c r="AI36" i="5"/>
  <c r="AJ36" i="5"/>
  <c r="Y36" i="5"/>
  <c r="AK27" i="5"/>
  <c r="AK28" i="5"/>
  <c r="AK29" i="5"/>
  <c r="AK30" i="5"/>
  <c r="AK31" i="5"/>
  <c r="AK33" i="5"/>
  <c r="Q29" i="5"/>
  <c r="Q30" i="5"/>
  <c r="Q31" i="5"/>
  <c r="Q33" i="5"/>
  <c r="R27" i="5"/>
  <c r="S27" i="5"/>
  <c r="T27" i="5"/>
  <c r="U27" i="5"/>
  <c r="V27" i="5"/>
  <c r="W27" i="5"/>
  <c r="R28" i="5"/>
  <c r="S28" i="5"/>
  <c r="T28" i="5"/>
  <c r="U28" i="5"/>
  <c r="V28" i="5"/>
  <c r="W28" i="5"/>
  <c r="R29" i="5"/>
  <c r="S29" i="5"/>
  <c r="T29" i="5"/>
  <c r="U29" i="5"/>
  <c r="V29" i="5"/>
  <c r="W29" i="5"/>
  <c r="R30" i="5"/>
  <c r="S30" i="5"/>
  <c r="T30" i="5"/>
  <c r="U30" i="5"/>
  <c r="V30" i="5"/>
  <c r="W30" i="5"/>
  <c r="R31" i="5"/>
  <c r="T31" i="5"/>
  <c r="U31" i="5"/>
  <c r="W31" i="5"/>
  <c r="R33" i="5"/>
  <c r="S33" i="5"/>
  <c r="T33" i="5"/>
  <c r="W33" i="5"/>
  <c r="E70" i="5"/>
  <c r="F70" i="5"/>
  <c r="G70" i="5"/>
  <c r="H70" i="5"/>
  <c r="I70" i="5"/>
  <c r="J70" i="5"/>
  <c r="K70" i="5"/>
  <c r="L70" i="5"/>
  <c r="M70" i="5"/>
  <c r="N70" i="5"/>
  <c r="O70" i="5"/>
  <c r="P70" i="5"/>
  <c r="E71" i="5"/>
  <c r="F71" i="5"/>
  <c r="G71" i="5"/>
  <c r="H71" i="5"/>
  <c r="I71" i="5"/>
  <c r="J71" i="5"/>
  <c r="K71" i="5"/>
  <c r="L71" i="5"/>
  <c r="M71" i="5"/>
  <c r="N71" i="5"/>
  <c r="O71" i="5"/>
  <c r="P71" i="5"/>
  <c r="E72" i="5"/>
  <c r="F72" i="5"/>
  <c r="G72" i="5"/>
  <c r="H72" i="5"/>
  <c r="I72" i="5"/>
  <c r="J72" i="5"/>
  <c r="K72" i="5"/>
  <c r="L72" i="5"/>
  <c r="M72" i="5"/>
  <c r="N72" i="5"/>
  <c r="O72" i="5"/>
  <c r="P72" i="5"/>
  <c r="F74" i="5"/>
  <c r="G74" i="5"/>
  <c r="H74" i="5"/>
  <c r="I74" i="5"/>
  <c r="J74" i="5"/>
  <c r="K74" i="5"/>
  <c r="L74" i="5"/>
  <c r="M74" i="5"/>
  <c r="N74" i="5"/>
  <c r="O74" i="5"/>
  <c r="P74" i="5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R86" i="5"/>
  <c r="F86" i="5"/>
  <c r="G86" i="5"/>
  <c r="H86" i="5"/>
  <c r="I86" i="5"/>
  <c r="J86" i="5"/>
  <c r="K86" i="5"/>
  <c r="L86" i="5"/>
  <c r="M86" i="5"/>
  <c r="N86" i="5"/>
  <c r="O86" i="5"/>
  <c r="P86" i="5"/>
  <c r="Q86" i="5"/>
  <c r="R29" i="4"/>
  <c r="S29" i="4"/>
  <c r="T29" i="4"/>
  <c r="U29" i="4"/>
  <c r="V29" i="4"/>
  <c r="Z29" i="4"/>
  <c r="S30" i="4"/>
  <c r="T30" i="4"/>
  <c r="V30" i="4"/>
  <c r="Z30" i="4"/>
  <c r="R31" i="4"/>
  <c r="S31" i="4"/>
  <c r="T31" i="4"/>
  <c r="U31" i="4"/>
  <c r="V31" i="4"/>
  <c r="R33" i="4"/>
  <c r="S33" i="4"/>
  <c r="T33" i="4"/>
  <c r="U33" i="4"/>
  <c r="V33" i="4"/>
  <c r="Q30" i="4"/>
  <c r="Q31" i="4"/>
  <c r="Q72" i="4" s="1"/>
  <c r="E70" i="4"/>
  <c r="G70" i="4"/>
  <c r="H70" i="4"/>
  <c r="I70" i="4"/>
  <c r="J70" i="4"/>
  <c r="K70" i="4"/>
  <c r="L70" i="4"/>
  <c r="M70" i="4"/>
  <c r="N70" i="4"/>
  <c r="O70" i="4"/>
  <c r="P70" i="4"/>
  <c r="E71" i="4"/>
  <c r="F71" i="4"/>
  <c r="G71" i="4"/>
  <c r="H71" i="4"/>
  <c r="I71" i="4"/>
  <c r="J71" i="4"/>
  <c r="K71" i="4"/>
  <c r="L71" i="4"/>
  <c r="M71" i="4"/>
  <c r="N71" i="4"/>
  <c r="O71" i="4"/>
  <c r="P71" i="4"/>
  <c r="E72" i="4"/>
  <c r="F72" i="4"/>
  <c r="H72" i="4"/>
  <c r="I72" i="4"/>
  <c r="J72" i="4"/>
  <c r="K72" i="4"/>
  <c r="L72" i="4"/>
  <c r="M72" i="4"/>
  <c r="N72" i="4"/>
  <c r="O72" i="4"/>
  <c r="P72" i="4"/>
  <c r="F74" i="4"/>
  <c r="G74" i="4"/>
  <c r="H74" i="4"/>
  <c r="I74" i="4"/>
  <c r="J74" i="4"/>
  <c r="K74" i="4"/>
  <c r="L74" i="4"/>
  <c r="M74" i="4"/>
  <c r="N74" i="4"/>
  <c r="O74" i="4"/>
  <c r="P74" i="4"/>
  <c r="G69" i="3"/>
  <c r="H69" i="3"/>
  <c r="I69" i="3"/>
  <c r="J69" i="3"/>
  <c r="K69" i="3"/>
  <c r="L69" i="3"/>
  <c r="M69" i="3"/>
  <c r="N69" i="3"/>
  <c r="O69" i="3"/>
  <c r="P69" i="3"/>
  <c r="F70" i="3"/>
  <c r="G70" i="3"/>
  <c r="H70" i="3"/>
  <c r="I70" i="3"/>
  <c r="J70" i="3"/>
  <c r="K70" i="3"/>
  <c r="L70" i="3"/>
  <c r="M70" i="3"/>
  <c r="N70" i="3"/>
  <c r="O70" i="3"/>
  <c r="P70" i="3"/>
  <c r="F71" i="3"/>
  <c r="G71" i="3"/>
  <c r="H71" i="3"/>
  <c r="I71" i="3"/>
  <c r="J71" i="3"/>
  <c r="K71" i="3"/>
  <c r="L71" i="3"/>
  <c r="M71" i="3"/>
  <c r="N71" i="3"/>
  <c r="O71" i="3"/>
  <c r="P71" i="3"/>
  <c r="F73" i="3"/>
  <c r="G73" i="3"/>
  <c r="H73" i="3"/>
  <c r="I73" i="3"/>
  <c r="J73" i="3"/>
  <c r="K73" i="3"/>
  <c r="L73" i="3"/>
  <c r="M73" i="3"/>
  <c r="N73" i="3"/>
  <c r="O73" i="3"/>
  <c r="P73" i="3"/>
  <c r="R29" i="3"/>
  <c r="S29" i="3"/>
  <c r="T29" i="3"/>
  <c r="U29" i="3"/>
  <c r="V29" i="3"/>
  <c r="W29" i="3"/>
  <c r="S30" i="3"/>
  <c r="T30" i="3"/>
  <c r="U30" i="3"/>
  <c r="V30" i="3"/>
  <c r="W30" i="3"/>
  <c r="S31" i="3"/>
  <c r="T31" i="3"/>
  <c r="U31" i="3"/>
  <c r="R33" i="3"/>
  <c r="S33" i="3"/>
  <c r="T33" i="3"/>
  <c r="U33" i="3"/>
  <c r="V33" i="3"/>
  <c r="W33" i="3"/>
  <c r="Q29" i="3"/>
  <c r="AC27" i="3"/>
  <c r="AD27" i="3"/>
  <c r="AE27" i="3"/>
  <c r="AF27" i="3"/>
  <c r="AG27" i="3"/>
  <c r="AH27" i="3"/>
  <c r="AI27" i="3"/>
  <c r="AJ27" i="3"/>
  <c r="AK27" i="3"/>
  <c r="AL27" i="3"/>
  <c r="AC28" i="3"/>
  <c r="AD28" i="3"/>
  <c r="AE28" i="3"/>
  <c r="AF28" i="3"/>
  <c r="AG28" i="3"/>
  <c r="AH28" i="3"/>
  <c r="AI28" i="3"/>
  <c r="AJ28" i="3"/>
  <c r="AK28" i="3"/>
  <c r="AL28" i="3"/>
  <c r="AC29" i="3"/>
  <c r="AD29" i="3"/>
  <c r="AE29" i="3"/>
  <c r="AF29" i="3"/>
  <c r="AG29" i="3"/>
  <c r="AH29" i="3"/>
  <c r="AI29" i="3"/>
  <c r="AJ29" i="3"/>
  <c r="AK29" i="3"/>
  <c r="AL29" i="3"/>
  <c r="AC30" i="3"/>
  <c r="AD30" i="3"/>
  <c r="AE30" i="3"/>
  <c r="AF30" i="3"/>
  <c r="AG30" i="3"/>
  <c r="AH30" i="3"/>
  <c r="AI30" i="3"/>
  <c r="AJ30" i="3"/>
  <c r="AK30" i="3"/>
  <c r="AL30" i="3"/>
  <c r="AC31" i="3"/>
  <c r="AD31" i="3"/>
  <c r="AE31" i="3"/>
  <c r="AF31" i="3"/>
  <c r="AG31" i="3"/>
  <c r="AH31" i="3"/>
  <c r="AI31" i="3"/>
  <c r="AJ31" i="3"/>
  <c r="AK31" i="3"/>
  <c r="AL31" i="3"/>
  <c r="AC33" i="3"/>
  <c r="AD33" i="3"/>
  <c r="AE33" i="3"/>
  <c r="AF33" i="3"/>
  <c r="AG33" i="3"/>
  <c r="AH33" i="3"/>
  <c r="AI33" i="3"/>
  <c r="AJ33" i="3"/>
  <c r="AK33" i="3"/>
  <c r="AL33" i="3"/>
  <c r="AB29" i="3"/>
  <c r="AB30" i="3"/>
  <c r="AB31" i="3"/>
  <c r="AB33" i="3"/>
  <c r="AA29" i="3"/>
  <c r="AA30" i="3"/>
  <c r="AA33" i="3"/>
  <c r="AK24" i="1"/>
  <c r="AK25" i="1"/>
  <c r="AK26" i="1"/>
  <c r="AK27" i="1"/>
  <c r="AK29" i="1"/>
  <c r="AJ24" i="1"/>
  <c r="AJ25" i="1"/>
  <c r="AJ26" i="1"/>
  <c r="AJ27" i="1"/>
  <c r="AJ29" i="1"/>
  <c r="AI24" i="1"/>
  <c r="AI25" i="1"/>
  <c r="AI26" i="1"/>
  <c r="AI27" i="1"/>
  <c r="AI29" i="1"/>
  <c r="AH24" i="1"/>
  <c r="AH25" i="1"/>
  <c r="AH26" i="1"/>
  <c r="AH27" i="1"/>
  <c r="AH29" i="1"/>
  <c r="AG24" i="1"/>
  <c r="AG25" i="1"/>
  <c r="AG26" i="1"/>
  <c r="AG27" i="1"/>
  <c r="AG29" i="1"/>
  <c r="AF24" i="1"/>
  <c r="AF25" i="1"/>
  <c r="AF26" i="1"/>
  <c r="AF27" i="1"/>
  <c r="AF29" i="1"/>
  <c r="AE24" i="1"/>
  <c r="AE25" i="1"/>
  <c r="AE26" i="1"/>
  <c r="AE27" i="1"/>
  <c r="AE29" i="1"/>
  <c r="AD24" i="1"/>
  <c r="AD25" i="1"/>
  <c r="AD26" i="1"/>
  <c r="AD27" i="1"/>
  <c r="AD29" i="1"/>
  <c r="AC24" i="1"/>
  <c r="AC25" i="1"/>
  <c r="AC26" i="1"/>
  <c r="AC27" i="1"/>
  <c r="AC29" i="1"/>
  <c r="AB25" i="1"/>
  <c r="AB26" i="1"/>
  <c r="AB27" i="1"/>
  <c r="AB29" i="1"/>
  <c r="AA25" i="1"/>
  <c r="AA26" i="1"/>
  <c r="AA27" i="1"/>
  <c r="AA29" i="1"/>
  <c r="Z25" i="1"/>
  <c r="Z26" i="1"/>
  <c r="R25" i="1"/>
  <c r="C46" i="1" s="1"/>
  <c r="S25" i="1"/>
  <c r="T25" i="1"/>
  <c r="U25" i="1"/>
  <c r="V25" i="1"/>
  <c r="W25" i="1"/>
  <c r="R26" i="1"/>
  <c r="S26" i="1"/>
  <c r="T26" i="1"/>
  <c r="U26" i="1"/>
  <c r="V26" i="1"/>
  <c r="W26" i="1"/>
  <c r="R27" i="1"/>
  <c r="T27" i="1"/>
  <c r="U27" i="1"/>
  <c r="V27" i="1"/>
  <c r="W27" i="1"/>
  <c r="R29" i="1"/>
  <c r="S29" i="1"/>
  <c r="T29" i="1"/>
  <c r="U29" i="1"/>
  <c r="V29" i="1"/>
  <c r="W29" i="1"/>
  <c r="Q25" i="1"/>
  <c r="Q69" i="7" s="1"/>
  <c r="Q26" i="1"/>
  <c r="C93" i="3" l="1"/>
  <c r="E121" i="3"/>
  <c r="C100" i="3" s="1"/>
  <c r="R40" i="5"/>
  <c r="Q75" i="6"/>
  <c r="Q73" i="7"/>
  <c r="Q73" i="6"/>
  <c r="Q71" i="7"/>
  <c r="Q70" i="7"/>
  <c r="Q66" i="8"/>
  <c r="P17" i="12"/>
  <c r="P70" i="12" s="1"/>
  <c r="L75" i="8"/>
  <c r="L11" i="11" s="1"/>
  <c r="M80" i="4"/>
  <c r="M17" i="11" s="1"/>
  <c r="F75" i="8"/>
  <c r="F11" i="11" s="1"/>
  <c r="Q71" i="5"/>
  <c r="Q72" i="6"/>
  <c r="L79" i="3"/>
  <c r="L16" i="11" s="1"/>
  <c r="L80" i="4"/>
  <c r="L17" i="11" s="1"/>
  <c r="S9" i="12"/>
  <c r="P58" i="12"/>
  <c r="L77" i="8"/>
  <c r="L22" i="11" s="1"/>
  <c r="I81" i="6"/>
  <c r="I18" i="11" s="1"/>
  <c r="K77" i="8"/>
  <c r="K22" i="11" s="1"/>
  <c r="G77" i="8"/>
  <c r="G22" i="11" s="1"/>
  <c r="N81" i="6"/>
  <c r="N18" i="11" s="1"/>
  <c r="N81" i="5"/>
  <c r="N20" i="11" s="1"/>
  <c r="N80" i="4"/>
  <c r="N17" i="11" s="1"/>
  <c r="H81" i="6"/>
  <c r="H18" i="11" s="1"/>
  <c r="L81" i="6"/>
  <c r="L18" i="11" s="1"/>
  <c r="H77" i="8"/>
  <c r="H22" i="11" s="1"/>
  <c r="H81" i="5"/>
  <c r="H20" i="11" s="1"/>
  <c r="H79" i="7"/>
  <c r="H21" i="11" s="1"/>
  <c r="H80" i="4"/>
  <c r="H17" i="11" s="1"/>
  <c r="G81" i="5"/>
  <c r="G20" i="11" s="1"/>
  <c r="G80" i="4"/>
  <c r="G17" i="11" s="1"/>
  <c r="G81" i="6"/>
  <c r="G18" i="11" s="1"/>
  <c r="I79" i="3"/>
  <c r="I16" i="11" s="1"/>
  <c r="I77" i="8"/>
  <c r="I22" i="11" s="1"/>
  <c r="I81" i="5"/>
  <c r="I20" i="11" s="1"/>
  <c r="G79" i="7"/>
  <c r="G21" i="11" s="1"/>
  <c r="I80" i="4"/>
  <c r="I17" i="11" s="1"/>
  <c r="G75" i="8"/>
  <c r="G11" i="11" s="1"/>
  <c r="N79" i="3"/>
  <c r="N16" i="11" s="1"/>
  <c r="N77" i="8"/>
  <c r="N22" i="11" s="1"/>
  <c r="L79" i="7"/>
  <c r="L21" i="11" s="1"/>
  <c r="AC32" i="1"/>
  <c r="F49" i="13"/>
  <c r="M81" i="6"/>
  <c r="M18" i="11" s="1"/>
  <c r="M81" i="5"/>
  <c r="M20" i="11" s="1"/>
  <c r="K75" i="8"/>
  <c r="K11" i="11" s="1"/>
  <c r="F77" i="8"/>
  <c r="F22" i="11" s="1"/>
  <c r="J75" i="8"/>
  <c r="J11" i="11" s="1"/>
  <c r="E16" i="11"/>
  <c r="M79" i="3"/>
  <c r="M16" i="11" s="1"/>
  <c r="E81" i="5"/>
  <c r="E20" i="11" s="1"/>
  <c r="F81" i="5"/>
  <c r="F20" i="11" s="1"/>
  <c r="F79" i="7"/>
  <c r="F21" i="11" s="1"/>
  <c r="M75" i="8"/>
  <c r="M11" i="11" s="1"/>
  <c r="O77" i="8"/>
  <c r="O22" i="11" s="1"/>
  <c r="M79" i="7"/>
  <c r="M21" i="11" s="1"/>
  <c r="J77" i="8"/>
  <c r="J22" i="11" s="1"/>
  <c r="O81" i="6"/>
  <c r="O18" i="11" s="1"/>
  <c r="H75" i="8"/>
  <c r="H11" i="11" s="1"/>
  <c r="P80" i="4"/>
  <c r="P17" i="11" s="1"/>
  <c r="P81" i="6"/>
  <c r="P18" i="11" s="1"/>
  <c r="O81" i="5"/>
  <c r="O20" i="11" s="1"/>
  <c r="P79" i="7"/>
  <c r="P21" i="11" s="1"/>
  <c r="K80" i="4"/>
  <c r="K17" i="11" s="1"/>
  <c r="K81" i="6"/>
  <c r="K18" i="11" s="1"/>
  <c r="J79" i="7"/>
  <c r="J21" i="11" s="1"/>
  <c r="K79" i="7"/>
  <c r="K21" i="11" s="1"/>
  <c r="J80" i="4"/>
  <c r="J17" i="11" s="1"/>
  <c r="J81" i="6"/>
  <c r="J18" i="11" s="1"/>
  <c r="J79" i="3"/>
  <c r="J16" i="11" s="1"/>
  <c r="F81" i="6"/>
  <c r="F18" i="11" s="1"/>
  <c r="F79" i="3"/>
  <c r="F16" i="11" s="1"/>
  <c r="E80" i="4"/>
  <c r="E17" i="11" s="1"/>
  <c r="E81" i="6"/>
  <c r="E18" i="11" s="1"/>
  <c r="O79" i="7"/>
  <c r="O21" i="11" s="1"/>
  <c r="K79" i="3"/>
  <c r="K16" i="11" s="1"/>
  <c r="P77" i="8"/>
  <c r="P22" i="11" s="1"/>
  <c r="O79" i="3"/>
  <c r="O16" i="11" s="1"/>
  <c r="P79" i="3"/>
  <c r="P16" i="11" s="1"/>
  <c r="E79" i="7"/>
  <c r="E21" i="11" s="1"/>
  <c r="Q72" i="5"/>
  <c r="P75" i="8"/>
  <c r="P11" i="11" s="1"/>
  <c r="O75" i="8"/>
  <c r="O11" i="11" s="1"/>
  <c r="Q70" i="5"/>
  <c r="Q71" i="6"/>
  <c r="I75" i="8"/>
  <c r="I11" i="11" s="1"/>
  <c r="Q71" i="4"/>
  <c r="Q70" i="4"/>
  <c r="Q70" i="3"/>
  <c r="Q69" i="3"/>
  <c r="Q73" i="3"/>
  <c r="Q74" i="5"/>
  <c r="U27" i="6"/>
  <c r="U28" i="6"/>
  <c r="W27" i="6"/>
  <c r="W28" i="6"/>
  <c r="T28" i="6"/>
  <c r="S27" i="6"/>
  <c r="Q27" i="6"/>
  <c r="S28" i="6"/>
  <c r="R27" i="6"/>
  <c r="R28" i="6"/>
  <c r="Q28" i="6"/>
  <c r="Q27" i="5"/>
  <c r="Q28" i="5"/>
  <c r="Q26" i="5"/>
  <c r="S27" i="4"/>
  <c r="U27" i="4"/>
  <c r="U28" i="4"/>
  <c r="Z27" i="4"/>
  <c r="T28" i="4"/>
  <c r="Z28" i="4"/>
  <c r="S28" i="4"/>
  <c r="V27" i="4"/>
  <c r="V28" i="4"/>
  <c r="T27" i="4" l="1"/>
  <c r="V28" i="6"/>
  <c r="T27" i="6"/>
  <c r="Q28" i="4"/>
  <c r="V27" i="6"/>
  <c r="Q27" i="4"/>
  <c r="R28" i="4"/>
  <c r="R27" i="4"/>
  <c r="AL4" i="3" l="1"/>
  <c r="AL11" i="3"/>
  <c r="AL13" i="3"/>
  <c r="AL20" i="3"/>
  <c r="AL21" i="3"/>
  <c r="AK4" i="3"/>
  <c r="AK13" i="3"/>
  <c r="AK14" i="3"/>
  <c r="AK21" i="3"/>
  <c r="AK22" i="3"/>
  <c r="AJ9" i="3"/>
  <c r="AJ10" i="3"/>
  <c r="AI14" i="3"/>
  <c r="AI15" i="3"/>
  <c r="AI16" i="3"/>
  <c r="AI20" i="3"/>
  <c r="AI22" i="3"/>
  <c r="AI24" i="3"/>
  <c r="AL1" i="1"/>
  <c r="AJ26" i="3"/>
  <c r="AK26" i="3"/>
  <c r="AL26" i="3"/>
  <c r="AI26" i="3"/>
  <c r="AJ25" i="3"/>
  <c r="AK25" i="3"/>
  <c r="AL25" i="3"/>
  <c r="AI25" i="3"/>
  <c r="AJ23" i="3"/>
  <c r="AK23" i="3"/>
  <c r="AL23" i="3"/>
  <c r="AJ24" i="3"/>
  <c r="AK24" i="3"/>
  <c r="AL24" i="3"/>
  <c r="AI23" i="3"/>
  <c r="AJ21" i="3"/>
  <c r="AJ22" i="3"/>
  <c r="AL22" i="3"/>
  <c r="AI21" i="3"/>
  <c r="AJ19" i="3"/>
  <c r="AK19" i="3"/>
  <c r="AL19" i="3"/>
  <c r="AJ20" i="3"/>
  <c r="AK20" i="3"/>
  <c r="AI19" i="3"/>
  <c r="AJ18" i="3"/>
  <c r="AK18" i="3"/>
  <c r="AL18" i="3"/>
  <c r="AI18" i="3"/>
  <c r="AJ17" i="3"/>
  <c r="AK17" i="3"/>
  <c r="AL17" i="3"/>
  <c r="AI17" i="3"/>
  <c r="AJ16" i="3"/>
  <c r="AK16" i="3"/>
  <c r="AL16" i="3"/>
  <c r="AJ15" i="3"/>
  <c r="AK15" i="3"/>
  <c r="AL15" i="3"/>
  <c r="AJ14" i="3"/>
  <c r="AL14" i="3"/>
  <c r="AJ13" i="3"/>
  <c r="AI13" i="3"/>
  <c r="AJ11" i="3"/>
  <c r="AK11" i="3"/>
  <c r="AI11" i="3"/>
  <c r="AK10" i="3"/>
  <c r="AL10" i="3"/>
  <c r="AI10" i="3"/>
  <c r="AJ8" i="3"/>
  <c r="AK8" i="3"/>
  <c r="AL8" i="3"/>
  <c r="AK9" i="3"/>
  <c r="AL9" i="3"/>
  <c r="AI8" i="3"/>
  <c r="AI9" i="3"/>
  <c r="AJ7" i="3"/>
  <c r="AK7" i="3"/>
  <c r="AL7" i="3"/>
  <c r="AI7" i="3"/>
  <c r="AJ6" i="3"/>
  <c r="AK6" i="3"/>
  <c r="AL6" i="3"/>
  <c r="AI6" i="3"/>
  <c r="AJ3" i="3"/>
  <c r="AK3" i="3"/>
  <c r="AL3" i="3"/>
  <c r="AJ4" i="3"/>
  <c r="AI4" i="3"/>
  <c r="AL12" i="1" l="1"/>
  <c r="AL27" i="1"/>
  <c r="AL28" i="1"/>
  <c r="AM31" i="3"/>
  <c r="AM33" i="3"/>
  <c r="AM29" i="3"/>
  <c r="AM30" i="3"/>
  <c r="AL29" i="1"/>
  <c r="AL25" i="1"/>
  <c r="AL26" i="1"/>
  <c r="O58" i="3"/>
  <c r="AG26" i="3" l="1"/>
  <c r="AH26" i="3"/>
  <c r="AF26" i="3"/>
  <c r="AG25" i="3"/>
  <c r="AH25" i="3"/>
  <c r="AF25" i="3"/>
  <c r="AG23" i="3"/>
  <c r="AH23" i="3"/>
  <c r="AG24" i="3"/>
  <c r="AH24" i="3"/>
  <c r="AF23" i="3"/>
  <c r="AF24" i="3"/>
  <c r="AG21" i="3"/>
  <c r="AH21" i="3"/>
  <c r="AG22" i="3"/>
  <c r="AH22" i="3"/>
  <c r="AF21" i="3"/>
  <c r="AF22" i="3"/>
  <c r="AG19" i="3"/>
  <c r="AH19" i="3"/>
  <c r="AG20" i="3"/>
  <c r="AH20" i="3"/>
  <c r="AF19" i="3"/>
  <c r="AF20" i="3"/>
  <c r="AG18" i="3"/>
  <c r="AH18" i="3"/>
  <c r="AF18" i="3"/>
  <c r="AG16" i="3"/>
  <c r="AH16" i="3"/>
  <c r="AG17" i="3"/>
  <c r="AH17" i="3"/>
  <c r="AF16" i="3"/>
  <c r="AF17" i="3"/>
  <c r="AG15" i="3"/>
  <c r="AH15" i="3"/>
  <c r="AF15" i="3"/>
  <c r="AG14" i="3"/>
  <c r="AH14" i="3"/>
  <c r="AF14" i="3"/>
  <c r="AG13" i="3"/>
  <c r="AH13" i="3"/>
  <c r="AF13" i="3"/>
  <c r="AG11" i="3"/>
  <c r="AH11" i="3"/>
  <c r="AF11" i="3"/>
  <c r="AG10" i="3"/>
  <c r="AH10" i="3"/>
  <c r="AF10" i="3"/>
  <c r="AG8" i="3"/>
  <c r="AH8" i="3"/>
  <c r="AG9" i="3"/>
  <c r="AH9" i="3"/>
  <c r="AF8" i="3"/>
  <c r="AF9" i="3"/>
  <c r="AG7" i="3"/>
  <c r="AH7" i="3"/>
  <c r="AF7" i="3"/>
  <c r="AG6" i="3"/>
  <c r="AH6" i="3"/>
  <c r="AF6" i="3"/>
  <c r="AG3" i="3"/>
  <c r="AH3" i="3"/>
  <c r="AG4" i="3"/>
  <c r="AH4" i="3"/>
  <c r="AF3" i="3"/>
  <c r="AF4" i="3"/>
  <c r="F64" i="6" l="1"/>
  <c r="AD26" i="3"/>
  <c r="AE26" i="3"/>
  <c r="AC26" i="3"/>
  <c r="AD25" i="3"/>
  <c r="AE25" i="3"/>
  <c r="AC25" i="3"/>
  <c r="F67" i="6" l="1"/>
  <c r="E67" i="6" l="1"/>
  <c r="AB23" i="1" l="1"/>
  <c r="AC23" i="1"/>
  <c r="AD23" i="1"/>
  <c r="AE23" i="1"/>
  <c r="AF23" i="1"/>
  <c r="AG23" i="1"/>
  <c r="AH23" i="1"/>
  <c r="AI23" i="1"/>
  <c r="AJ23" i="1"/>
  <c r="AK23" i="1"/>
  <c r="AB24" i="1"/>
  <c r="AA4" i="1"/>
  <c r="AA6" i="1"/>
  <c r="AA21" i="1"/>
  <c r="AA22" i="1"/>
  <c r="AA23" i="1"/>
  <c r="AA24" i="1"/>
  <c r="Z23" i="1"/>
  <c r="Z24" i="1"/>
  <c r="AL2" i="1"/>
  <c r="AB6" i="3"/>
  <c r="AB19" i="3"/>
  <c r="AB20" i="3"/>
  <c r="AB25" i="3"/>
  <c r="AB26" i="3"/>
  <c r="AB27" i="3"/>
  <c r="AB28" i="3"/>
  <c r="AA27" i="3"/>
  <c r="AA28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S83" i="3" l="1"/>
  <c r="J84" i="3"/>
  <c r="AB24" i="3" l="1"/>
  <c r="AB22" i="3"/>
  <c r="AA18" i="1"/>
  <c r="AB4" i="3" l="1"/>
  <c r="AB3" i="3"/>
  <c r="AA20" i="1" l="1"/>
  <c r="F66" i="6"/>
  <c r="E68" i="6"/>
  <c r="F68" i="6"/>
  <c r="N62" i="6"/>
  <c r="O62" i="6"/>
  <c r="P62" i="6"/>
  <c r="K62" i="6"/>
  <c r="L62" i="6"/>
  <c r="M62" i="6"/>
  <c r="H62" i="6"/>
  <c r="I62" i="6"/>
  <c r="J62" i="6"/>
  <c r="E62" i="6"/>
  <c r="F62" i="6"/>
  <c r="G62" i="6"/>
  <c r="N56" i="4"/>
  <c r="O56" i="4"/>
  <c r="P56" i="4"/>
  <c r="K56" i="4"/>
  <c r="L56" i="4"/>
  <c r="M56" i="4"/>
  <c r="H56" i="4"/>
  <c r="I56" i="4"/>
  <c r="J56" i="4"/>
  <c r="F56" i="4"/>
  <c r="G56" i="4"/>
  <c r="AD23" i="3"/>
  <c r="AE23" i="3"/>
  <c r="AD24" i="3"/>
  <c r="AE24" i="3"/>
  <c r="AA23" i="3"/>
  <c r="AB23" i="3"/>
  <c r="AC23" i="3"/>
  <c r="AA24" i="3"/>
  <c r="AC24" i="3"/>
  <c r="AD21" i="3"/>
  <c r="AE21" i="3"/>
  <c r="AD22" i="3"/>
  <c r="AE22" i="3"/>
  <c r="AA21" i="3"/>
  <c r="AB21" i="3"/>
  <c r="AC21" i="3"/>
  <c r="AA22" i="3"/>
  <c r="AC22" i="3"/>
  <c r="AD19" i="3"/>
  <c r="AE19" i="3"/>
  <c r="AD20" i="3"/>
  <c r="AE20" i="3"/>
  <c r="AA19" i="3"/>
  <c r="AC19" i="3"/>
  <c r="AA20" i="3"/>
  <c r="AC20" i="3"/>
  <c r="AD18" i="3"/>
  <c r="AE18" i="3"/>
  <c r="AA18" i="3"/>
  <c r="AB18" i="3"/>
  <c r="AC18" i="3"/>
  <c r="AD16" i="3"/>
  <c r="AE16" i="3"/>
  <c r="AD17" i="3"/>
  <c r="AE17" i="3"/>
  <c r="AA16" i="3"/>
  <c r="AB16" i="3"/>
  <c r="AC16" i="3"/>
  <c r="AA17" i="3"/>
  <c r="AB17" i="3"/>
  <c r="AC17" i="3"/>
  <c r="AD15" i="3"/>
  <c r="AE15" i="3"/>
  <c r="AA15" i="3"/>
  <c r="AB15" i="3"/>
  <c r="AC15" i="3"/>
  <c r="AD14" i="3"/>
  <c r="AE14" i="3"/>
  <c r="AA14" i="3"/>
  <c r="AB14" i="3"/>
  <c r="AC14" i="3"/>
  <c r="AD13" i="3"/>
  <c r="AE13" i="3"/>
  <c r="AB13" i="3"/>
  <c r="AC13" i="3"/>
  <c r="AD11" i="3"/>
  <c r="AE11" i="3"/>
  <c r="AC11" i="3"/>
  <c r="AD10" i="3"/>
  <c r="AE10" i="3"/>
  <c r="AA10" i="3"/>
  <c r="AB10" i="3"/>
  <c r="AC10" i="3"/>
  <c r="AD8" i="3"/>
  <c r="AE8" i="3"/>
  <c r="AD9" i="3"/>
  <c r="AE9" i="3"/>
  <c r="AA8" i="3"/>
  <c r="AB8" i="3"/>
  <c r="AC8" i="3"/>
  <c r="AA9" i="3"/>
  <c r="AB9" i="3"/>
  <c r="AC9" i="3"/>
  <c r="AD7" i="3"/>
  <c r="AE7" i="3"/>
  <c r="AA7" i="3"/>
  <c r="AB7" i="3"/>
  <c r="AC7" i="3"/>
  <c r="AD6" i="3"/>
  <c r="AE6" i="3"/>
  <c r="AA6" i="3"/>
  <c r="AC6" i="3"/>
  <c r="AI3" i="3"/>
  <c r="AD3" i="3"/>
  <c r="AE3" i="3"/>
  <c r="AD4" i="3"/>
  <c r="AE4" i="3"/>
  <c r="AA3" i="3"/>
  <c r="AA4" i="3"/>
  <c r="AC4" i="3"/>
  <c r="AI22" i="1"/>
  <c r="AJ22" i="1"/>
  <c r="AK22" i="1"/>
  <c r="AF22" i="1"/>
  <c r="AG22" i="1"/>
  <c r="AH22" i="1"/>
  <c r="AC22" i="1"/>
  <c r="AD22" i="1"/>
  <c r="AE22" i="1"/>
  <c r="AB22" i="1"/>
  <c r="AI21" i="1"/>
  <c r="AJ21" i="1"/>
  <c r="AK21" i="1"/>
  <c r="AF21" i="1"/>
  <c r="AG21" i="1"/>
  <c r="AH21" i="1"/>
  <c r="AC21" i="1"/>
  <c r="AD21" i="1"/>
  <c r="AE21" i="1"/>
  <c r="AB21" i="1"/>
  <c r="AI19" i="1"/>
  <c r="AJ19" i="1"/>
  <c r="AK19" i="1"/>
  <c r="AI20" i="1"/>
  <c r="AJ20" i="1"/>
  <c r="AK20" i="1"/>
  <c r="AF19" i="1"/>
  <c r="AG19" i="1"/>
  <c r="AH19" i="1"/>
  <c r="AF20" i="1"/>
  <c r="AG20" i="1"/>
  <c r="AH20" i="1"/>
  <c r="AC19" i="1"/>
  <c r="AD19" i="1"/>
  <c r="AE19" i="1"/>
  <c r="AC20" i="1"/>
  <c r="AD20" i="1"/>
  <c r="AE20" i="1"/>
  <c r="Z19" i="1"/>
  <c r="AA19" i="1"/>
  <c r="AB19" i="1"/>
  <c r="Z20" i="1"/>
  <c r="AB20" i="1"/>
  <c r="AI17" i="1"/>
  <c r="AJ17" i="1"/>
  <c r="AK17" i="1"/>
  <c r="AI18" i="1"/>
  <c r="AJ18" i="1"/>
  <c r="AK18" i="1"/>
  <c r="AF17" i="1"/>
  <c r="AG17" i="1"/>
  <c r="AH17" i="1"/>
  <c r="AF18" i="1"/>
  <c r="AG18" i="1"/>
  <c r="AH18" i="1"/>
  <c r="AC17" i="1"/>
  <c r="AD17" i="1"/>
  <c r="AE17" i="1"/>
  <c r="AC18" i="1"/>
  <c r="AD18" i="1"/>
  <c r="AE18" i="1"/>
  <c r="Z17" i="1"/>
  <c r="AA17" i="1"/>
  <c r="AB17" i="1"/>
  <c r="Z18" i="1"/>
  <c r="AB18" i="1"/>
  <c r="AI15" i="1"/>
  <c r="AJ15" i="1"/>
  <c r="AK15" i="1"/>
  <c r="AI16" i="1"/>
  <c r="AJ16" i="1"/>
  <c r="AK16" i="1"/>
  <c r="AF15" i="1"/>
  <c r="AG15" i="1"/>
  <c r="AH15" i="1"/>
  <c r="AF16" i="1"/>
  <c r="AG16" i="1"/>
  <c r="AH16" i="1"/>
  <c r="AC15" i="1"/>
  <c r="AD15" i="1"/>
  <c r="AE15" i="1"/>
  <c r="AC16" i="1"/>
  <c r="AE16" i="1"/>
  <c r="Z15" i="1"/>
  <c r="AA15" i="1"/>
  <c r="AB15" i="1"/>
  <c r="Z16" i="1"/>
  <c r="AA16" i="1"/>
  <c r="AB16" i="1"/>
  <c r="AI14" i="1"/>
  <c r="AJ14" i="1"/>
  <c r="AK14" i="1"/>
  <c r="AF14" i="1"/>
  <c r="AG14" i="1"/>
  <c r="AH14" i="1"/>
  <c r="AC14" i="1"/>
  <c r="AD14" i="1"/>
  <c r="AE14" i="1"/>
  <c r="Z14" i="1"/>
  <c r="AA14" i="1"/>
  <c r="AB14" i="1"/>
  <c r="AI13" i="1"/>
  <c r="AJ13" i="1"/>
  <c r="AK13" i="1"/>
  <c r="AF13" i="1"/>
  <c r="AG13" i="1"/>
  <c r="AH13" i="1"/>
  <c r="AC13" i="1"/>
  <c r="AD13" i="1"/>
  <c r="AE13" i="1"/>
  <c r="Z13" i="1"/>
  <c r="AA13" i="1"/>
  <c r="AB13" i="1"/>
  <c r="AI10" i="1"/>
  <c r="AJ10" i="1"/>
  <c r="AK10" i="1"/>
  <c r="AF10" i="1"/>
  <c r="AG10" i="1"/>
  <c r="AH10" i="1"/>
  <c r="AC10" i="1"/>
  <c r="AD10" i="1"/>
  <c r="AE10" i="1"/>
  <c r="Z10" i="1"/>
  <c r="AA10" i="1"/>
  <c r="AB10" i="1"/>
  <c r="AI8" i="1"/>
  <c r="AJ8" i="1"/>
  <c r="AK8" i="1"/>
  <c r="AI9" i="1"/>
  <c r="AJ9" i="1"/>
  <c r="AK9" i="1"/>
  <c r="AF8" i="1"/>
  <c r="AG8" i="1"/>
  <c r="AH8" i="1"/>
  <c r="AF9" i="1"/>
  <c r="AG9" i="1"/>
  <c r="AH9" i="1"/>
  <c r="AC8" i="1"/>
  <c r="AD8" i="1"/>
  <c r="AE8" i="1"/>
  <c r="AC9" i="1"/>
  <c r="AD9" i="1"/>
  <c r="AE9" i="1"/>
  <c r="Z8" i="1"/>
  <c r="AA8" i="1"/>
  <c r="AB8" i="1"/>
  <c r="Z9" i="1"/>
  <c r="AA9" i="1"/>
  <c r="AB9" i="1"/>
  <c r="AI7" i="1"/>
  <c r="AJ7" i="1"/>
  <c r="AK7" i="1"/>
  <c r="AF7" i="1"/>
  <c r="AG7" i="1"/>
  <c r="AH7" i="1"/>
  <c r="AC7" i="1"/>
  <c r="AD7" i="1"/>
  <c r="AE7" i="1"/>
  <c r="Z7" i="1"/>
  <c r="AA7" i="1"/>
  <c r="AB7" i="1"/>
  <c r="AI6" i="1"/>
  <c r="AJ6" i="1"/>
  <c r="AK6" i="1"/>
  <c r="AF6" i="1"/>
  <c r="AG6" i="1"/>
  <c r="AH6" i="1"/>
  <c r="AC6" i="1"/>
  <c r="AD6" i="1"/>
  <c r="AE6" i="1"/>
  <c r="AB6" i="1"/>
  <c r="AI3" i="1"/>
  <c r="AJ3" i="1"/>
  <c r="AK3" i="1"/>
  <c r="AI4" i="1"/>
  <c r="AJ4" i="1"/>
  <c r="AK4" i="1"/>
  <c r="AF3" i="1"/>
  <c r="AG3" i="1"/>
  <c r="AH3" i="1"/>
  <c r="AF4" i="1"/>
  <c r="AG4" i="1"/>
  <c r="AH4" i="1"/>
  <c r="AC3" i="1"/>
  <c r="AD3" i="1"/>
  <c r="AE3" i="1"/>
  <c r="AC4" i="1"/>
  <c r="AD4" i="1"/>
  <c r="AE4" i="1"/>
  <c r="AB3" i="1"/>
  <c r="AB4" i="1"/>
  <c r="AI11" i="1"/>
  <c r="AJ11" i="1"/>
  <c r="AK11" i="1"/>
  <c r="AF11" i="1"/>
  <c r="AG11" i="1"/>
  <c r="AH11" i="1"/>
  <c r="AC11" i="1"/>
  <c r="AD11" i="1"/>
  <c r="AE11" i="1"/>
  <c r="Z11" i="1"/>
  <c r="AA11" i="1"/>
  <c r="AB11" i="1"/>
  <c r="G59" i="6" l="1"/>
  <c r="K59" i="6"/>
  <c r="F60" i="6"/>
  <c r="L61" i="6"/>
  <c r="P60" i="6"/>
  <c r="P68" i="6"/>
  <c r="H65" i="6"/>
  <c r="F59" i="6"/>
  <c r="P59" i="6"/>
  <c r="E60" i="6"/>
  <c r="K61" i="6"/>
  <c r="O60" i="6"/>
  <c r="G63" i="6"/>
  <c r="H63" i="6"/>
  <c r="O64" i="6"/>
  <c r="F65" i="6"/>
  <c r="M66" i="6"/>
  <c r="N66" i="6"/>
  <c r="M67" i="6"/>
  <c r="O68" i="6"/>
  <c r="P64" i="6"/>
  <c r="E59" i="6"/>
  <c r="O59" i="6"/>
  <c r="J61" i="6"/>
  <c r="M60" i="6"/>
  <c r="N60" i="6"/>
  <c r="F63" i="6"/>
  <c r="M64" i="6"/>
  <c r="N64" i="6"/>
  <c r="E65" i="6"/>
  <c r="L66" i="6"/>
  <c r="P65" i="6"/>
  <c r="L67" i="6"/>
  <c r="J68" i="6"/>
  <c r="N68" i="6"/>
  <c r="E64" i="6"/>
  <c r="G65" i="6"/>
  <c r="J59" i="6"/>
  <c r="N59" i="6"/>
  <c r="H61" i="6"/>
  <c r="L60" i="6"/>
  <c r="E63" i="6"/>
  <c r="L64" i="6"/>
  <c r="P63" i="6"/>
  <c r="J66" i="6"/>
  <c r="K66" i="6"/>
  <c r="O65" i="6"/>
  <c r="K67" i="6"/>
  <c r="I68" i="6"/>
  <c r="H67" i="6"/>
  <c r="I59" i="6"/>
  <c r="G61" i="6"/>
  <c r="J60" i="6"/>
  <c r="K60" i="6"/>
  <c r="J64" i="6"/>
  <c r="K64" i="6"/>
  <c r="O63" i="6"/>
  <c r="I66" i="6"/>
  <c r="M65" i="6"/>
  <c r="N65" i="6"/>
  <c r="P67" i="6"/>
  <c r="H68" i="6"/>
  <c r="O66" i="6"/>
  <c r="H59" i="6"/>
  <c r="F61" i="6"/>
  <c r="I60" i="6"/>
  <c r="P61" i="6"/>
  <c r="I64" i="6"/>
  <c r="M63" i="6"/>
  <c r="N63" i="6"/>
  <c r="H66" i="6"/>
  <c r="L65" i="6"/>
  <c r="G67" i="6"/>
  <c r="O67" i="6"/>
  <c r="M68" i="6"/>
  <c r="AD16" i="1"/>
  <c r="I61" i="6"/>
  <c r="M59" i="6"/>
  <c r="E61" i="6"/>
  <c r="H60" i="6"/>
  <c r="O61" i="6"/>
  <c r="H64" i="6"/>
  <c r="L63" i="6"/>
  <c r="G66" i="6"/>
  <c r="J65" i="6"/>
  <c r="K65" i="6"/>
  <c r="J67" i="6"/>
  <c r="N67" i="6"/>
  <c r="L68" i="6"/>
  <c r="I63" i="6"/>
  <c r="L59" i="6"/>
  <c r="G60" i="6"/>
  <c r="M61" i="6"/>
  <c r="N61" i="6"/>
  <c r="J63" i="6"/>
  <c r="K63" i="6"/>
  <c r="E66" i="6"/>
  <c r="I65" i="6"/>
  <c r="P66" i="6"/>
  <c r="I67" i="6"/>
  <c r="G68" i="6"/>
  <c r="K68" i="6"/>
  <c r="AC3" i="3"/>
  <c r="F49" i="3"/>
  <c r="F68" i="3"/>
  <c r="G68" i="3"/>
  <c r="H68" i="3"/>
  <c r="I68" i="3"/>
  <c r="J68" i="3"/>
  <c r="K68" i="3"/>
  <c r="L68" i="3"/>
  <c r="M68" i="3"/>
  <c r="N68" i="3"/>
  <c r="O68" i="3"/>
  <c r="P68" i="3"/>
  <c r="F67" i="3"/>
  <c r="G67" i="3"/>
  <c r="H67" i="3"/>
  <c r="I67" i="3"/>
  <c r="J67" i="3"/>
  <c r="K67" i="3"/>
  <c r="L67" i="3"/>
  <c r="M67" i="3"/>
  <c r="N67" i="3"/>
  <c r="O67" i="3"/>
  <c r="P67" i="3"/>
  <c r="F66" i="3"/>
  <c r="G66" i="3"/>
  <c r="H66" i="3"/>
  <c r="I66" i="3"/>
  <c r="J66" i="3"/>
  <c r="K66" i="3"/>
  <c r="L66" i="3"/>
  <c r="M66" i="3"/>
  <c r="N66" i="3"/>
  <c r="O66" i="3"/>
  <c r="P66" i="3"/>
  <c r="N60" i="3"/>
  <c r="O60" i="3"/>
  <c r="P60" i="3"/>
  <c r="K60" i="3"/>
  <c r="L60" i="3"/>
  <c r="M60" i="3"/>
  <c r="H60" i="3"/>
  <c r="I60" i="3"/>
  <c r="J60" i="3"/>
  <c r="E60" i="3"/>
  <c r="F60" i="3"/>
  <c r="G60" i="3"/>
  <c r="E89" i="7" l="1"/>
  <c r="B89" i="7"/>
  <c r="C89" i="7"/>
  <c r="D89" i="7"/>
  <c r="E91" i="4"/>
  <c r="B91" i="4"/>
  <c r="C91" i="4"/>
  <c r="D91" i="4"/>
  <c r="F89" i="3"/>
  <c r="E89" i="3"/>
  <c r="D89" i="3"/>
  <c r="C89" i="3"/>
  <c r="C86" i="3" l="1"/>
  <c r="D86" i="3"/>
  <c r="E86" i="3"/>
  <c r="F57" i="6" l="1"/>
  <c r="G57" i="6"/>
  <c r="H57" i="6"/>
  <c r="I57" i="6"/>
  <c r="J57" i="6"/>
  <c r="K57" i="6"/>
  <c r="L57" i="6"/>
  <c r="M57" i="6"/>
  <c r="N57" i="6"/>
  <c r="O57" i="6"/>
  <c r="P57" i="6"/>
  <c r="F58" i="6"/>
  <c r="G58" i="6"/>
  <c r="H58" i="6"/>
  <c r="I58" i="6"/>
  <c r="J58" i="6"/>
  <c r="K58" i="6"/>
  <c r="L58" i="6"/>
  <c r="M58" i="6"/>
  <c r="N58" i="6"/>
  <c r="O58" i="6"/>
  <c r="P58" i="6"/>
  <c r="E58" i="6"/>
  <c r="E57" i="6"/>
  <c r="F55" i="3" l="1"/>
  <c r="G55" i="3"/>
  <c r="H55" i="3"/>
  <c r="I55" i="3"/>
  <c r="J55" i="3"/>
  <c r="K55" i="3"/>
  <c r="L55" i="3"/>
  <c r="M55" i="3"/>
  <c r="N55" i="3"/>
  <c r="O55" i="3"/>
  <c r="P55" i="3"/>
  <c r="B86" i="5"/>
  <c r="C86" i="5"/>
  <c r="D86" i="5"/>
  <c r="E86" i="5"/>
  <c r="B86" i="8"/>
  <c r="C86" i="8"/>
  <c r="D86" i="8"/>
  <c r="R87" i="5" l="1"/>
  <c r="F58" i="8" l="1"/>
  <c r="G58" i="8"/>
  <c r="H58" i="8"/>
  <c r="I58" i="8"/>
  <c r="J58" i="8"/>
  <c r="K58" i="8"/>
  <c r="L58" i="8"/>
  <c r="M58" i="8"/>
  <c r="N58" i="8"/>
  <c r="O58" i="8"/>
  <c r="P58" i="8"/>
  <c r="F59" i="8"/>
  <c r="G59" i="8"/>
  <c r="H59" i="8"/>
  <c r="I59" i="8"/>
  <c r="J59" i="8"/>
  <c r="K59" i="8"/>
  <c r="L59" i="8"/>
  <c r="M59" i="8"/>
  <c r="N59" i="8"/>
  <c r="O59" i="8"/>
  <c r="P59" i="8"/>
  <c r="F43" i="8"/>
  <c r="G43" i="8"/>
  <c r="H43" i="8"/>
  <c r="I43" i="8"/>
  <c r="J43" i="8"/>
  <c r="K43" i="8"/>
  <c r="L43" i="8"/>
  <c r="M43" i="8"/>
  <c r="N43" i="8"/>
  <c r="O43" i="8"/>
  <c r="P43" i="8"/>
  <c r="F44" i="8"/>
  <c r="G44" i="8"/>
  <c r="H44" i="8"/>
  <c r="I44" i="8"/>
  <c r="J44" i="8"/>
  <c r="K44" i="8"/>
  <c r="L44" i="8"/>
  <c r="M44" i="8"/>
  <c r="N44" i="8"/>
  <c r="O44" i="8"/>
  <c r="P44" i="8"/>
  <c r="E59" i="8"/>
  <c r="E44" i="8"/>
  <c r="F62" i="7"/>
  <c r="G62" i="7"/>
  <c r="H62" i="7"/>
  <c r="I62" i="7"/>
  <c r="J62" i="7"/>
  <c r="K62" i="7"/>
  <c r="L62" i="7"/>
  <c r="M62" i="7"/>
  <c r="N62" i="7"/>
  <c r="O62" i="7"/>
  <c r="P62" i="7"/>
  <c r="F63" i="7"/>
  <c r="G63" i="7"/>
  <c r="H63" i="7"/>
  <c r="I63" i="7"/>
  <c r="J63" i="7"/>
  <c r="K63" i="7"/>
  <c r="L63" i="7"/>
  <c r="M63" i="7"/>
  <c r="N63" i="7"/>
  <c r="O63" i="7"/>
  <c r="P63" i="7"/>
  <c r="E63" i="7"/>
  <c r="F59" i="7"/>
  <c r="G59" i="7"/>
  <c r="H59" i="7"/>
  <c r="I59" i="7"/>
  <c r="J59" i="7"/>
  <c r="K59" i="7"/>
  <c r="L59" i="7"/>
  <c r="M59" i="7"/>
  <c r="N59" i="7"/>
  <c r="O59" i="7"/>
  <c r="P59" i="7"/>
  <c r="E59" i="7"/>
  <c r="F56" i="7"/>
  <c r="G56" i="7"/>
  <c r="H56" i="7"/>
  <c r="I56" i="7"/>
  <c r="J56" i="7"/>
  <c r="K56" i="7"/>
  <c r="L56" i="7"/>
  <c r="M56" i="7"/>
  <c r="N56" i="7"/>
  <c r="O56" i="7"/>
  <c r="P56" i="7"/>
  <c r="E56" i="7"/>
  <c r="F52" i="7"/>
  <c r="G52" i="7"/>
  <c r="H52" i="7"/>
  <c r="I52" i="7"/>
  <c r="J52" i="7"/>
  <c r="K52" i="7"/>
  <c r="L52" i="7"/>
  <c r="M52" i="7"/>
  <c r="N52" i="7"/>
  <c r="O52" i="7"/>
  <c r="P52" i="7"/>
  <c r="E52" i="7"/>
  <c r="F47" i="7"/>
  <c r="G47" i="7"/>
  <c r="H47" i="7"/>
  <c r="I47" i="7"/>
  <c r="J47" i="7"/>
  <c r="K47" i="7"/>
  <c r="L47" i="7"/>
  <c r="M47" i="7"/>
  <c r="N47" i="7"/>
  <c r="O47" i="7"/>
  <c r="P47" i="7"/>
  <c r="F45" i="7"/>
  <c r="G45" i="7"/>
  <c r="H45" i="7"/>
  <c r="I45" i="7"/>
  <c r="J45" i="7"/>
  <c r="K45" i="7"/>
  <c r="L45" i="7"/>
  <c r="M45" i="7"/>
  <c r="N45" i="7"/>
  <c r="O45" i="7"/>
  <c r="P45" i="7"/>
  <c r="E45" i="7"/>
  <c r="F44" i="7"/>
  <c r="G44" i="7"/>
  <c r="H44" i="7"/>
  <c r="I44" i="7"/>
  <c r="J44" i="7"/>
  <c r="K44" i="7"/>
  <c r="L44" i="7"/>
  <c r="M44" i="7"/>
  <c r="N44" i="7"/>
  <c r="O44" i="7"/>
  <c r="P44" i="7"/>
  <c r="P56" i="6"/>
  <c r="O56" i="6"/>
  <c r="N56" i="6"/>
  <c r="M56" i="6"/>
  <c r="L56" i="6"/>
  <c r="K56" i="6"/>
  <c r="J56" i="6"/>
  <c r="I56" i="6"/>
  <c r="H56" i="6"/>
  <c r="G56" i="6"/>
  <c r="F56" i="6"/>
  <c r="E56" i="6"/>
  <c r="P54" i="6"/>
  <c r="O54" i="6"/>
  <c r="N54" i="6"/>
  <c r="M54" i="6"/>
  <c r="L54" i="6"/>
  <c r="K54" i="6"/>
  <c r="J54" i="6"/>
  <c r="I54" i="6"/>
  <c r="H54" i="6"/>
  <c r="G54" i="6"/>
  <c r="F54" i="6"/>
  <c r="E54" i="6"/>
  <c r="P53" i="6"/>
  <c r="O53" i="6"/>
  <c r="N53" i="6"/>
  <c r="M53" i="6"/>
  <c r="L53" i="6"/>
  <c r="K53" i="6"/>
  <c r="J53" i="6"/>
  <c r="I53" i="6"/>
  <c r="H53" i="6"/>
  <c r="G53" i="6"/>
  <c r="F53" i="6"/>
  <c r="P52" i="6"/>
  <c r="O52" i="6"/>
  <c r="N52" i="6"/>
  <c r="M52" i="6"/>
  <c r="L52" i="6"/>
  <c r="K52" i="6"/>
  <c r="J52" i="6"/>
  <c r="I52" i="6"/>
  <c r="H52" i="6"/>
  <c r="G52" i="6"/>
  <c r="F52" i="6"/>
  <c r="P50" i="6"/>
  <c r="O50" i="6"/>
  <c r="N50" i="6"/>
  <c r="M50" i="6"/>
  <c r="L50" i="6"/>
  <c r="K50" i="6"/>
  <c r="J50" i="6"/>
  <c r="I50" i="6"/>
  <c r="H50" i="6"/>
  <c r="G50" i="6"/>
  <c r="F50" i="6"/>
  <c r="P49" i="6"/>
  <c r="O49" i="6"/>
  <c r="N49" i="6"/>
  <c r="M49" i="6"/>
  <c r="L49" i="6"/>
  <c r="K49" i="6"/>
  <c r="J49" i="6"/>
  <c r="I49" i="6"/>
  <c r="G49" i="6"/>
  <c r="F49" i="6"/>
  <c r="P47" i="6"/>
  <c r="O47" i="6"/>
  <c r="N47" i="6"/>
  <c r="M47" i="6"/>
  <c r="L47" i="6"/>
  <c r="K47" i="6"/>
  <c r="J47" i="6"/>
  <c r="I47" i="6"/>
  <c r="H47" i="6"/>
  <c r="G47" i="6"/>
  <c r="F47" i="6"/>
  <c r="E47" i="6"/>
  <c r="P46" i="6"/>
  <c r="O46" i="6"/>
  <c r="N46" i="6"/>
  <c r="M46" i="6"/>
  <c r="L46" i="6"/>
  <c r="K46" i="6"/>
  <c r="J46" i="6"/>
  <c r="I46" i="6"/>
  <c r="H46" i="6"/>
  <c r="G46" i="6"/>
  <c r="F46" i="6"/>
  <c r="E46" i="6"/>
  <c r="E50" i="6"/>
  <c r="F46" i="5"/>
  <c r="G46" i="5"/>
  <c r="H46" i="5"/>
  <c r="I46" i="5"/>
  <c r="J46" i="5"/>
  <c r="K46" i="5"/>
  <c r="L46" i="5"/>
  <c r="M46" i="5"/>
  <c r="N46" i="5"/>
  <c r="O46" i="5"/>
  <c r="P46" i="5"/>
  <c r="F47" i="5"/>
  <c r="G47" i="5"/>
  <c r="H47" i="5"/>
  <c r="I47" i="5"/>
  <c r="J47" i="5"/>
  <c r="K47" i="5"/>
  <c r="L47" i="5"/>
  <c r="M47" i="5"/>
  <c r="N47" i="5"/>
  <c r="O47" i="5"/>
  <c r="P47" i="5"/>
  <c r="F49" i="5"/>
  <c r="G49" i="5"/>
  <c r="H49" i="5"/>
  <c r="I49" i="5"/>
  <c r="J49" i="5"/>
  <c r="K49" i="5"/>
  <c r="L49" i="5"/>
  <c r="M49" i="5"/>
  <c r="N49" i="5"/>
  <c r="O49" i="5"/>
  <c r="P49" i="5"/>
  <c r="F50" i="5"/>
  <c r="G50" i="5"/>
  <c r="H50" i="5"/>
  <c r="I50" i="5"/>
  <c r="J50" i="5"/>
  <c r="K50" i="5"/>
  <c r="L50" i="5"/>
  <c r="M50" i="5"/>
  <c r="N50" i="5"/>
  <c r="O50" i="5"/>
  <c r="P50" i="5"/>
  <c r="F52" i="5"/>
  <c r="G52" i="5"/>
  <c r="H52" i="5"/>
  <c r="I52" i="5"/>
  <c r="J52" i="5"/>
  <c r="K52" i="5"/>
  <c r="L52" i="5"/>
  <c r="M52" i="5"/>
  <c r="N52" i="5"/>
  <c r="O52" i="5"/>
  <c r="P52" i="5"/>
  <c r="F53" i="5"/>
  <c r="G53" i="5"/>
  <c r="H53" i="5"/>
  <c r="I53" i="5"/>
  <c r="J53" i="5"/>
  <c r="K53" i="5"/>
  <c r="L53" i="5"/>
  <c r="M53" i="5"/>
  <c r="N53" i="5"/>
  <c r="O53" i="5"/>
  <c r="P53" i="5"/>
  <c r="F54" i="5"/>
  <c r="G54" i="5"/>
  <c r="H54" i="5"/>
  <c r="I54" i="5"/>
  <c r="J54" i="5"/>
  <c r="K54" i="5"/>
  <c r="L54" i="5"/>
  <c r="M54" i="5"/>
  <c r="N54" i="5"/>
  <c r="O54" i="5"/>
  <c r="P54" i="5"/>
  <c r="F56" i="5"/>
  <c r="G56" i="5"/>
  <c r="H56" i="5"/>
  <c r="I56" i="5"/>
  <c r="J56" i="5"/>
  <c r="K56" i="5"/>
  <c r="L56" i="5"/>
  <c r="M56" i="5"/>
  <c r="N56" i="5"/>
  <c r="O56" i="5"/>
  <c r="P56" i="5"/>
  <c r="F57" i="5"/>
  <c r="G57" i="5"/>
  <c r="H57" i="5"/>
  <c r="I57" i="5"/>
  <c r="J57" i="5"/>
  <c r="K57" i="5"/>
  <c r="L57" i="5"/>
  <c r="M57" i="5"/>
  <c r="N57" i="5"/>
  <c r="O57" i="5"/>
  <c r="P57" i="5"/>
  <c r="F58" i="5"/>
  <c r="G58" i="5"/>
  <c r="H58" i="5"/>
  <c r="I58" i="5"/>
  <c r="J58" i="5"/>
  <c r="K58" i="5"/>
  <c r="L58" i="5"/>
  <c r="M58" i="5"/>
  <c r="N58" i="5"/>
  <c r="O58" i="5"/>
  <c r="P58" i="5"/>
  <c r="F59" i="5"/>
  <c r="G59" i="5"/>
  <c r="H59" i="5"/>
  <c r="I59" i="5"/>
  <c r="J59" i="5"/>
  <c r="K59" i="5"/>
  <c r="L59" i="5"/>
  <c r="M59" i="5"/>
  <c r="N59" i="5"/>
  <c r="O59" i="5"/>
  <c r="P59" i="5"/>
  <c r="F60" i="5"/>
  <c r="G60" i="5"/>
  <c r="H60" i="5"/>
  <c r="I60" i="5"/>
  <c r="J60" i="5"/>
  <c r="K60" i="5"/>
  <c r="L60" i="5"/>
  <c r="M60" i="5"/>
  <c r="N60" i="5"/>
  <c r="O60" i="5"/>
  <c r="P60" i="5"/>
  <c r="F61" i="5"/>
  <c r="G61" i="5"/>
  <c r="H61" i="5"/>
  <c r="I61" i="5"/>
  <c r="J61" i="5"/>
  <c r="K61" i="5"/>
  <c r="L61" i="5"/>
  <c r="M61" i="5"/>
  <c r="N61" i="5"/>
  <c r="O61" i="5"/>
  <c r="P61" i="5"/>
  <c r="F62" i="5"/>
  <c r="G62" i="5"/>
  <c r="H62" i="5"/>
  <c r="I62" i="5"/>
  <c r="J62" i="5"/>
  <c r="K62" i="5"/>
  <c r="L62" i="5"/>
  <c r="M62" i="5"/>
  <c r="N62" i="5"/>
  <c r="O62" i="5"/>
  <c r="P62" i="5"/>
  <c r="F63" i="5"/>
  <c r="G63" i="5"/>
  <c r="H63" i="5"/>
  <c r="I63" i="5"/>
  <c r="J63" i="5"/>
  <c r="K63" i="5"/>
  <c r="L63" i="5"/>
  <c r="M63" i="5"/>
  <c r="N63" i="5"/>
  <c r="O63" i="5"/>
  <c r="P63" i="5"/>
  <c r="F64" i="5"/>
  <c r="G64" i="5"/>
  <c r="H64" i="5"/>
  <c r="I64" i="5"/>
  <c r="J64" i="5"/>
  <c r="K64" i="5"/>
  <c r="L64" i="5"/>
  <c r="M64" i="5"/>
  <c r="N64" i="5"/>
  <c r="O64" i="5"/>
  <c r="P64" i="5"/>
  <c r="F65" i="5"/>
  <c r="G65" i="5"/>
  <c r="H65" i="5"/>
  <c r="I65" i="5"/>
  <c r="J65" i="5"/>
  <c r="K65" i="5"/>
  <c r="L65" i="5"/>
  <c r="M65" i="5"/>
  <c r="N65" i="5"/>
  <c r="O65" i="5"/>
  <c r="P65" i="5"/>
  <c r="F66" i="5"/>
  <c r="G66" i="5"/>
  <c r="H66" i="5"/>
  <c r="I66" i="5"/>
  <c r="J66" i="5"/>
  <c r="K66" i="5"/>
  <c r="L66" i="5"/>
  <c r="M66" i="5"/>
  <c r="N66" i="5"/>
  <c r="O66" i="5"/>
  <c r="P66" i="5"/>
  <c r="F68" i="5"/>
  <c r="G68" i="5"/>
  <c r="H68" i="5"/>
  <c r="I68" i="5"/>
  <c r="J68" i="5"/>
  <c r="K68" i="5"/>
  <c r="L68" i="5"/>
  <c r="M68" i="5"/>
  <c r="N68" i="5"/>
  <c r="O68" i="5"/>
  <c r="P68" i="5"/>
  <c r="F69" i="5"/>
  <c r="G69" i="5"/>
  <c r="H69" i="5"/>
  <c r="I69" i="5"/>
  <c r="J69" i="5"/>
  <c r="K69" i="5"/>
  <c r="L69" i="5"/>
  <c r="M69" i="5"/>
  <c r="N69" i="5"/>
  <c r="O69" i="5"/>
  <c r="P69" i="5"/>
  <c r="E69" i="5"/>
  <c r="E64" i="5"/>
  <c r="E62" i="5"/>
  <c r="E61" i="5"/>
  <c r="E60" i="5"/>
  <c r="E59" i="5"/>
  <c r="E58" i="5"/>
  <c r="E52" i="5"/>
  <c r="E47" i="5"/>
  <c r="E46" i="5"/>
  <c r="E65" i="5"/>
  <c r="E50" i="5"/>
  <c r="F46" i="4"/>
  <c r="G46" i="4"/>
  <c r="I46" i="4"/>
  <c r="J46" i="4"/>
  <c r="K46" i="4"/>
  <c r="L46" i="4"/>
  <c r="M46" i="4"/>
  <c r="N46" i="4"/>
  <c r="O46" i="4"/>
  <c r="P46" i="4"/>
  <c r="F47" i="4"/>
  <c r="G47" i="4"/>
  <c r="H47" i="4"/>
  <c r="I47" i="4"/>
  <c r="J47" i="4"/>
  <c r="K47" i="4"/>
  <c r="L47" i="4"/>
  <c r="M47" i="4"/>
  <c r="N47" i="4"/>
  <c r="O47" i="4"/>
  <c r="P47" i="4"/>
  <c r="F49" i="4"/>
  <c r="G49" i="4"/>
  <c r="H49" i="4"/>
  <c r="I49" i="4"/>
  <c r="J49" i="4"/>
  <c r="K49" i="4"/>
  <c r="L49" i="4"/>
  <c r="M49" i="4"/>
  <c r="N49" i="4"/>
  <c r="O49" i="4"/>
  <c r="P49" i="4"/>
  <c r="F50" i="4"/>
  <c r="G50" i="4"/>
  <c r="H50" i="4"/>
  <c r="I50" i="4"/>
  <c r="J50" i="4"/>
  <c r="K50" i="4"/>
  <c r="L50" i="4"/>
  <c r="M50" i="4"/>
  <c r="N50" i="4"/>
  <c r="O50" i="4"/>
  <c r="P50" i="4"/>
  <c r="F52" i="4"/>
  <c r="G52" i="4"/>
  <c r="H52" i="4"/>
  <c r="I52" i="4"/>
  <c r="J52" i="4"/>
  <c r="K52" i="4"/>
  <c r="L52" i="4"/>
  <c r="M52" i="4"/>
  <c r="N52" i="4"/>
  <c r="O52" i="4"/>
  <c r="P52" i="4"/>
  <c r="F53" i="4"/>
  <c r="G53" i="4"/>
  <c r="H53" i="4"/>
  <c r="I53" i="4"/>
  <c r="J53" i="4"/>
  <c r="K53" i="4"/>
  <c r="L53" i="4"/>
  <c r="M53" i="4"/>
  <c r="N53" i="4"/>
  <c r="O53" i="4"/>
  <c r="P53" i="4"/>
  <c r="F54" i="4"/>
  <c r="G54" i="4"/>
  <c r="H54" i="4"/>
  <c r="I54" i="4"/>
  <c r="J54" i="4"/>
  <c r="K54" i="4"/>
  <c r="L54" i="4"/>
  <c r="M54" i="4"/>
  <c r="N54" i="4"/>
  <c r="O54" i="4"/>
  <c r="P54" i="4"/>
  <c r="F57" i="4"/>
  <c r="G57" i="4"/>
  <c r="H57" i="4"/>
  <c r="I57" i="4"/>
  <c r="J57" i="4"/>
  <c r="K57" i="4"/>
  <c r="L57" i="4"/>
  <c r="M57" i="4"/>
  <c r="N57" i="4"/>
  <c r="O57" i="4"/>
  <c r="P57" i="4"/>
  <c r="F58" i="4"/>
  <c r="G58" i="4"/>
  <c r="H58" i="4"/>
  <c r="I58" i="4"/>
  <c r="J58" i="4"/>
  <c r="K58" i="4"/>
  <c r="L58" i="4"/>
  <c r="M58" i="4"/>
  <c r="N58" i="4"/>
  <c r="O58" i="4"/>
  <c r="P58" i="4"/>
  <c r="F59" i="4"/>
  <c r="G59" i="4"/>
  <c r="H59" i="4"/>
  <c r="I59" i="4"/>
  <c r="J59" i="4"/>
  <c r="K59" i="4"/>
  <c r="L59" i="4"/>
  <c r="M59" i="4"/>
  <c r="N59" i="4"/>
  <c r="O59" i="4"/>
  <c r="P59" i="4"/>
  <c r="F60" i="4"/>
  <c r="G60" i="4"/>
  <c r="H60" i="4"/>
  <c r="I60" i="4"/>
  <c r="J60" i="4"/>
  <c r="K60" i="4"/>
  <c r="L60" i="4"/>
  <c r="M60" i="4"/>
  <c r="N60" i="4"/>
  <c r="O60" i="4"/>
  <c r="P60" i="4"/>
  <c r="F61" i="4"/>
  <c r="G61" i="4"/>
  <c r="H61" i="4"/>
  <c r="I61" i="4"/>
  <c r="J61" i="4"/>
  <c r="K61" i="4"/>
  <c r="L61" i="4"/>
  <c r="M61" i="4"/>
  <c r="N61" i="4"/>
  <c r="O61" i="4"/>
  <c r="P61" i="4"/>
  <c r="F62" i="4"/>
  <c r="G62" i="4"/>
  <c r="H62" i="4"/>
  <c r="I62" i="4"/>
  <c r="J62" i="4"/>
  <c r="K62" i="4"/>
  <c r="L62" i="4"/>
  <c r="M62" i="4"/>
  <c r="N62" i="4"/>
  <c r="O62" i="4"/>
  <c r="P62" i="4"/>
  <c r="F63" i="4"/>
  <c r="G63" i="4"/>
  <c r="H63" i="4"/>
  <c r="I63" i="4"/>
  <c r="J63" i="4"/>
  <c r="K63" i="4"/>
  <c r="L63" i="4"/>
  <c r="M63" i="4"/>
  <c r="N63" i="4"/>
  <c r="O63" i="4"/>
  <c r="P63" i="4"/>
  <c r="G64" i="4"/>
  <c r="H64" i="4"/>
  <c r="I64" i="4"/>
  <c r="J64" i="4"/>
  <c r="K64" i="4"/>
  <c r="L64" i="4"/>
  <c r="M64" i="4"/>
  <c r="N64" i="4"/>
  <c r="O64" i="4"/>
  <c r="P64" i="4"/>
  <c r="F65" i="4"/>
  <c r="G65" i="4"/>
  <c r="H65" i="4"/>
  <c r="I65" i="4"/>
  <c r="J65" i="4"/>
  <c r="K65" i="4"/>
  <c r="L65" i="4"/>
  <c r="M65" i="4"/>
  <c r="N65" i="4"/>
  <c r="O65" i="4"/>
  <c r="P65" i="4"/>
  <c r="F66" i="4"/>
  <c r="G66" i="4"/>
  <c r="H66" i="4"/>
  <c r="I66" i="4"/>
  <c r="J66" i="4"/>
  <c r="K66" i="4"/>
  <c r="L66" i="4"/>
  <c r="M66" i="4"/>
  <c r="N66" i="4"/>
  <c r="O66" i="4"/>
  <c r="P66" i="4"/>
  <c r="F67" i="4"/>
  <c r="G67" i="4"/>
  <c r="H67" i="4"/>
  <c r="I67" i="4"/>
  <c r="J67" i="4"/>
  <c r="K67" i="4"/>
  <c r="L67" i="4"/>
  <c r="M67" i="4"/>
  <c r="N67" i="4"/>
  <c r="O67" i="4"/>
  <c r="P67" i="4"/>
  <c r="F68" i="4"/>
  <c r="G68" i="4"/>
  <c r="H68" i="4"/>
  <c r="I68" i="4"/>
  <c r="J68" i="4"/>
  <c r="K68" i="4"/>
  <c r="L68" i="4"/>
  <c r="M68" i="4"/>
  <c r="N68" i="4"/>
  <c r="O68" i="4"/>
  <c r="P68" i="4"/>
  <c r="F69" i="4"/>
  <c r="G69" i="4"/>
  <c r="H69" i="4"/>
  <c r="I69" i="4"/>
  <c r="J69" i="4"/>
  <c r="K69" i="4"/>
  <c r="L69" i="4"/>
  <c r="M69" i="4"/>
  <c r="N69" i="4"/>
  <c r="O69" i="4"/>
  <c r="P69" i="4"/>
  <c r="E68" i="4"/>
  <c r="E64" i="4"/>
  <c r="E62" i="4"/>
  <c r="E59" i="4"/>
  <c r="E58" i="4"/>
  <c r="E57" i="4"/>
  <c r="E54" i="4"/>
  <c r="E65" i="4"/>
  <c r="E50" i="4"/>
  <c r="E47" i="4"/>
  <c r="E43" i="8" l="1"/>
  <c r="E44" i="7"/>
  <c r="AA26" i="3" l="1"/>
  <c r="AA25" i="3"/>
  <c r="Z22" i="1" l="1"/>
  <c r="Z21" i="1"/>
  <c r="E49" i="5" l="1"/>
  <c r="E49" i="6"/>
  <c r="E47" i="7"/>
  <c r="E63" i="5"/>
  <c r="E58" i="8"/>
  <c r="E62" i="7"/>
  <c r="E63" i="4"/>
  <c r="E66" i="4"/>
  <c r="E66" i="5"/>
  <c r="E53" i="6"/>
  <c r="E53" i="5"/>
  <c r="E67" i="4"/>
  <c r="AL8" i="1"/>
  <c r="AL9" i="1"/>
  <c r="Q10" i="1"/>
  <c r="Q11" i="1"/>
  <c r="Q13" i="1"/>
  <c r="Q14" i="1"/>
  <c r="AL14" i="1" s="1"/>
  <c r="Q15" i="1"/>
  <c r="AL15" i="1" s="1"/>
  <c r="Q16" i="1"/>
  <c r="Q17" i="1"/>
  <c r="Q18" i="1"/>
  <c r="AL18" i="1" s="1"/>
  <c r="Q19" i="1"/>
  <c r="AL19" i="1" s="1"/>
  <c r="Q20" i="1"/>
  <c r="AL20" i="1" s="1"/>
  <c r="Q21" i="1"/>
  <c r="AL21" i="1" s="1"/>
  <c r="Q22" i="1"/>
  <c r="Q23" i="1"/>
  <c r="Q24" i="1"/>
  <c r="Q68" i="7" s="1"/>
  <c r="F61" i="3"/>
  <c r="G61" i="3"/>
  <c r="H61" i="3"/>
  <c r="I61" i="3"/>
  <c r="J61" i="3"/>
  <c r="K61" i="3"/>
  <c r="L61" i="3"/>
  <c r="M61" i="3"/>
  <c r="N61" i="3"/>
  <c r="O61" i="3"/>
  <c r="P61" i="3"/>
  <c r="F62" i="3"/>
  <c r="G62" i="3"/>
  <c r="H62" i="3"/>
  <c r="I62" i="3"/>
  <c r="J62" i="3"/>
  <c r="K62" i="3"/>
  <c r="L62" i="3"/>
  <c r="M62" i="3"/>
  <c r="N62" i="3"/>
  <c r="O62" i="3"/>
  <c r="P62" i="3"/>
  <c r="F63" i="3"/>
  <c r="G63" i="3"/>
  <c r="H63" i="3"/>
  <c r="I63" i="3"/>
  <c r="J63" i="3"/>
  <c r="K63" i="3"/>
  <c r="L63" i="3"/>
  <c r="M63" i="3"/>
  <c r="N63" i="3"/>
  <c r="O63" i="3"/>
  <c r="P63" i="3"/>
  <c r="F64" i="3"/>
  <c r="G64" i="3"/>
  <c r="H64" i="3"/>
  <c r="I64" i="3"/>
  <c r="J64" i="3"/>
  <c r="K64" i="3"/>
  <c r="L64" i="3"/>
  <c r="M64" i="3"/>
  <c r="N64" i="3"/>
  <c r="O64" i="3"/>
  <c r="P64" i="3"/>
  <c r="F65" i="3"/>
  <c r="G65" i="3"/>
  <c r="H65" i="3"/>
  <c r="I65" i="3"/>
  <c r="J65" i="3"/>
  <c r="K65" i="3"/>
  <c r="L65" i="3"/>
  <c r="M65" i="3"/>
  <c r="N65" i="3"/>
  <c r="O65" i="3"/>
  <c r="P65" i="3"/>
  <c r="F59" i="3"/>
  <c r="G59" i="3"/>
  <c r="H59" i="3"/>
  <c r="I59" i="3"/>
  <c r="J59" i="3"/>
  <c r="K59" i="3"/>
  <c r="L59" i="3"/>
  <c r="M59" i="3"/>
  <c r="N59" i="3"/>
  <c r="O59" i="3"/>
  <c r="P59" i="3"/>
  <c r="F58" i="3"/>
  <c r="G58" i="3"/>
  <c r="H58" i="3"/>
  <c r="I58" i="3"/>
  <c r="J58" i="3"/>
  <c r="K58" i="3"/>
  <c r="L58" i="3"/>
  <c r="M58" i="3"/>
  <c r="N58" i="3"/>
  <c r="P58" i="3"/>
  <c r="F57" i="3"/>
  <c r="G57" i="3"/>
  <c r="H57" i="3"/>
  <c r="I57" i="3"/>
  <c r="J57" i="3"/>
  <c r="K57" i="3"/>
  <c r="L57" i="3"/>
  <c r="M57" i="3"/>
  <c r="N57" i="3"/>
  <c r="O57" i="3"/>
  <c r="P57" i="3"/>
  <c r="F56" i="3"/>
  <c r="G56" i="3"/>
  <c r="H56" i="3"/>
  <c r="I56" i="3"/>
  <c r="J56" i="3"/>
  <c r="K56" i="3"/>
  <c r="L56" i="3"/>
  <c r="M56" i="3"/>
  <c r="N56" i="3"/>
  <c r="O56" i="3"/>
  <c r="P56" i="3"/>
  <c r="E55" i="3"/>
  <c r="F52" i="3"/>
  <c r="G52" i="3"/>
  <c r="H52" i="3"/>
  <c r="I52" i="3"/>
  <c r="J52" i="3"/>
  <c r="K52" i="3"/>
  <c r="L52" i="3"/>
  <c r="M52" i="3"/>
  <c r="N52" i="3"/>
  <c r="O52" i="3"/>
  <c r="P52" i="3"/>
  <c r="E52" i="3"/>
  <c r="F51" i="3"/>
  <c r="G51" i="3"/>
  <c r="H51" i="3"/>
  <c r="I51" i="3"/>
  <c r="J51" i="3"/>
  <c r="K51" i="3"/>
  <c r="L51" i="3"/>
  <c r="M51" i="3"/>
  <c r="N51" i="3"/>
  <c r="O51" i="3"/>
  <c r="P51" i="3"/>
  <c r="E51" i="3"/>
  <c r="G50" i="3"/>
  <c r="H50" i="3"/>
  <c r="I50" i="3"/>
  <c r="J50" i="3"/>
  <c r="K50" i="3"/>
  <c r="L50" i="3"/>
  <c r="M50" i="3"/>
  <c r="N50" i="3"/>
  <c r="O50" i="3"/>
  <c r="P50" i="3"/>
  <c r="E50" i="3"/>
  <c r="G49" i="3"/>
  <c r="H49" i="3"/>
  <c r="I49" i="3"/>
  <c r="J49" i="3"/>
  <c r="K49" i="3"/>
  <c r="L49" i="3"/>
  <c r="M49" i="3"/>
  <c r="N49" i="3"/>
  <c r="O49" i="3"/>
  <c r="P49" i="3"/>
  <c r="E49" i="3"/>
  <c r="F48" i="3"/>
  <c r="G48" i="3"/>
  <c r="H48" i="3"/>
  <c r="I48" i="3"/>
  <c r="J48" i="3"/>
  <c r="K48" i="3"/>
  <c r="L48" i="3"/>
  <c r="M48" i="3"/>
  <c r="N48" i="3"/>
  <c r="O48" i="3"/>
  <c r="P48" i="3"/>
  <c r="E48" i="3"/>
  <c r="F46" i="3"/>
  <c r="G46" i="3"/>
  <c r="H46" i="3"/>
  <c r="I46" i="3"/>
  <c r="J46" i="3"/>
  <c r="K46" i="3"/>
  <c r="L46" i="3"/>
  <c r="M46" i="3"/>
  <c r="N46" i="3"/>
  <c r="O46" i="3"/>
  <c r="P46" i="3"/>
  <c r="E46" i="3"/>
  <c r="F45" i="3"/>
  <c r="G45" i="3"/>
  <c r="H45" i="3"/>
  <c r="I45" i="3"/>
  <c r="J45" i="3"/>
  <c r="K45" i="3"/>
  <c r="L45" i="3"/>
  <c r="M45" i="3"/>
  <c r="N45" i="3"/>
  <c r="O45" i="3"/>
  <c r="P45" i="3"/>
  <c r="AL10" i="1" l="1"/>
  <c r="Q32" i="1"/>
  <c r="Q37" i="1"/>
  <c r="Q69" i="6"/>
  <c r="Q67" i="7"/>
  <c r="AL22" i="1"/>
  <c r="Q66" i="7"/>
  <c r="AL16" i="1"/>
  <c r="O45" i="13"/>
  <c r="AL7" i="1"/>
  <c r="O41" i="13"/>
  <c r="AL6" i="1"/>
  <c r="O40" i="13"/>
  <c r="AL11" i="1"/>
  <c r="O42" i="13"/>
  <c r="AL3" i="1"/>
  <c r="O37" i="13"/>
  <c r="AL13" i="1"/>
  <c r="O44" i="13"/>
  <c r="AL4" i="1"/>
  <c r="O38" i="13"/>
  <c r="AL24" i="1"/>
  <c r="Q70" i="6"/>
  <c r="AL17" i="1"/>
  <c r="Q69" i="4"/>
  <c r="Q69" i="5"/>
  <c r="AL23" i="1"/>
  <c r="Q68" i="4"/>
  <c r="Q68" i="5"/>
  <c r="J216" i="8"/>
  <c r="L215" i="8"/>
  <c r="L214" i="8"/>
  <c r="H214" i="8"/>
  <c r="G214" i="8"/>
  <c r="F214" i="8"/>
  <c r="K147" i="8"/>
  <c r="I147" i="8"/>
  <c r="H147" i="8"/>
  <c r="G147" i="8"/>
  <c r="F147" i="8"/>
  <c r="E147" i="8"/>
  <c r="O145" i="8"/>
  <c r="M145" i="8"/>
  <c r="L145" i="8"/>
  <c r="K145" i="8"/>
  <c r="I145" i="8"/>
  <c r="H145" i="8"/>
  <c r="G145" i="8"/>
  <c r="F145" i="8"/>
  <c r="E145" i="8"/>
  <c r="M144" i="8"/>
  <c r="H144" i="8"/>
  <c r="D84" i="8"/>
  <c r="C84" i="8"/>
  <c r="B84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W24" i="8"/>
  <c r="V24" i="8"/>
  <c r="U24" i="8"/>
  <c r="T24" i="8"/>
  <c r="S24" i="8"/>
  <c r="R24" i="8"/>
  <c r="Q24" i="8"/>
  <c r="W23" i="8"/>
  <c r="V23" i="8"/>
  <c r="U23" i="8"/>
  <c r="T23" i="8"/>
  <c r="S23" i="8"/>
  <c r="R23" i="8"/>
  <c r="Q23" i="8"/>
  <c r="W22" i="8"/>
  <c r="V22" i="8"/>
  <c r="U22" i="8"/>
  <c r="T22" i="8"/>
  <c r="S22" i="8"/>
  <c r="R22" i="8"/>
  <c r="Q22" i="8"/>
  <c r="S21" i="8"/>
  <c r="W21" i="8"/>
  <c r="S20" i="8"/>
  <c r="W19" i="8"/>
  <c r="V19" i="8"/>
  <c r="U19" i="8"/>
  <c r="T19" i="8"/>
  <c r="S19" i="8"/>
  <c r="R19" i="8"/>
  <c r="Q19" i="8"/>
  <c r="W18" i="8"/>
  <c r="V18" i="8"/>
  <c r="U18" i="8"/>
  <c r="T18" i="8"/>
  <c r="S18" i="8"/>
  <c r="R18" i="8"/>
  <c r="Q18" i="8"/>
  <c r="W17" i="8"/>
  <c r="V17" i="8"/>
  <c r="U17" i="8"/>
  <c r="T17" i="8"/>
  <c r="S17" i="8"/>
  <c r="R17" i="8"/>
  <c r="Q17" i="8"/>
  <c r="W16" i="8"/>
  <c r="V16" i="8"/>
  <c r="U16" i="8"/>
  <c r="T16" i="8"/>
  <c r="S16" i="8"/>
  <c r="R16" i="8"/>
  <c r="Q16" i="8"/>
  <c r="W15" i="8"/>
  <c r="V15" i="8"/>
  <c r="U15" i="8"/>
  <c r="T15" i="8"/>
  <c r="S15" i="8"/>
  <c r="R15" i="8"/>
  <c r="Q15" i="8"/>
  <c r="W14" i="8"/>
  <c r="V14" i="8"/>
  <c r="U14" i="8"/>
  <c r="T14" i="8"/>
  <c r="S14" i="8"/>
  <c r="R14" i="8"/>
  <c r="Q14" i="8"/>
  <c r="W13" i="8"/>
  <c r="V13" i="8"/>
  <c r="U13" i="8"/>
  <c r="T13" i="8"/>
  <c r="S13" i="8"/>
  <c r="R13" i="8"/>
  <c r="Q13" i="8"/>
  <c r="W11" i="8"/>
  <c r="V11" i="8"/>
  <c r="U11" i="8"/>
  <c r="T11" i="8"/>
  <c r="S11" i="8"/>
  <c r="R11" i="8"/>
  <c r="Q11" i="8"/>
  <c r="W10" i="8"/>
  <c r="V10" i="8"/>
  <c r="U10" i="8"/>
  <c r="T10" i="8"/>
  <c r="S10" i="8"/>
  <c r="R10" i="8"/>
  <c r="Q10" i="8"/>
  <c r="W9" i="8"/>
  <c r="V9" i="8"/>
  <c r="U9" i="8"/>
  <c r="T9" i="8"/>
  <c r="S9" i="8"/>
  <c r="R9" i="8"/>
  <c r="Q9" i="8"/>
  <c r="W8" i="8"/>
  <c r="V8" i="8"/>
  <c r="U8" i="8"/>
  <c r="T8" i="8"/>
  <c r="S8" i="8"/>
  <c r="R8" i="8"/>
  <c r="Q8" i="8"/>
  <c r="W7" i="8"/>
  <c r="V7" i="8"/>
  <c r="U7" i="8"/>
  <c r="T7" i="8"/>
  <c r="S7" i="8"/>
  <c r="R7" i="8"/>
  <c r="Q7" i="8"/>
  <c r="W6" i="8"/>
  <c r="V6" i="8"/>
  <c r="U6" i="8"/>
  <c r="T6" i="8"/>
  <c r="S6" i="8"/>
  <c r="R6" i="8"/>
  <c r="Q6" i="8"/>
  <c r="W4" i="8"/>
  <c r="R4" i="8"/>
  <c r="U3" i="8"/>
  <c r="T3" i="8"/>
  <c r="Q3" i="8"/>
  <c r="Q43" i="8" s="1"/>
  <c r="V3" i="8"/>
  <c r="E85" i="7"/>
  <c r="B87" i="7"/>
  <c r="C87" i="7"/>
  <c r="D87" i="7"/>
  <c r="J217" i="7"/>
  <c r="L216" i="7"/>
  <c r="L215" i="7"/>
  <c r="H215" i="7"/>
  <c r="G215" i="7"/>
  <c r="F215" i="7"/>
  <c r="K147" i="7"/>
  <c r="I147" i="7"/>
  <c r="H147" i="7"/>
  <c r="G147" i="7"/>
  <c r="F147" i="7"/>
  <c r="E147" i="7"/>
  <c r="P145" i="7"/>
  <c r="N145" i="7"/>
  <c r="K145" i="7"/>
  <c r="I145" i="7"/>
  <c r="H145" i="7"/>
  <c r="G145" i="7"/>
  <c r="F145" i="7"/>
  <c r="E145" i="7"/>
  <c r="N144" i="7"/>
  <c r="D85" i="7"/>
  <c r="C85" i="7"/>
  <c r="B85" i="7"/>
  <c r="R84" i="7"/>
  <c r="H144" i="7" s="1"/>
  <c r="Q84" i="7"/>
  <c r="P84" i="7"/>
  <c r="O84" i="7"/>
  <c r="N84" i="7"/>
  <c r="M84" i="7"/>
  <c r="L84" i="7"/>
  <c r="K84" i="7"/>
  <c r="J84" i="7"/>
  <c r="I84" i="7"/>
  <c r="H84" i="7"/>
  <c r="G84" i="7"/>
  <c r="F84" i="7"/>
  <c r="V24" i="7"/>
  <c r="U24" i="7"/>
  <c r="T24" i="7"/>
  <c r="Q24" i="7"/>
  <c r="Q65" i="7" s="1"/>
  <c r="W23" i="7"/>
  <c r="V23" i="7"/>
  <c r="U23" i="7"/>
  <c r="T23" i="7"/>
  <c r="S23" i="7"/>
  <c r="R23" i="7"/>
  <c r="Q64" i="7"/>
  <c r="W22" i="7"/>
  <c r="U22" i="7"/>
  <c r="T22" i="7"/>
  <c r="S22" i="7"/>
  <c r="R22" i="7"/>
  <c r="Q22" i="7"/>
  <c r="W21" i="7"/>
  <c r="U20" i="7"/>
  <c r="S20" i="7"/>
  <c r="W19" i="7"/>
  <c r="V19" i="7"/>
  <c r="U19" i="7"/>
  <c r="T19" i="7"/>
  <c r="S19" i="7"/>
  <c r="R19" i="7"/>
  <c r="Q19" i="7"/>
  <c r="Q60" i="7" s="1"/>
  <c r="W18" i="7"/>
  <c r="V18" i="7"/>
  <c r="U18" i="7"/>
  <c r="T18" i="7"/>
  <c r="S18" i="7"/>
  <c r="R18" i="7"/>
  <c r="Q18" i="7"/>
  <c r="U17" i="7"/>
  <c r="S17" i="7"/>
  <c r="R17" i="7"/>
  <c r="W16" i="7"/>
  <c r="V16" i="7"/>
  <c r="U16" i="7"/>
  <c r="T16" i="7"/>
  <c r="S16" i="7"/>
  <c r="R16" i="7"/>
  <c r="Q16" i="7"/>
  <c r="Q57" i="7" s="1"/>
  <c r="W15" i="7"/>
  <c r="V15" i="7"/>
  <c r="U15" i="7"/>
  <c r="T15" i="7"/>
  <c r="S15" i="7"/>
  <c r="R15" i="7"/>
  <c r="Q15" i="7"/>
  <c r="T14" i="7"/>
  <c r="S14" i="7"/>
  <c r="W13" i="7"/>
  <c r="V13" i="7"/>
  <c r="U13" i="7"/>
  <c r="T13" i="7"/>
  <c r="S13" i="7"/>
  <c r="R13" i="7"/>
  <c r="Q13" i="7"/>
  <c r="V11" i="7"/>
  <c r="T11" i="7"/>
  <c r="Q11" i="7"/>
  <c r="W10" i="7"/>
  <c r="V10" i="7"/>
  <c r="U10" i="7"/>
  <c r="T10" i="7"/>
  <c r="S10" i="7"/>
  <c r="R10" i="7"/>
  <c r="Q10" i="7"/>
  <c r="Q51" i="7" s="1"/>
  <c r="W9" i="7"/>
  <c r="V9" i="7"/>
  <c r="U9" i="7"/>
  <c r="T9" i="7"/>
  <c r="S9" i="7"/>
  <c r="R9" i="7"/>
  <c r="Q9" i="7"/>
  <c r="Q50" i="7" s="1"/>
  <c r="W8" i="7"/>
  <c r="V8" i="7"/>
  <c r="U8" i="7"/>
  <c r="T8" i="7"/>
  <c r="S8" i="7"/>
  <c r="R8" i="7"/>
  <c r="Q8" i="7"/>
  <c r="Q49" i="7" s="1"/>
  <c r="W7" i="7"/>
  <c r="V7" i="7"/>
  <c r="U7" i="7"/>
  <c r="T7" i="7"/>
  <c r="S7" i="7"/>
  <c r="R7" i="7"/>
  <c r="Q7" i="7"/>
  <c r="U6" i="7"/>
  <c r="S6" i="7"/>
  <c r="U4" i="7"/>
  <c r="S4" i="7"/>
  <c r="R4" i="7"/>
  <c r="V3" i="7"/>
  <c r="E89" i="6"/>
  <c r="K223" i="6"/>
  <c r="K222" i="6"/>
  <c r="K153" i="6"/>
  <c r="I153" i="6"/>
  <c r="H153" i="6"/>
  <c r="G153" i="6"/>
  <c r="F153" i="6"/>
  <c r="E153" i="6"/>
  <c r="F152" i="6"/>
  <c r="E152" i="6"/>
  <c r="H150" i="6"/>
  <c r="F150" i="6"/>
  <c r="E150" i="6"/>
  <c r="K149" i="6"/>
  <c r="I149" i="6"/>
  <c r="H149" i="6"/>
  <c r="G149" i="6"/>
  <c r="F149" i="6"/>
  <c r="E149" i="6"/>
  <c r="H148" i="6"/>
  <c r="H152" i="6" s="1"/>
  <c r="F148" i="6"/>
  <c r="E148" i="6"/>
  <c r="G147" i="6"/>
  <c r="G151" i="6" s="1"/>
  <c r="F147" i="6"/>
  <c r="F151" i="6" s="1"/>
  <c r="E147" i="6"/>
  <c r="F146" i="6"/>
  <c r="F222" i="6" s="1"/>
  <c r="E146" i="6"/>
  <c r="B89" i="6" s="1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AK26" i="6"/>
  <c r="AK25" i="6"/>
  <c r="AK24" i="6"/>
  <c r="AK23" i="6"/>
  <c r="AK22" i="6"/>
  <c r="AK21" i="6"/>
  <c r="U21" i="6"/>
  <c r="AK20" i="6"/>
  <c r="AK19" i="6"/>
  <c r="AK18" i="6"/>
  <c r="AK17" i="6"/>
  <c r="AK16" i="6"/>
  <c r="AK15" i="6"/>
  <c r="R15" i="6"/>
  <c r="U15" i="6"/>
  <c r="W15" i="6"/>
  <c r="S15" i="6"/>
  <c r="V15" i="6"/>
  <c r="AK14" i="6"/>
  <c r="AK12" i="6"/>
  <c r="AK11" i="6"/>
  <c r="AK9" i="6"/>
  <c r="AK8" i="6"/>
  <c r="AK7" i="6"/>
  <c r="AK6" i="6"/>
  <c r="AK5" i="6"/>
  <c r="AK4" i="6"/>
  <c r="AK3" i="6"/>
  <c r="E88" i="5"/>
  <c r="B90" i="5"/>
  <c r="B91" i="6" s="1"/>
  <c r="C90" i="5"/>
  <c r="C91" i="6" s="1"/>
  <c r="D90" i="5"/>
  <c r="D91" i="6" s="1"/>
  <c r="F87" i="6"/>
  <c r="F83" i="7" s="1"/>
  <c r="F82" i="8" s="1"/>
  <c r="G87" i="6"/>
  <c r="G83" i="7" s="1"/>
  <c r="G82" i="8" s="1"/>
  <c r="H87" i="6"/>
  <c r="H83" i="7" s="1"/>
  <c r="H82" i="8" s="1"/>
  <c r="I87" i="6"/>
  <c r="I83" i="7" s="1"/>
  <c r="I82" i="8" s="1"/>
  <c r="J87" i="6"/>
  <c r="J83" i="7" s="1"/>
  <c r="J82" i="8" s="1"/>
  <c r="K87" i="6"/>
  <c r="K83" i="7" s="1"/>
  <c r="K82" i="8" s="1"/>
  <c r="L87" i="6"/>
  <c r="L83" i="7" s="1"/>
  <c r="L82" i="8" s="1"/>
  <c r="M87" i="6"/>
  <c r="M83" i="7" s="1"/>
  <c r="M82" i="8" s="1"/>
  <c r="N87" i="6"/>
  <c r="N83" i="7" s="1"/>
  <c r="N82" i="8" s="1"/>
  <c r="O87" i="6"/>
  <c r="O83" i="7" s="1"/>
  <c r="O82" i="8" s="1"/>
  <c r="P87" i="6"/>
  <c r="P83" i="7" s="1"/>
  <c r="P82" i="8" s="1"/>
  <c r="Q87" i="6"/>
  <c r="Q83" i="7" s="1"/>
  <c r="Q82" i="8" s="1"/>
  <c r="R87" i="6"/>
  <c r="R83" i="7" s="1"/>
  <c r="R82" i="8" s="1"/>
  <c r="K213" i="5"/>
  <c r="H213" i="5"/>
  <c r="K212" i="5"/>
  <c r="K142" i="5"/>
  <c r="I142" i="5"/>
  <c r="H142" i="5"/>
  <c r="G142" i="5"/>
  <c r="F142" i="5"/>
  <c r="E142" i="5"/>
  <c r="G141" i="5"/>
  <c r="F141" i="5"/>
  <c r="E141" i="5"/>
  <c r="G139" i="5"/>
  <c r="F139" i="5"/>
  <c r="E139" i="5"/>
  <c r="K138" i="5"/>
  <c r="I138" i="5"/>
  <c r="H138" i="5"/>
  <c r="G138" i="5"/>
  <c r="F138" i="5"/>
  <c r="E138" i="5"/>
  <c r="H137" i="5"/>
  <c r="H141" i="5" s="1"/>
  <c r="G137" i="5"/>
  <c r="F137" i="5"/>
  <c r="E137" i="5"/>
  <c r="H135" i="5"/>
  <c r="H139" i="5" s="1"/>
  <c r="G135" i="5"/>
  <c r="G212" i="5" s="1"/>
  <c r="F135" i="5"/>
  <c r="F212" i="5" s="1"/>
  <c r="E135" i="5"/>
  <c r="E212" i="5" s="1"/>
  <c r="Q87" i="5"/>
  <c r="P87" i="5"/>
  <c r="O87" i="5"/>
  <c r="N87" i="5"/>
  <c r="M87" i="5"/>
  <c r="L87" i="5"/>
  <c r="K87" i="5"/>
  <c r="J87" i="5"/>
  <c r="I87" i="5"/>
  <c r="H87" i="5"/>
  <c r="G87" i="5"/>
  <c r="F87" i="5"/>
  <c r="AK26" i="5"/>
  <c r="P67" i="5"/>
  <c r="O67" i="5"/>
  <c r="N67" i="5"/>
  <c r="M67" i="5"/>
  <c r="K67" i="5"/>
  <c r="J67" i="5"/>
  <c r="I67" i="5"/>
  <c r="H67" i="5"/>
  <c r="G67" i="5"/>
  <c r="F67" i="5"/>
  <c r="E67" i="5"/>
  <c r="AK25" i="5"/>
  <c r="T25" i="5"/>
  <c r="S25" i="5"/>
  <c r="AK24" i="5"/>
  <c r="AK23" i="5"/>
  <c r="T23" i="5"/>
  <c r="S23" i="5"/>
  <c r="V23" i="5"/>
  <c r="AK22" i="5"/>
  <c r="R22" i="5"/>
  <c r="AK21" i="5"/>
  <c r="AK20" i="5"/>
  <c r="T20" i="5"/>
  <c r="AK19" i="5"/>
  <c r="U19" i="5"/>
  <c r="AK18" i="5"/>
  <c r="AK17" i="5"/>
  <c r="S16" i="5"/>
  <c r="U16" i="5"/>
  <c r="AK15" i="5"/>
  <c r="W15" i="5"/>
  <c r="U15" i="5"/>
  <c r="T15" i="5"/>
  <c r="S15" i="5"/>
  <c r="R15" i="5"/>
  <c r="V15" i="5"/>
  <c r="AK14" i="5"/>
  <c r="S14" i="5"/>
  <c r="AK12" i="5"/>
  <c r="W12" i="5"/>
  <c r="AK11" i="5"/>
  <c r="S11" i="5"/>
  <c r="AK9" i="5"/>
  <c r="AK8" i="5"/>
  <c r="S8" i="5"/>
  <c r="AK7" i="5"/>
  <c r="W7" i="5"/>
  <c r="AK6" i="5"/>
  <c r="S6" i="5"/>
  <c r="R4" i="5"/>
  <c r="AK3" i="5"/>
  <c r="E87" i="4"/>
  <c r="B89" i="4"/>
  <c r="C89" i="4"/>
  <c r="D89" i="4"/>
  <c r="B85" i="4"/>
  <c r="B87" i="6" s="1"/>
  <c r="B83" i="7" s="1"/>
  <c r="B82" i="8" s="1"/>
  <c r="C85" i="4"/>
  <c r="C87" i="6" s="1"/>
  <c r="C83" i="7" s="1"/>
  <c r="C82" i="8" s="1"/>
  <c r="D85" i="4"/>
  <c r="D87" i="6" s="1"/>
  <c r="D83" i="7" s="1"/>
  <c r="D82" i="8" s="1"/>
  <c r="E85" i="4"/>
  <c r="E87" i="6" s="1"/>
  <c r="E83" i="7" s="1"/>
  <c r="E82" i="8" s="1"/>
  <c r="Q55" i="8" l="1"/>
  <c r="Q48" i="7"/>
  <c r="Q56" i="7"/>
  <c r="Q59" i="7"/>
  <c r="Q63" i="7"/>
  <c r="Q52" i="7"/>
  <c r="L67" i="5"/>
  <c r="N145" i="8"/>
  <c r="P145" i="8" s="1"/>
  <c r="L216" i="8"/>
  <c r="J215" i="8" s="1"/>
  <c r="J214" i="8" s="1"/>
  <c r="R26" i="5"/>
  <c r="O145" i="7"/>
  <c r="Q145" i="7" s="1"/>
  <c r="W3" i="8"/>
  <c r="T4" i="8"/>
  <c r="T20" i="8"/>
  <c r="Q21" i="8"/>
  <c r="Q59" i="8" s="1"/>
  <c r="U4" i="8"/>
  <c r="U20" i="8"/>
  <c r="R21" i="8"/>
  <c r="R3" i="8"/>
  <c r="W20" i="8"/>
  <c r="T21" i="8"/>
  <c r="V4" i="8"/>
  <c r="V20" i="8"/>
  <c r="S3" i="8"/>
  <c r="U21" i="8"/>
  <c r="Q4" i="8"/>
  <c r="Q44" i="8" s="1"/>
  <c r="Q20" i="8"/>
  <c r="Q38" i="8" s="1"/>
  <c r="V21" i="8"/>
  <c r="R20" i="8"/>
  <c r="S4" i="8"/>
  <c r="J216" i="7"/>
  <c r="J215" i="7" s="1"/>
  <c r="R3" i="7"/>
  <c r="U3" i="7"/>
  <c r="Q4" i="7"/>
  <c r="R11" i="7"/>
  <c r="U11" i="7"/>
  <c r="V21" i="7"/>
  <c r="U21" i="7"/>
  <c r="W4" i="7"/>
  <c r="T4" i="7"/>
  <c r="S21" i="7"/>
  <c r="T6" i="7"/>
  <c r="R6" i="7"/>
  <c r="Q6" i="7"/>
  <c r="V6" i="7"/>
  <c r="W17" i="7"/>
  <c r="T17" i="7"/>
  <c r="W3" i="7"/>
  <c r="W11" i="7"/>
  <c r="U14" i="7"/>
  <c r="T20" i="7"/>
  <c r="Q21" i="7"/>
  <c r="W6" i="7"/>
  <c r="V14" i="7"/>
  <c r="R21" i="7"/>
  <c r="Q3" i="7"/>
  <c r="V4" i="7"/>
  <c r="W14" i="7"/>
  <c r="V17" i="7"/>
  <c r="V20" i="7"/>
  <c r="W20" i="7"/>
  <c r="T21" i="7"/>
  <c r="S3" i="7"/>
  <c r="S11" i="7"/>
  <c r="Q14" i="7"/>
  <c r="R14" i="7"/>
  <c r="Q17" i="7"/>
  <c r="Q58" i="7" s="1"/>
  <c r="Q20" i="7"/>
  <c r="R20" i="7"/>
  <c r="U19" i="6"/>
  <c r="R21" i="6"/>
  <c r="R19" i="6"/>
  <c r="AK38" i="6"/>
  <c r="H147" i="6"/>
  <c r="H151" i="6" s="1"/>
  <c r="I223" i="6"/>
  <c r="I222" i="6" s="1"/>
  <c r="S11" i="6"/>
  <c r="R25" i="6"/>
  <c r="R7" i="6"/>
  <c r="S6" i="6"/>
  <c r="V4" i="6"/>
  <c r="R9" i="6"/>
  <c r="E151" i="6"/>
  <c r="R17" i="6"/>
  <c r="V25" i="6"/>
  <c r="R3" i="6"/>
  <c r="R23" i="6"/>
  <c r="R12" i="6"/>
  <c r="S16" i="6"/>
  <c r="C89" i="6"/>
  <c r="U6" i="6"/>
  <c r="V8" i="6"/>
  <c r="V14" i="6"/>
  <c r="V18" i="6"/>
  <c r="V22" i="6"/>
  <c r="U11" i="6"/>
  <c r="U16" i="6"/>
  <c r="U20" i="6"/>
  <c r="S3" i="6"/>
  <c r="V6" i="6"/>
  <c r="V11" i="6"/>
  <c r="V16" i="6"/>
  <c r="V20" i="6"/>
  <c r="R22" i="6"/>
  <c r="U8" i="6"/>
  <c r="U14" i="6"/>
  <c r="U18" i="6"/>
  <c r="U22" i="6"/>
  <c r="Q21" i="6"/>
  <c r="U4" i="6"/>
  <c r="T4" i="6"/>
  <c r="T6" i="6"/>
  <c r="T8" i="6"/>
  <c r="T11" i="6"/>
  <c r="T14" i="6"/>
  <c r="T16" i="6"/>
  <c r="T18" i="6"/>
  <c r="T20" i="6"/>
  <c r="T22" i="6"/>
  <c r="T24" i="6"/>
  <c r="T26" i="6"/>
  <c r="V26" i="6"/>
  <c r="Q3" i="6"/>
  <c r="Q7" i="6"/>
  <c r="Q9" i="6"/>
  <c r="Q12" i="6"/>
  <c r="Q17" i="6"/>
  <c r="Q19" i="6"/>
  <c r="Q23" i="6"/>
  <c r="U24" i="6"/>
  <c r="Q25" i="6"/>
  <c r="U26" i="6"/>
  <c r="W4" i="6"/>
  <c r="W6" i="6"/>
  <c r="S7" i="6"/>
  <c r="W8" i="6"/>
  <c r="S9" i="6"/>
  <c r="W11" i="6"/>
  <c r="S12" i="6"/>
  <c r="W14" i="6"/>
  <c r="W16" i="6"/>
  <c r="S17" i="6"/>
  <c r="W18" i="6"/>
  <c r="S19" i="6"/>
  <c r="W20" i="6"/>
  <c r="S21" i="6"/>
  <c r="W22" i="6"/>
  <c r="S23" i="6"/>
  <c r="W24" i="6"/>
  <c r="S25" i="6"/>
  <c r="W26" i="6"/>
  <c r="T3" i="6"/>
  <c r="T7" i="6"/>
  <c r="T9" i="6"/>
  <c r="T12" i="6"/>
  <c r="T15" i="6"/>
  <c r="T17" i="6"/>
  <c r="T19" i="6"/>
  <c r="T21" i="6"/>
  <c r="T23" i="6"/>
  <c r="T25" i="6"/>
  <c r="AK36" i="6"/>
  <c r="AK37" i="6"/>
  <c r="U3" i="6"/>
  <c r="Q4" i="6"/>
  <c r="Q6" i="6"/>
  <c r="U7" i="6"/>
  <c r="Q8" i="6"/>
  <c r="U9" i="6"/>
  <c r="Q11" i="6"/>
  <c r="U12" i="6"/>
  <c r="Q14" i="6"/>
  <c r="Q16" i="6"/>
  <c r="Q58" i="6" s="1"/>
  <c r="U17" i="6"/>
  <c r="Q18" i="6"/>
  <c r="Q20" i="6"/>
  <c r="Q22" i="6"/>
  <c r="U23" i="6"/>
  <c r="Q24" i="6"/>
  <c r="U25" i="6"/>
  <c r="Q26" i="6"/>
  <c r="V24" i="6"/>
  <c r="V3" i="6"/>
  <c r="R4" i="6"/>
  <c r="R6" i="6"/>
  <c r="V7" i="6"/>
  <c r="R8" i="6"/>
  <c r="V9" i="6"/>
  <c r="R11" i="6"/>
  <c r="V12" i="6"/>
  <c r="R14" i="6"/>
  <c r="R16" i="6"/>
  <c r="V17" i="6"/>
  <c r="R18" i="6"/>
  <c r="V19" i="6"/>
  <c r="R20" i="6"/>
  <c r="V21" i="6"/>
  <c r="V23" i="6"/>
  <c r="R24" i="6"/>
  <c r="R26" i="6"/>
  <c r="E222" i="6"/>
  <c r="W3" i="6"/>
  <c r="S4" i="6"/>
  <c r="W7" i="6"/>
  <c r="S8" i="6"/>
  <c r="W9" i="6"/>
  <c r="W12" i="6"/>
  <c r="S14" i="6"/>
  <c r="W17" i="6"/>
  <c r="S18" i="6"/>
  <c r="W19" i="6"/>
  <c r="S20" i="6"/>
  <c r="W21" i="6"/>
  <c r="S22" i="6"/>
  <c r="W23" i="6"/>
  <c r="S24" i="6"/>
  <c r="W25" i="6"/>
  <c r="S26" i="6"/>
  <c r="I213" i="5"/>
  <c r="I212" i="5" s="1"/>
  <c r="F140" i="5"/>
  <c r="T26" i="5"/>
  <c r="D88" i="5"/>
  <c r="G140" i="5"/>
  <c r="AK16" i="5"/>
  <c r="AK38" i="5" s="1"/>
  <c r="E140" i="5"/>
  <c r="H140" i="5"/>
  <c r="W16" i="5"/>
  <c r="U25" i="5"/>
  <c r="AK4" i="5"/>
  <c r="AK5" i="5" s="1"/>
  <c r="T6" i="5"/>
  <c r="T8" i="5"/>
  <c r="T11" i="5"/>
  <c r="T16" i="5"/>
  <c r="Q3" i="5"/>
  <c r="S4" i="5"/>
  <c r="U6" i="5"/>
  <c r="Q7" i="5"/>
  <c r="U8" i="5"/>
  <c r="Q9" i="5"/>
  <c r="U11" i="5"/>
  <c r="Q12" i="5"/>
  <c r="Q54" i="5" s="1"/>
  <c r="U14" i="5"/>
  <c r="Q15" i="5"/>
  <c r="Q17" i="5"/>
  <c r="Q18" i="5"/>
  <c r="Q23" i="5"/>
  <c r="S24" i="5"/>
  <c r="R21" i="5"/>
  <c r="V21" i="5"/>
  <c r="T4" i="5"/>
  <c r="V6" i="5"/>
  <c r="R7" i="5"/>
  <c r="V8" i="5"/>
  <c r="R9" i="5"/>
  <c r="V11" i="5"/>
  <c r="R12" i="5"/>
  <c r="V14" i="5"/>
  <c r="V16" i="5"/>
  <c r="S17" i="5"/>
  <c r="T18" i="5"/>
  <c r="Q19" i="5"/>
  <c r="S20" i="5"/>
  <c r="Q20" i="5"/>
  <c r="R23" i="5"/>
  <c r="R24" i="5"/>
  <c r="V25" i="5"/>
  <c r="W26" i="5"/>
  <c r="Q22" i="5"/>
  <c r="R3" i="5"/>
  <c r="S3" i="5"/>
  <c r="U4" i="5"/>
  <c r="W5" i="5"/>
  <c r="W6" i="5"/>
  <c r="S7" i="5"/>
  <c r="W8" i="5"/>
  <c r="S9" i="5"/>
  <c r="W11" i="5"/>
  <c r="S12" i="5"/>
  <c r="W14" i="5"/>
  <c r="T17" i="5"/>
  <c r="W17" i="5"/>
  <c r="U17" i="5"/>
  <c r="U18" i="5"/>
  <c r="S19" i="5"/>
  <c r="Q21" i="5"/>
  <c r="U22" i="5"/>
  <c r="U24" i="5"/>
  <c r="Q4" i="5"/>
  <c r="W9" i="5"/>
  <c r="S26" i="5"/>
  <c r="V4" i="5"/>
  <c r="T7" i="5"/>
  <c r="T9" i="5"/>
  <c r="T12" i="5"/>
  <c r="W18" i="5"/>
  <c r="T19" i="5"/>
  <c r="W19" i="5"/>
  <c r="U20" i="5"/>
  <c r="S21" i="5"/>
  <c r="V22" i="5"/>
  <c r="W24" i="5"/>
  <c r="V24" i="5"/>
  <c r="Q67" i="5"/>
  <c r="T14" i="5"/>
  <c r="T3" i="5"/>
  <c r="U3" i="5"/>
  <c r="W4" i="5"/>
  <c r="Q6" i="5"/>
  <c r="U7" i="5"/>
  <c r="Q8" i="5"/>
  <c r="U9" i="5"/>
  <c r="Q11" i="5"/>
  <c r="U12" i="5"/>
  <c r="Q14" i="5"/>
  <c r="Q16" i="5"/>
  <c r="R17" i="5"/>
  <c r="V17" i="5"/>
  <c r="V18" i="5"/>
  <c r="R18" i="5"/>
  <c r="W20" i="5"/>
  <c r="T21" i="5"/>
  <c r="W21" i="5"/>
  <c r="U21" i="5"/>
  <c r="W22" i="5"/>
  <c r="W3" i="5"/>
  <c r="V3" i="5"/>
  <c r="R6" i="5"/>
  <c r="V7" i="5"/>
  <c r="R8" i="5"/>
  <c r="V9" i="5"/>
  <c r="R11" i="5"/>
  <c r="V12" i="5"/>
  <c r="R14" i="5"/>
  <c r="R16" i="5"/>
  <c r="R19" i="5"/>
  <c r="V19" i="5"/>
  <c r="V20" i="5"/>
  <c r="R20" i="5"/>
  <c r="Q24" i="5"/>
  <c r="R25" i="5"/>
  <c r="H136" i="5"/>
  <c r="S22" i="5"/>
  <c r="W23" i="5"/>
  <c r="Q25" i="5"/>
  <c r="U26" i="5"/>
  <c r="S18" i="5"/>
  <c r="T22" i="5"/>
  <c r="T24" i="5"/>
  <c r="V26" i="5"/>
  <c r="E136" i="5"/>
  <c r="B88" i="5"/>
  <c r="F136" i="5"/>
  <c r="C88" i="5"/>
  <c r="W25" i="5"/>
  <c r="G136" i="5"/>
  <c r="J143" i="5"/>
  <c r="L237" i="4"/>
  <c r="K166" i="4"/>
  <c r="I166" i="4"/>
  <c r="G166" i="4"/>
  <c r="F166" i="4"/>
  <c r="E166" i="4"/>
  <c r="G165" i="4"/>
  <c r="F165" i="4"/>
  <c r="E165" i="4"/>
  <c r="H163" i="4"/>
  <c r="G163" i="4"/>
  <c r="F163" i="4"/>
  <c r="E163" i="4"/>
  <c r="K162" i="4"/>
  <c r="I162" i="4"/>
  <c r="H162" i="4"/>
  <c r="H161" i="4"/>
  <c r="H165" i="4" s="1"/>
  <c r="G161" i="4"/>
  <c r="F161" i="4"/>
  <c r="E161" i="4"/>
  <c r="G159" i="4"/>
  <c r="G237" i="4" s="1"/>
  <c r="D87" i="4" s="1"/>
  <c r="F159" i="4"/>
  <c r="F237" i="4" s="1"/>
  <c r="C87" i="4" s="1"/>
  <c r="E159" i="4"/>
  <c r="E237" i="4" s="1"/>
  <c r="B87" i="4" s="1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AN26" i="4"/>
  <c r="AN25" i="4"/>
  <c r="U25" i="4"/>
  <c r="T25" i="4"/>
  <c r="S25" i="4"/>
  <c r="AN24" i="4"/>
  <c r="V24" i="4"/>
  <c r="AN23" i="4"/>
  <c r="U23" i="4"/>
  <c r="AN22" i="4"/>
  <c r="U22" i="4"/>
  <c r="S22" i="4"/>
  <c r="AN21" i="4"/>
  <c r="T21" i="4"/>
  <c r="S21" i="4"/>
  <c r="Q21" i="4"/>
  <c r="AN20" i="4"/>
  <c r="U20" i="4"/>
  <c r="Q20" i="4"/>
  <c r="AN19" i="4"/>
  <c r="Z19" i="4"/>
  <c r="AN18" i="4"/>
  <c r="U18" i="4"/>
  <c r="Z18" i="4"/>
  <c r="AN17" i="4"/>
  <c r="U17" i="4"/>
  <c r="Q17" i="4"/>
  <c r="AN16" i="4"/>
  <c r="U16" i="4"/>
  <c r="S16" i="4"/>
  <c r="Q16" i="4"/>
  <c r="AN15" i="4"/>
  <c r="AN14" i="4"/>
  <c r="U14" i="4"/>
  <c r="T14" i="4"/>
  <c r="S14" i="4"/>
  <c r="AN12" i="4"/>
  <c r="Q12" i="4"/>
  <c r="AN11" i="4"/>
  <c r="V11" i="4"/>
  <c r="U11" i="4"/>
  <c r="AN9" i="4"/>
  <c r="AN8" i="4"/>
  <c r="AN7" i="4"/>
  <c r="S7" i="4"/>
  <c r="U7" i="4"/>
  <c r="AN6" i="4"/>
  <c r="AN4" i="4"/>
  <c r="AN3" i="4"/>
  <c r="U3" i="4"/>
  <c r="F87" i="3"/>
  <c r="E86" i="8" s="1"/>
  <c r="F86" i="3"/>
  <c r="Q39" i="7" l="1"/>
  <c r="Q41" i="5"/>
  <c r="Q40" i="6"/>
  <c r="Q37" i="6"/>
  <c r="Q36" i="6"/>
  <c r="Q41" i="6"/>
  <c r="Q82" i="6" s="1"/>
  <c r="Q29" i="11" s="1"/>
  <c r="S29" i="11" s="1"/>
  <c r="V37" i="6"/>
  <c r="V36" i="6"/>
  <c r="Q40" i="5"/>
  <c r="Q37" i="5"/>
  <c r="Q36" i="5"/>
  <c r="W37" i="5"/>
  <c r="Q58" i="8"/>
  <c r="Q78" i="8"/>
  <c r="Q33" i="11" s="1"/>
  <c r="S33" i="11" s="1"/>
  <c r="Q61" i="7"/>
  <c r="Q80" i="7"/>
  <c r="Q32" i="11" s="1"/>
  <c r="S32" i="11" s="1"/>
  <c r="Q62" i="7"/>
  <c r="Q47" i="7"/>
  <c r="Q45" i="7"/>
  <c r="Q44" i="7"/>
  <c r="Q57" i="6"/>
  <c r="Q60" i="5"/>
  <c r="Q59" i="5"/>
  <c r="Q50" i="5"/>
  <c r="Q68" i="6"/>
  <c r="Q47" i="6"/>
  <c r="Q54" i="6"/>
  <c r="Q63" i="5"/>
  <c r="Q58" i="5"/>
  <c r="Q56" i="6"/>
  <c r="Q52" i="6"/>
  <c r="Q58" i="4"/>
  <c r="Q61" i="4"/>
  <c r="Q65" i="5"/>
  <c r="Q57" i="5"/>
  <c r="Q66" i="6"/>
  <c r="Q67" i="6"/>
  <c r="Q50" i="6"/>
  <c r="Q64" i="5"/>
  <c r="Q56" i="5"/>
  <c r="Q46" i="5"/>
  <c r="Q53" i="6"/>
  <c r="Q46" i="6"/>
  <c r="Q64" i="6"/>
  <c r="Q65" i="6"/>
  <c r="Q51" i="5"/>
  <c r="Q66" i="5"/>
  <c r="Q53" i="5"/>
  <c r="Q47" i="5"/>
  <c r="Q62" i="6"/>
  <c r="Q51" i="6"/>
  <c r="Q61" i="6"/>
  <c r="Q54" i="4"/>
  <c r="Q57" i="4"/>
  <c r="Q61" i="5"/>
  <c r="Q52" i="5"/>
  <c r="Q60" i="6"/>
  <c r="Q59" i="6"/>
  <c r="Q82" i="5"/>
  <c r="Q31" i="11" s="1"/>
  <c r="S31" i="11" s="1"/>
  <c r="Q63" i="6"/>
  <c r="Q49" i="6"/>
  <c r="AK36" i="5"/>
  <c r="AK37" i="5"/>
  <c r="Q62" i="5"/>
  <c r="W36" i="5"/>
  <c r="Q49" i="5"/>
  <c r="Q62" i="4"/>
  <c r="E164" i="4"/>
  <c r="E89" i="4"/>
  <c r="E90" i="5"/>
  <c r="E91" i="6" s="1"/>
  <c r="E87" i="7"/>
  <c r="U5" i="8"/>
  <c r="S5" i="8"/>
  <c r="V5" i="8"/>
  <c r="V35" i="8" s="1"/>
  <c r="R5" i="8"/>
  <c r="W5" i="8"/>
  <c r="Q5" i="8"/>
  <c r="Q35" i="8" s="1"/>
  <c r="T5" i="8"/>
  <c r="R5" i="7"/>
  <c r="AB3" i="7" s="1"/>
  <c r="W5" i="7"/>
  <c r="Q5" i="7"/>
  <c r="T5" i="7"/>
  <c r="V5" i="7"/>
  <c r="S5" i="7"/>
  <c r="U5" i="7"/>
  <c r="AD43" i="6"/>
  <c r="U5" i="6"/>
  <c r="W5" i="6"/>
  <c r="T5" i="6"/>
  <c r="AG43" i="6"/>
  <c r="AC43" i="6"/>
  <c r="R5" i="6"/>
  <c r="S5" i="6"/>
  <c r="S5" i="5"/>
  <c r="S37" i="5" s="1"/>
  <c r="U5" i="5"/>
  <c r="U23" i="5"/>
  <c r="R5" i="5"/>
  <c r="R37" i="5" s="1"/>
  <c r="V5" i="5"/>
  <c r="V37" i="5" s="1"/>
  <c r="T5" i="5"/>
  <c r="T37" i="5" s="1"/>
  <c r="E160" i="4"/>
  <c r="G160" i="4"/>
  <c r="F164" i="4"/>
  <c r="H160" i="4"/>
  <c r="H164" i="4" s="1"/>
  <c r="J167" i="4"/>
  <c r="G164" i="4"/>
  <c r="F160" i="4"/>
  <c r="T7" i="4"/>
  <c r="V14" i="4"/>
  <c r="Q22" i="4"/>
  <c r="R23" i="4"/>
  <c r="R24" i="4"/>
  <c r="V3" i="4"/>
  <c r="R4" i="4"/>
  <c r="Q6" i="4"/>
  <c r="Q8" i="4"/>
  <c r="U9" i="4"/>
  <c r="Q11" i="4"/>
  <c r="S18" i="4"/>
  <c r="S19" i="4"/>
  <c r="T22" i="4"/>
  <c r="U24" i="4"/>
  <c r="V26" i="4"/>
  <c r="R26" i="4"/>
  <c r="T3" i="4"/>
  <c r="Z9" i="4"/>
  <c r="Q4" i="4"/>
  <c r="V12" i="4"/>
  <c r="Z3" i="4"/>
  <c r="S4" i="4"/>
  <c r="R6" i="4"/>
  <c r="V7" i="4"/>
  <c r="R8" i="4"/>
  <c r="Q14" i="4"/>
  <c r="S17" i="4"/>
  <c r="Q18" i="4"/>
  <c r="Q19" i="4"/>
  <c r="T20" i="4"/>
  <c r="U21" i="4"/>
  <c r="V23" i="4"/>
  <c r="T24" i="4"/>
  <c r="T4" i="4"/>
  <c r="S6" i="4"/>
  <c r="Z7" i="4"/>
  <c r="T8" i="4"/>
  <c r="S8" i="4"/>
  <c r="Z12" i="4"/>
  <c r="U12" i="4"/>
  <c r="T18" i="4"/>
  <c r="U19" i="4"/>
  <c r="Z20" i="4"/>
  <c r="S9" i="4"/>
  <c r="R22" i="4"/>
  <c r="V22" i="4"/>
  <c r="Q24" i="4"/>
  <c r="Z6" i="4"/>
  <c r="T11" i="4"/>
  <c r="Z11" i="4"/>
  <c r="Q9" i="4"/>
  <c r="T16" i="4"/>
  <c r="S26" i="4"/>
  <c r="Q3" i="4"/>
  <c r="U4" i="4"/>
  <c r="Z5" i="4"/>
  <c r="T6" i="4"/>
  <c r="U8" i="4"/>
  <c r="V4" i="4"/>
  <c r="U6" i="4"/>
  <c r="Q7" i="4"/>
  <c r="V8" i="4"/>
  <c r="R9" i="4"/>
  <c r="R11" i="4"/>
  <c r="Z17" i="4"/>
  <c r="R20" i="4"/>
  <c r="V20" i="4"/>
  <c r="V21" i="4"/>
  <c r="R21" i="4"/>
  <c r="Q25" i="4"/>
  <c r="Q26" i="4"/>
  <c r="S3" i="4"/>
  <c r="Z4" i="4"/>
  <c r="V6" i="4"/>
  <c r="R7" i="4"/>
  <c r="Z8" i="4"/>
  <c r="T9" i="4"/>
  <c r="V9" i="4"/>
  <c r="S11" i="4"/>
  <c r="S12" i="4"/>
  <c r="R14" i="4"/>
  <c r="Z16" i="4"/>
  <c r="R18" i="4"/>
  <c r="V18" i="4"/>
  <c r="V19" i="4"/>
  <c r="R19" i="4"/>
  <c r="U26" i="4"/>
  <c r="R16" i="4"/>
  <c r="V16" i="4"/>
  <c r="V17" i="4"/>
  <c r="R17" i="4"/>
  <c r="S23" i="4"/>
  <c r="Q23" i="4"/>
  <c r="Z14" i="4"/>
  <c r="Z24" i="4"/>
  <c r="V25" i="4"/>
  <c r="T12" i="4"/>
  <c r="Z22" i="4"/>
  <c r="T23" i="4"/>
  <c r="Z25" i="4"/>
  <c r="T17" i="4"/>
  <c r="T19" i="4"/>
  <c r="T26" i="4"/>
  <c r="Z23" i="4"/>
  <c r="S24" i="4"/>
  <c r="R25" i="4"/>
  <c r="S20" i="4"/>
  <c r="Z21" i="4"/>
  <c r="Z26" i="4"/>
  <c r="R37" i="4" l="1"/>
  <c r="R36" i="4"/>
  <c r="Q40" i="4"/>
  <c r="Q81" i="4" s="1"/>
  <c r="Q28" i="11" s="1"/>
  <c r="S28" i="11" s="1"/>
  <c r="S36" i="6"/>
  <c r="S37" i="6"/>
  <c r="R37" i="6"/>
  <c r="R36" i="6"/>
  <c r="T36" i="6"/>
  <c r="T37" i="6"/>
  <c r="W36" i="6"/>
  <c r="W37" i="6"/>
  <c r="U36" i="6"/>
  <c r="U37" i="6"/>
  <c r="W35" i="8"/>
  <c r="W34" i="8"/>
  <c r="T35" i="8"/>
  <c r="T34" i="8"/>
  <c r="Q34" i="8"/>
  <c r="R34" i="8"/>
  <c r="R35" i="8"/>
  <c r="R36" i="8" s="1"/>
  <c r="V34" i="8"/>
  <c r="S35" i="8"/>
  <c r="S34" i="8"/>
  <c r="U35" i="8"/>
  <c r="U34" i="8"/>
  <c r="T36" i="7"/>
  <c r="T35" i="7"/>
  <c r="Q38" i="7"/>
  <c r="Q35" i="7"/>
  <c r="Q36" i="7"/>
  <c r="V35" i="7"/>
  <c r="V36" i="7"/>
  <c r="W35" i="7"/>
  <c r="W36" i="7"/>
  <c r="U35" i="7"/>
  <c r="U36" i="7"/>
  <c r="S35" i="7"/>
  <c r="S36" i="7"/>
  <c r="R35" i="7"/>
  <c r="R36" i="7"/>
  <c r="R37" i="7" s="1"/>
  <c r="U37" i="5"/>
  <c r="Z37" i="4"/>
  <c r="Q37" i="8"/>
  <c r="Q60" i="4"/>
  <c r="Q59" i="4"/>
  <c r="Q52" i="4"/>
  <c r="Q47" i="4"/>
  <c r="Q53" i="4"/>
  <c r="Q63" i="4"/>
  <c r="Q67" i="4"/>
  <c r="Q51" i="4"/>
  <c r="Q66" i="4"/>
  <c r="Q65" i="4"/>
  <c r="Q56" i="4"/>
  <c r="Q64" i="4"/>
  <c r="Q50" i="4"/>
  <c r="Q46" i="4"/>
  <c r="V36" i="5"/>
  <c r="X13" i="6"/>
  <c r="X13" i="5"/>
  <c r="S36" i="5"/>
  <c r="U36" i="5"/>
  <c r="R36" i="5"/>
  <c r="T36" i="5"/>
  <c r="Q49" i="4"/>
  <c r="Z36" i="4"/>
  <c r="AG43" i="4"/>
  <c r="AE43" i="6"/>
  <c r="AH43" i="4"/>
  <c r="AN5" i="4"/>
  <c r="AJ43" i="4"/>
  <c r="S5" i="4"/>
  <c r="V5" i="4"/>
  <c r="Q5" i="4"/>
  <c r="T5" i="4"/>
  <c r="T37" i="4" s="1"/>
  <c r="AI43" i="4"/>
  <c r="U5" i="4"/>
  <c r="Q39" i="4" l="1"/>
  <c r="Q37" i="4"/>
  <c r="AA5" i="4" s="1"/>
  <c r="Q36" i="4"/>
  <c r="S37" i="4"/>
  <c r="S36" i="4"/>
  <c r="V36" i="4"/>
  <c r="V37" i="4"/>
  <c r="U37" i="4"/>
  <c r="U36" i="4"/>
  <c r="T36" i="4"/>
  <c r="X18" i="6"/>
  <c r="X17" i="6"/>
  <c r="X20" i="6"/>
  <c r="X19" i="6"/>
  <c r="X16" i="6"/>
  <c r="X7" i="7"/>
  <c r="X11" i="7"/>
  <c r="X15" i="7"/>
  <c r="X18" i="7"/>
  <c r="X22" i="7"/>
  <c r="X4" i="7"/>
  <c r="X21" i="7"/>
  <c r="X6" i="7"/>
  <c r="X3" i="7"/>
  <c r="X17" i="5"/>
  <c r="X19" i="5"/>
  <c r="X18" i="5"/>
  <c r="X16" i="5"/>
  <c r="X20" i="5"/>
  <c r="X10" i="6"/>
  <c r="X29" i="6"/>
  <c r="X28" i="6"/>
  <c r="X27" i="6"/>
  <c r="X12" i="6"/>
  <c r="X14" i="6"/>
  <c r="X25" i="6"/>
  <c r="X22" i="6"/>
  <c r="X15" i="6"/>
  <c r="X6" i="6"/>
  <c r="X26" i="6"/>
  <c r="X9" i="6"/>
  <c r="X7" i="6"/>
  <c r="X11" i="6"/>
  <c r="X23" i="6"/>
  <c r="X21" i="6"/>
  <c r="X3" i="6"/>
  <c r="X4" i="6"/>
  <c r="X24" i="6"/>
  <c r="X8" i="6"/>
  <c r="X10" i="5"/>
  <c r="X29" i="5"/>
  <c r="X28" i="5"/>
  <c r="X27" i="5"/>
  <c r="X26" i="5"/>
  <c r="X7" i="5"/>
  <c r="X3" i="5"/>
  <c r="X11" i="5"/>
  <c r="X22" i="5"/>
  <c r="X15" i="5"/>
  <c r="X24" i="5"/>
  <c r="X9" i="5"/>
  <c r="X8" i="5"/>
  <c r="X21" i="5"/>
  <c r="X6" i="5"/>
  <c r="X4" i="5"/>
  <c r="X23" i="5"/>
  <c r="X14" i="5"/>
  <c r="X12" i="5"/>
  <c r="X25" i="5"/>
  <c r="X5" i="6"/>
  <c r="X5" i="5"/>
  <c r="AN37" i="4"/>
  <c r="AN36" i="4"/>
  <c r="AF43" i="4"/>
  <c r="O144" i="8"/>
  <c r="P144" i="7"/>
  <c r="AK43" i="6"/>
  <c r="A86" i="6"/>
  <c r="J146" i="6" s="1"/>
  <c r="AK48" i="6"/>
  <c r="AK43" i="5"/>
  <c r="I137" i="5" s="1"/>
  <c r="AK48" i="5"/>
  <c r="I141" i="5" s="1"/>
  <c r="AA20" i="4" l="1"/>
  <c r="AA16" i="4"/>
  <c r="AA17" i="4"/>
  <c r="AA18" i="4"/>
  <c r="AA19" i="4"/>
  <c r="AA15" i="4"/>
  <c r="AA10" i="4"/>
  <c r="AA29" i="4"/>
  <c r="AA27" i="4"/>
  <c r="AA28" i="4"/>
  <c r="AA21" i="4"/>
  <c r="AA12" i="4"/>
  <c r="AA14" i="4"/>
  <c r="AA4" i="4"/>
  <c r="AA11" i="4"/>
  <c r="AA25" i="4"/>
  <c r="AA3" i="4"/>
  <c r="AA23" i="4"/>
  <c r="AA22" i="4"/>
  <c r="AA24" i="4"/>
  <c r="AA6" i="4"/>
  <c r="AA7" i="4"/>
  <c r="AA8" i="4"/>
  <c r="AA9" i="4"/>
  <c r="AA26" i="4"/>
  <c r="AN43" i="4"/>
  <c r="N144" i="8"/>
  <c r="M214" i="8" s="1"/>
  <c r="M216" i="8" s="1"/>
  <c r="O144" i="7"/>
  <c r="Q144" i="7" s="1"/>
  <c r="Q146" i="7" s="1"/>
  <c r="J144" i="7" s="1"/>
  <c r="H223" i="6"/>
  <c r="J154" i="6"/>
  <c r="AN48" i="4"/>
  <c r="P144" i="8" l="1"/>
  <c r="P146" i="8" s="1"/>
  <c r="J144" i="8" s="1"/>
  <c r="J148" i="8" s="1"/>
  <c r="J148" i="7"/>
  <c r="I216" i="7"/>
  <c r="L238" i="4" l="1"/>
  <c r="I238" i="4" s="1"/>
  <c r="I237" i="4" l="1"/>
  <c r="F162" i="4" l="1"/>
  <c r="G162" i="4"/>
  <c r="E162" i="4"/>
  <c r="H166" i="4" l="1"/>
  <c r="AD5" i="3" l="1"/>
  <c r="AE37" i="3"/>
  <c r="AA5" i="3"/>
  <c r="AD37" i="3"/>
  <c r="AL37" i="3"/>
  <c r="R27" i="3"/>
  <c r="S27" i="3"/>
  <c r="T27" i="3"/>
  <c r="U27" i="3"/>
  <c r="V27" i="3"/>
  <c r="W27" i="3"/>
  <c r="R28" i="3"/>
  <c r="S28" i="3"/>
  <c r="T28" i="3"/>
  <c r="U28" i="3"/>
  <c r="V28" i="3"/>
  <c r="W28" i="3"/>
  <c r="Q27" i="3"/>
  <c r="Q28" i="3"/>
  <c r="J170" i="3"/>
  <c r="H170" i="3"/>
  <c r="G170" i="3"/>
  <c r="F170" i="3"/>
  <c r="E170" i="3"/>
  <c r="J169" i="3"/>
  <c r="J168" i="3"/>
  <c r="H168" i="3"/>
  <c r="G168" i="3"/>
  <c r="F168" i="3"/>
  <c r="E168" i="3"/>
  <c r="J167" i="3"/>
  <c r="J171" i="3" s="1"/>
  <c r="S85" i="3"/>
  <c r="H167" i="3" s="1"/>
  <c r="R85" i="3"/>
  <c r="Q85" i="3"/>
  <c r="P85" i="3"/>
  <c r="O85" i="3"/>
  <c r="N85" i="3"/>
  <c r="M85" i="3"/>
  <c r="L85" i="3"/>
  <c r="K85" i="3"/>
  <c r="J85" i="3"/>
  <c r="I85" i="3"/>
  <c r="S84" i="3"/>
  <c r="R84" i="3"/>
  <c r="Q84" i="3"/>
  <c r="P84" i="3"/>
  <c r="O84" i="3"/>
  <c r="N84" i="3"/>
  <c r="M84" i="3"/>
  <c r="L84" i="3"/>
  <c r="K84" i="3"/>
  <c r="I84" i="3"/>
  <c r="H84" i="3"/>
  <c r="G84" i="3"/>
  <c r="R25" i="3"/>
  <c r="Q25" i="3"/>
  <c r="V25" i="3"/>
  <c r="U24" i="3"/>
  <c r="S24" i="3"/>
  <c r="W23" i="3"/>
  <c r="V23" i="3"/>
  <c r="R22" i="3"/>
  <c r="U21" i="3"/>
  <c r="R20" i="3"/>
  <c r="U20" i="3"/>
  <c r="W20" i="3"/>
  <c r="Q20" i="3"/>
  <c r="V20" i="3"/>
  <c r="U19" i="3"/>
  <c r="S19" i="3"/>
  <c r="W19" i="3"/>
  <c r="R19" i="3"/>
  <c r="U18" i="3"/>
  <c r="V18" i="3"/>
  <c r="R17" i="3"/>
  <c r="Q17" i="3"/>
  <c r="S17" i="3"/>
  <c r="U16" i="3"/>
  <c r="T16" i="3"/>
  <c r="U15" i="3"/>
  <c r="R14" i="3"/>
  <c r="U13" i="3"/>
  <c r="V13" i="3"/>
  <c r="R11" i="3"/>
  <c r="Q11" i="3"/>
  <c r="Q53" i="3" s="1"/>
  <c r="U10" i="3"/>
  <c r="S10" i="3"/>
  <c r="R10" i="3"/>
  <c r="U9" i="3"/>
  <c r="R8" i="3"/>
  <c r="W8" i="3"/>
  <c r="S8" i="3"/>
  <c r="U7" i="3"/>
  <c r="T7" i="3"/>
  <c r="U6" i="3"/>
  <c r="Q6" i="3"/>
  <c r="U4" i="3"/>
  <c r="V4" i="3"/>
  <c r="R7" i="1"/>
  <c r="C43" i="1" s="1"/>
  <c r="S7" i="1"/>
  <c r="T7" i="1"/>
  <c r="U7" i="1"/>
  <c r="W7" i="1"/>
  <c r="R8" i="1"/>
  <c r="S8" i="1"/>
  <c r="U8" i="1"/>
  <c r="V8" i="1"/>
  <c r="W8" i="1"/>
  <c r="R9" i="1"/>
  <c r="T9" i="1"/>
  <c r="U9" i="1"/>
  <c r="V9" i="1"/>
  <c r="W9" i="1"/>
  <c r="R10" i="1"/>
  <c r="S10" i="1"/>
  <c r="T10" i="1"/>
  <c r="U10" i="1"/>
  <c r="V10" i="1"/>
  <c r="W10" i="1"/>
  <c r="S11" i="1"/>
  <c r="T11" i="1"/>
  <c r="U11" i="1"/>
  <c r="V11" i="1"/>
  <c r="W11" i="1"/>
  <c r="R13" i="1"/>
  <c r="S13" i="1"/>
  <c r="T13" i="1"/>
  <c r="U13" i="1"/>
  <c r="V13" i="1"/>
  <c r="W13" i="1"/>
  <c r="R14" i="1"/>
  <c r="S14" i="1"/>
  <c r="T14" i="1"/>
  <c r="U14" i="1"/>
  <c r="V14" i="1"/>
  <c r="W14" i="1"/>
  <c r="R15" i="1"/>
  <c r="S15" i="1"/>
  <c r="T15" i="1"/>
  <c r="U15" i="1"/>
  <c r="V15" i="1"/>
  <c r="W15" i="1"/>
  <c r="R16" i="1"/>
  <c r="S16" i="1"/>
  <c r="T16" i="1"/>
  <c r="U16" i="1"/>
  <c r="V16" i="1"/>
  <c r="W16" i="1"/>
  <c r="R17" i="1"/>
  <c r="S17" i="1"/>
  <c r="T17" i="1"/>
  <c r="U17" i="1"/>
  <c r="V17" i="1"/>
  <c r="W17" i="1"/>
  <c r="R18" i="1"/>
  <c r="S18" i="1"/>
  <c r="T18" i="1"/>
  <c r="U18" i="1"/>
  <c r="V18" i="1"/>
  <c r="W18" i="1"/>
  <c r="R19" i="1"/>
  <c r="S19" i="1"/>
  <c r="T19" i="1"/>
  <c r="U19" i="1"/>
  <c r="V19" i="1"/>
  <c r="W19" i="1"/>
  <c r="S20" i="1"/>
  <c r="T20" i="1"/>
  <c r="U20" i="1"/>
  <c r="V20" i="1"/>
  <c r="W20" i="1"/>
  <c r="R21" i="1"/>
  <c r="S21" i="1"/>
  <c r="T21" i="1"/>
  <c r="U21" i="1"/>
  <c r="V21" i="1"/>
  <c r="W21" i="1"/>
  <c r="R22" i="1"/>
  <c r="S22" i="1"/>
  <c r="T22" i="1"/>
  <c r="U22" i="1"/>
  <c r="V22" i="1"/>
  <c r="W22" i="1"/>
  <c r="R23" i="1"/>
  <c r="S23" i="1"/>
  <c r="T23" i="1"/>
  <c r="U23" i="1"/>
  <c r="V23" i="1"/>
  <c r="W23" i="1"/>
  <c r="R24" i="1"/>
  <c r="S24" i="1"/>
  <c r="T24" i="1"/>
  <c r="U24" i="1"/>
  <c r="V24" i="1"/>
  <c r="W24" i="1"/>
  <c r="W6" i="1"/>
  <c r="V6" i="1"/>
  <c r="U6" i="1"/>
  <c r="T6" i="1"/>
  <c r="R4" i="1"/>
  <c r="S4" i="1"/>
  <c r="T4" i="1"/>
  <c r="U4" i="1"/>
  <c r="V4" i="1"/>
  <c r="W4" i="1"/>
  <c r="W3" i="1"/>
  <c r="V3" i="1"/>
  <c r="U3" i="1"/>
  <c r="T3" i="1"/>
  <c r="S3" i="1"/>
  <c r="AH5" i="1"/>
  <c r="V5" i="1" l="1"/>
  <c r="R5" i="1"/>
  <c r="C42" i="1"/>
  <c r="C44" i="1"/>
  <c r="Q33" i="1"/>
  <c r="Q36" i="1"/>
  <c r="Q80" i="4" s="1"/>
  <c r="Q17" i="11" s="1"/>
  <c r="S17" i="11" s="1"/>
  <c r="O49" i="13"/>
  <c r="O39" i="13"/>
  <c r="AM28" i="3"/>
  <c r="AM20" i="3"/>
  <c r="AM27" i="3"/>
  <c r="O48" i="13"/>
  <c r="AL5" i="1"/>
  <c r="Q67" i="3"/>
  <c r="Q68" i="3"/>
  <c r="AI5" i="3"/>
  <c r="AL5" i="3"/>
  <c r="AK37" i="3"/>
  <c r="AK5" i="3"/>
  <c r="J88" i="3"/>
  <c r="AJ5" i="3"/>
  <c r="AH5" i="3"/>
  <c r="AG5" i="3"/>
  <c r="AF37" i="3"/>
  <c r="AF5" i="3"/>
  <c r="AE5" i="3"/>
  <c r="I88" i="3"/>
  <c r="AC36" i="3"/>
  <c r="AC37" i="3"/>
  <c r="AC5" i="3"/>
  <c r="Q65" i="3"/>
  <c r="AM25" i="3"/>
  <c r="AB5" i="1"/>
  <c r="Q59" i="3"/>
  <c r="AM17" i="3"/>
  <c r="AG5" i="1"/>
  <c r="N78" i="6"/>
  <c r="AI5" i="1"/>
  <c r="AE5" i="1"/>
  <c r="AJ5" i="1"/>
  <c r="AF5" i="1"/>
  <c r="Q48" i="3"/>
  <c r="AM6" i="3"/>
  <c r="AD5" i="1"/>
  <c r="AK5" i="1"/>
  <c r="AC5" i="1"/>
  <c r="AM11" i="3"/>
  <c r="AB36" i="3"/>
  <c r="AB5" i="3"/>
  <c r="T5" i="1"/>
  <c r="AG37" i="3"/>
  <c r="P78" i="6"/>
  <c r="H78" i="6"/>
  <c r="AH37" i="3"/>
  <c r="AI37" i="3"/>
  <c r="M46" i="7"/>
  <c r="M48" i="4"/>
  <c r="M48" i="5"/>
  <c r="M48" i="6"/>
  <c r="M45" i="8"/>
  <c r="M47" i="3"/>
  <c r="L48" i="6"/>
  <c r="L48" i="4"/>
  <c r="L46" i="7"/>
  <c r="L48" i="5"/>
  <c r="L45" i="8"/>
  <c r="L47" i="3"/>
  <c r="S5" i="1"/>
  <c r="O78" i="6"/>
  <c r="U5" i="1"/>
  <c r="I46" i="7"/>
  <c r="I48" i="6"/>
  <c r="I48" i="5"/>
  <c r="I48" i="4"/>
  <c r="I45" i="8"/>
  <c r="I47" i="3"/>
  <c r="P45" i="8"/>
  <c r="P48" i="5"/>
  <c r="P48" i="6"/>
  <c r="P48" i="4"/>
  <c r="P46" i="7"/>
  <c r="P47" i="3"/>
  <c r="H48" i="4"/>
  <c r="H48" i="5"/>
  <c r="H45" i="8"/>
  <c r="H48" i="6"/>
  <c r="H46" i="7"/>
  <c r="H47" i="3"/>
  <c r="J46" i="7"/>
  <c r="J48" i="6"/>
  <c r="J48" i="5"/>
  <c r="J48" i="4"/>
  <c r="J45" i="8"/>
  <c r="J47" i="3"/>
  <c r="O45" i="8"/>
  <c r="O48" i="4"/>
  <c r="O48" i="6"/>
  <c r="O46" i="7"/>
  <c r="O48" i="5"/>
  <c r="O47" i="3"/>
  <c r="G45" i="8"/>
  <c r="G48" i="4"/>
  <c r="G48" i="6"/>
  <c r="G46" i="7"/>
  <c r="G48" i="5"/>
  <c r="G47" i="3"/>
  <c r="AD44" i="6"/>
  <c r="K46" i="7"/>
  <c r="K48" i="6"/>
  <c r="K48" i="5"/>
  <c r="K45" i="8"/>
  <c r="K48" i="4"/>
  <c r="K47" i="3"/>
  <c r="N48" i="4"/>
  <c r="N46" i="7"/>
  <c r="N48" i="6"/>
  <c r="N48" i="5"/>
  <c r="N45" i="8"/>
  <c r="N47" i="3"/>
  <c r="F48" i="4"/>
  <c r="F46" i="7"/>
  <c r="F48" i="6"/>
  <c r="F48" i="5"/>
  <c r="F45" i="8"/>
  <c r="F47" i="3"/>
  <c r="AC44" i="6"/>
  <c r="Q45" i="8"/>
  <c r="Q46" i="7"/>
  <c r="E45" i="8"/>
  <c r="E48" i="6"/>
  <c r="E48" i="5"/>
  <c r="Q48" i="5"/>
  <c r="Q48" i="6"/>
  <c r="Q48" i="4"/>
  <c r="E78" i="6"/>
  <c r="AJ37" i="3"/>
  <c r="AB37" i="3"/>
  <c r="S5" i="3"/>
  <c r="W6" i="3"/>
  <c r="V21" i="3"/>
  <c r="W4" i="3"/>
  <c r="V16" i="3"/>
  <c r="Q23" i="3"/>
  <c r="S3" i="3"/>
  <c r="R6" i="3"/>
  <c r="W7" i="3"/>
  <c r="T8" i="3"/>
  <c r="Q9" i="3"/>
  <c r="V10" i="3"/>
  <c r="S11" i="3"/>
  <c r="U14" i="3"/>
  <c r="R15" i="3"/>
  <c r="W16" i="3"/>
  <c r="T17" i="3"/>
  <c r="Q18" i="3"/>
  <c r="V19" i="3"/>
  <c r="S20" i="3"/>
  <c r="U22" i="3"/>
  <c r="R23" i="3"/>
  <c r="W24" i="3"/>
  <c r="T25" i="3"/>
  <c r="Q26" i="3"/>
  <c r="V9" i="3"/>
  <c r="W15" i="3"/>
  <c r="T19" i="3"/>
  <c r="S22" i="3"/>
  <c r="Q15" i="3"/>
  <c r="T3" i="3"/>
  <c r="Q4" i="3"/>
  <c r="U8" i="3"/>
  <c r="R9" i="3"/>
  <c r="W10" i="3"/>
  <c r="T11" i="3"/>
  <c r="Q13" i="3"/>
  <c r="V14" i="3"/>
  <c r="S15" i="3"/>
  <c r="U17" i="3"/>
  <c r="R18" i="3"/>
  <c r="T20" i="3"/>
  <c r="Q21" i="3"/>
  <c r="V22" i="3"/>
  <c r="S23" i="3"/>
  <c r="U25" i="3"/>
  <c r="R26" i="3"/>
  <c r="S14" i="3"/>
  <c r="T5" i="3"/>
  <c r="V7" i="3"/>
  <c r="W13" i="3"/>
  <c r="U3" i="3"/>
  <c r="R4" i="3"/>
  <c r="T6" i="3"/>
  <c r="Q7" i="3"/>
  <c r="V8" i="3"/>
  <c r="S9" i="3"/>
  <c r="U11" i="3"/>
  <c r="R13" i="3"/>
  <c r="W14" i="3"/>
  <c r="T15" i="3"/>
  <c r="Q16" i="3"/>
  <c r="V17" i="3"/>
  <c r="S18" i="3"/>
  <c r="R21" i="3"/>
  <c r="W22" i="3"/>
  <c r="T23" i="3"/>
  <c r="Q24" i="3"/>
  <c r="T26" i="3"/>
  <c r="S26" i="3"/>
  <c r="Q8" i="3"/>
  <c r="T10" i="3"/>
  <c r="W18" i="3"/>
  <c r="T14" i="3"/>
  <c r="W21" i="3"/>
  <c r="S4" i="3"/>
  <c r="R7" i="3"/>
  <c r="T9" i="3"/>
  <c r="Q10" i="3"/>
  <c r="V11" i="3"/>
  <c r="S13" i="3"/>
  <c r="R16" i="3"/>
  <c r="W17" i="3"/>
  <c r="T18" i="3"/>
  <c r="Q19" i="3"/>
  <c r="S21" i="3"/>
  <c r="U23" i="3"/>
  <c r="R24" i="3"/>
  <c r="W25" i="3"/>
  <c r="U26" i="3"/>
  <c r="T24" i="3"/>
  <c r="W26" i="3"/>
  <c r="W9" i="3"/>
  <c r="T22" i="3"/>
  <c r="V24" i="3"/>
  <c r="S25" i="3"/>
  <c r="V3" i="3"/>
  <c r="W3" i="3"/>
  <c r="T4" i="3"/>
  <c r="V6" i="3"/>
  <c r="S7" i="3"/>
  <c r="W11" i="3"/>
  <c r="T13" i="3"/>
  <c r="Q14" i="3"/>
  <c r="V15" i="3"/>
  <c r="S16" i="3"/>
  <c r="T21" i="3"/>
  <c r="Q22" i="3"/>
  <c r="V26" i="3"/>
  <c r="W5" i="1"/>
  <c r="R32" i="1" l="1"/>
  <c r="C41" i="1"/>
  <c r="C48" i="1" s="1"/>
  <c r="R33" i="1"/>
  <c r="W33" i="1"/>
  <c r="W32" i="1"/>
  <c r="T37" i="3"/>
  <c r="T36" i="3"/>
  <c r="Q40" i="3"/>
  <c r="Q80" i="3" s="1"/>
  <c r="Q27" i="11" s="1"/>
  <c r="S27" i="11" s="1"/>
  <c r="S37" i="3"/>
  <c r="S36" i="3"/>
  <c r="V33" i="1"/>
  <c r="V32" i="1"/>
  <c r="U33" i="1"/>
  <c r="U32" i="1"/>
  <c r="S33" i="1"/>
  <c r="S32" i="1"/>
  <c r="T33" i="1"/>
  <c r="T32" i="1"/>
  <c r="Q77" i="8"/>
  <c r="Q22" i="11" s="1"/>
  <c r="S22" i="11" s="1"/>
  <c r="Q81" i="5"/>
  <c r="Q20" i="11" s="1"/>
  <c r="S20" i="11" s="1"/>
  <c r="Q81" i="6"/>
  <c r="Q18" i="11" s="1"/>
  <c r="S18" i="11" s="1"/>
  <c r="Q79" i="7"/>
  <c r="Q21" i="11" s="1"/>
  <c r="S21" i="11" s="1"/>
  <c r="Q75" i="8"/>
  <c r="I146" i="8" s="1"/>
  <c r="E75" i="8"/>
  <c r="E11" i="11" s="1"/>
  <c r="C48" i="13"/>
  <c r="AM19" i="3"/>
  <c r="AN19" i="3" s="1"/>
  <c r="O77" i="3"/>
  <c r="AH44" i="4"/>
  <c r="AE44" i="6"/>
  <c r="O88" i="3"/>
  <c r="AI36" i="3"/>
  <c r="P88" i="3"/>
  <c r="AJ36" i="3"/>
  <c r="M78" i="6"/>
  <c r="N89" i="6" s="1"/>
  <c r="AG44" i="6"/>
  <c r="AJ44" i="4"/>
  <c r="Q88" i="3"/>
  <c r="AK36" i="3"/>
  <c r="AD36" i="3"/>
  <c r="R88" i="3"/>
  <c r="AL36" i="3"/>
  <c r="J88" i="4"/>
  <c r="AF44" i="4"/>
  <c r="L78" i="6"/>
  <c r="M89" i="6" s="1"/>
  <c r="AI44" i="4"/>
  <c r="K88" i="4"/>
  <c r="AG44" i="4"/>
  <c r="M88" i="3"/>
  <c r="AG36" i="3"/>
  <c r="L88" i="3"/>
  <c r="AF36" i="3"/>
  <c r="K78" i="6"/>
  <c r="L89" i="6" s="1"/>
  <c r="L90" i="6"/>
  <c r="L88" i="4"/>
  <c r="N88" i="3"/>
  <c r="AH36" i="3"/>
  <c r="K74" i="8"/>
  <c r="L84" i="8" s="1"/>
  <c r="AK49" i="6"/>
  <c r="I152" i="6" s="1"/>
  <c r="AN49" i="4"/>
  <c r="I165" i="4" s="1"/>
  <c r="J78" i="6"/>
  <c r="K89" i="6" s="1"/>
  <c r="K90" i="6"/>
  <c r="I78" i="6"/>
  <c r="J89" i="6" s="1"/>
  <c r="J90" i="6"/>
  <c r="Q78" i="6"/>
  <c r="R90" i="6"/>
  <c r="R88" i="4"/>
  <c r="AK44" i="6"/>
  <c r="I148" i="6" s="1"/>
  <c r="AN44" i="4"/>
  <c r="I161" i="4" s="1"/>
  <c r="K88" i="3"/>
  <c r="AE36" i="3"/>
  <c r="M77" i="7"/>
  <c r="M10" i="11" s="1"/>
  <c r="M79" i="5"/>
  <c r="M9" i="11" s="1"/>
  <c r="M79" i="6"/>
  <c r="M7" i="11" s="1"/>
  <c r="M78" i="4"/>
  <c r="M6" i="11" s="1"/>
  <c r="K79" i="5"/>
  <c r="K9" i="11" s="1"/>
  <c r="K77" i="7"/>
  <c r="K10" i="11" s="1"/>
  <c r="K79" i="6"/>
  <c r="K7" i="11" s="1"/>
  <c r="K78" i="4"/>
  <c r="K6" i="11" s="1"/>
  <c r="N78" i="5"/>
  <c r="O88" i="5" s="1"/>
  <c r="P77" i="7"/>
  <c r="P10" i="11" s="1"/>
  <c r="P79" i="5"/>
  <c r="P9" i="11" s="1"/>
  <c r="P79" i="6"/>
  <c r="P7" i="11" s="1"/>
  <c r="P78" i="4"/>
  <c r="P6" i="11" s="1"/>
  <c r="K77" i="3"/>
  <c r="N79" i="5"/>
  <c r="N9" i="11" s="1"/>
  <c r="N79" i="6"/>
  <c r="N7" i="11" s="1"/>
  <c r="N77" i="7"/>
  <c r="N10" i="11" s="1"/>
  <c r="N78" i="4"/>
  <c r="N6" i="11" s="1"/>
  <c r="N77" i="3"/>
  <c r="L79" i="5"/>
  <c r="L9" i="11" s="1"/>
  <c r="L77" i="7"/>
  <c r="L10" i="11" s="1"/>
  <c r="L79" i="6"/>
  <c r="L7" i="11" s="1"/>
  <c r="L78" i="4"/>
  <c r="L6" i="11" s="1"/>
  <c r="N74" i="8"/>
  <c r="O84" i="8" s="1"/>
  <c r="M77" i="3"/>
  <c r="G77" i="3"/>
  <c r="N76" i="7"/>
  <c r="O85" i="7" s="1"/>
  <c r="L77" i="3"/>
  <c r="J77" i="7"/>
  <c r="J10" i="11" s="1"/>
  <c r="J78" i="4"/>
  <c r="J6" i="11" s="1"/>
  <c r="J79" i="6"/>
  <c r="J7" i="11" s="1"/>
  <c r="J79" i="5"/>
  <c r="J9" i="11" s="1"/>
  <c r="H77" i="7"/>
  <c r="H10" i="11" s="1"/>
  <c r="H79" i="5"/>
  <c r="H9" i="11" s="1"/>
  <c r="H79" i="6"/>
  <c r="H7" i="11" s="1"/>
  <c r="H78" i="4"/>
  <c r="H6" i="11" s="1"/>
  <c r="I77" i="7"/>
  <c r="I10" i="11" s="1"/>
  <c r="I79" i="5"/>
  <c r="I9" i="11" s="1"/>
  <c r="I79" i="6"/>
  <c r="I7" i="11" s="1"/>
  <c r="I78" i="4"/>
  <c r="I6" i="11" s="1"/>
  <c r="J77" i="3"/>
  <c r="E77" i="7"/>
  <c r="E10" i="11" s="1"/>
  <c r="E79" i="5"/>
  <c r="E9" i="11" s="1"/>
  <c r="E7" i="11"/>
  <c r="E6" i="11"/>
  <c r="G79" i="6"/>
  <c r="G7" i="11" s="1"/>
  <c r="G77" i="7"/>
  <c r="G10" i="11" s="1"/>
  <c r="G78" i="4"/>
  <c r="G6" i="11" s="1"/>
  <c r="G79" i="5"/>
  <c r="G9" i="11" s="1"/>
  <c r="P77" i="3"/>
  <c r="E5" i="11"/>
  <c r="Q79" i="6"/>
  <c r="Q7" i="11" s="1"/>
  <c r="S7" i="11" s="1"/>
  <c r="Q79" i="5"/>
  <c r="Q9" i="11" s="1"/>
  <c r="S9" i="11" s="1"/>
  <c r="Q77" i="7"/>
  <c r="Q78" i="4"/>
  <c r="O79" i="6"/>
  <c r="O7" i="11" s="1"/>
  <c r="O77" i="7"/>
  <c r="O10" i="11" s="1"/>
  <c r="O78" i="4"/>
  <c r="O6" i="11" s="1"/>
  <c r="O79" i="5"/>
  <c r="O9" i="11" s="1"/>
  <c r="H77" i="3"/>
  <c r="F77" i="7"/>
  <c r="F10" i="11" s="1"/>
  <c r="F79" i="5"/>
  <c r="F9" i="11" s="1"/>
  <c r="F79" i="6"/>
  <c r="F7" i="11" s="1"/>
  <c r="F78" i="4"/>
  <c r="F6" i="11" s="1"/>
  <c r="I77" i="3"/>
  <c r="Q66" i="3"/>
  <c r="AM26" i="3"/>
  <c r="Q45" i="3"/>
  <c r="AM3" i="3"/>
  <c r="G89" i="6"/>
  <c r="AG32" i="1"/>
  <c r="N87" i="3"/>
  <c r="AJ32" i="1"/>
  <c r="Q87" i="3"/>
  <c r="AF32" i="1"/>
  <c r="M87" i="3"/>
  <c r="AI32" i="1"/>
  <c r="P87" i="3"/>
  <c r="G88" i="3"/>
  <c r="O89" i="6"/>
  <c r="AI33" i="1"/>
  <c r="N76" i="3"/>
  <c r="Q89" i="6"/>
  <c r="AK33" i="1"/>
  <c r="Q61" i="3"/>
  <c r="AM21" i="3"/>
  <c r="AB32" i="1"/>
  <c r="I87" i="3"/>
  <c r="Q62" i="3"/>
  <c r="AM22" i="3"/>
  <c r="Q52" i="3"/>
  <c r="AM10" i="3"/>
  <c r="Q63" i="3"/>
  <c r="AM23" i="3"/>
  <c r="AH33" i="1"/>
  <c r="K78" i="5"/>
  <c r="L88" i="5" s="1"/>
  <c r="N77" i="4"/>
  <c r="O87" i="4" s="1"/>
  <c r="Q50" i="3"/>
  <c r="AM8" i="3"/>
  <c r="AE32" i="1"/>
  <c r="L87" i="3"/>
  <c r="AL33" i="1"/>
  <c r="Q46" i="3"/>
  <c r="AM4" i="3"/>
  <c r="AF33" i="1"/>
  <c r="F76" i="7"/>
  <c r="G85" i="7" s="1"/>
  <c r="AA32" i="1"/>
  <c r="H87" i="3"/>
  <c r="Q58" i="3"/>
  <c r="AM16" i="3"/>
  <c r="Q60" i="3"/>
  <c r="AM18" i="3"/>
  <c r="Q51" i="3"/>
  <c r="AM9" i="3"/>
  <c r="AD32" i="1"/>
  <c r="K87" i="3"/>
  <c r="K76" i="3"/>
  <c r="I89" i="6"/>
  <c r="AC33" i="1"/>
  <c r="H77" i="4"/>
  <c r="I87" i="4" s="1"/>
  <c r="J87" i="3"/>
  <c r="H88" i="3"/>
  <c r="AD33" i="1"/>
  <c r="P89" i="6"/>
  <c r="AJ33" i="1"/>
  <c r="AG33" i="1"/>
  <c r="Q55" i="3"/>
  <c r="AM13" i="3"/>
  <c r="Q57" i="3"/>
  <c r="AM15" i="3"/>
  <c r="K77" i="4"/>
  <c r="L87" i="4" s="1"/>
  <c r="AH32" i="1"/>
  <c r="O87" i="3"/>
  <c r="Q49" i="3"/>
  <c r="AM7" i="3"/>
  <c r="Q56" i="3"/>
  <c r="AM14" i="3"/>
  <c r="Q64" i="3"/>
  <c r="AM24" i="3"/>
  <c r="F89" i="6"/>
  <c r="AL32" i="1"/>
  <c r="S87" i="3"/>
  <c r="I168" i="3" s="1"/>
  <c r="H89" i="6"/>
  <c r="AB33" i="1"/>
  <c r="AE33" i="1"/>
  <c r="K76" i="7"/>
  <c r="L85" i="7" s="1"/>
  <c r="P76" i="7"/>
  <c r="Q85" i="7" s="1"/>
  <c r="AK32" i="1"/>
  <c r="R87" i="3"/>
  <c r="P78" i="5"/>
  <c r="Q88" i="5" s="1"/>
  <c r="P77" i="4"/>
  <c r="Q87" i="4" s="1"/>
  <c r="F78" i="5"/>
  <c r="G88" i="5" s="1"/>
  <c r="F74" i="8"/>
  <c r="G84" i="8" s="1"/>
  <c r="H78" i="5"/>
  <c r="I88" i="5" s="1"/>
  <c r="F76" i="3"/>
  <c r="H74" i="8"/>
  <c r="I84" i="8" s="1"/>
  <c r="F77" i="4"/>
  <c r="G87" i="4" s="1"/>
  <c r="H76" i="3"/>
  <c r="H76" i="7"/>
  <c r="I85" i="7" s="1"/>
  <c r="P74" i="8"/>
  <c r="Q84" i="8" s="1"/>
  <c r="P76" i="3"/>
  <c r="I76" i="7"/>
  <c r="J85" i="7" s="1"/>
  <c r="I77" i="4"/>
  <c r="J87" i="4" s="1"/>
  <c r="I76" i="3"/>
  <c r="I78" i="5"/>
  <c r="J88" i="5" s="1"/>
  <c r="I74" i="8"/>
  <c r="J84" i="8" s="1"/>
  <c r="G76" i="7"/>
  <c r="H85" i="7" s="1"/>
  <c r="G77" i="4"/>
  <c r="H87" i="4" s="1"/>
  <c r="G76" i="3"/>
  <c r="G74" i="8"/>
  <c r="H84" i="8" s="1"/>
  <c r="G78" i="5"/>
  <c r="H88" i="5" s="1"/>
  <c r="M76" i="7"/>
  <c r="N85" i="7" s="1"/>
  <c r="M77" i="4"/>
  <c r="N87" i="4" s="1"/>
  <c r="M76" i="3"/>
  <c r="M74" i="8"/>
  <c r="N84" i="8" s="1"/>
  <c r="M78" i="5"/>
  <c r="N88" i="5" s="1"/>
  <c r="L76" i="7"/>
  <c r="M85" i="7" s="1"/>
  <c r="L77" i="4"/>
  <c r="M87" i="4" s="1"/>
  <c r="L76" i="3"/>
  <c r="L78" i="5"/>
  <c r="M88" i="5" s="1"/>
  <c r="L74" i="8"/>
  <c r="M84" i="8" s="1"/>
  <c r="O76" i="7"/>
  <c r="P85" i="7" s="1"/>
  <c r="O77" i="4"/>
  <c r="P87" i="4" s="1"/>
  <c r="O76" i="3"/>
  <c r="O74" i="8"/>
  <c r="P84" i="8" s="1"/>
  <c r="O78" i="5"/>
  <c r="P88" i="5" s="1"/>
  <c r="J76" i="7"/>
  <c r="K85" i="7" s="1"/>
  <c r="J77" i="4"/>
  <c r="K87" i="4" s="1"/>
  <c r="J76" i="3"/>
  <c r="J78" i="5"/>
  <c r="K88" i="5" s="1"/>
  <c r="J74" i="8"/>
  <c r="K84" i="8" s="1"/>
  <c r="E76" i="7"/>
  <c r="F85" i="7" s="1"/>
  <c r="E74" i="8"/>
  <c r="F84" i="8" s="1"/>
  <c r="Q76" i="7"/>
  <c r="R85" i="7" s="1"/>
  <c r="I144" i="7" s="1"/>
  <c r="I217" i="7" s="1"/>
  <c r="I215" i="7" s="1"/>
  <c r="Q74" i="8"/>
  <c r="F88" i="5"/>
  <c r="Q78" i="5"/>
  <c r="R88" i="5" s="1"/>
  <c r="Q77" i="4"/>
  <c r="U5" i="3"/>
  <c r="W5" i="3"/>
  <c r="Q5" i="3"/>
  <c r="V5" i="3"/>
  <c r="R5" i="3"/>
  <c r="R37" i="3" l="1"/>
  <c r="R77" i="3" s="1"/>
  <c r="R36" i="3"/>
  <c r="R76" i="3" s="1"/>
  <c r="V36" i="3"/>
  <c r="V76" i="3" s="1"/>
  <c r="V37" i="3"/>
  <c r="Q39" i="3"/>
  <c r="Q79" i="3" s="1"/>
  <c r="Q16" i="11" s="1"/>
  <c r="S16" i="11" s="1"/>
  <c r="Q37" i="3"/>
  <c r="X23" i="3" s="1"/>
  <c r="Q36" i="3"/>
  <c r="W36" i="3"/>
  <c r="W76" i="3" s="1"/>
  <c r="W37" i="3"/>
  <c r="W77" i="3" s="1"/>
  <c r="U37" i="3"/>
  <c r="U77" i="3" s="1"/>
  <c r="U36" i="3"/>
  <c r="U76" i="3" s="1"/>
  <c r="V77" i="3"/>
  <c r="S77" i="3"/>
  <c r="Q11" i="11"/>
  <c r="S11" i="11" s="1"/>
  <c r="I5" i="11"/>
  <c r="K86" i="3"/>
  <c r="P5" i="11"/>
  <c r="R86" i="3"/>
  <c r="G5" i="11"/>
  <c r="I86" i="3"/>
  <c r="M5" i="11"/>
  <c r="O86" i="3"/>
  <c r="J5" i="11"/>
  <c r="L86" i="3"/>
  <c r="F5" i="11"/>
  <c r="H86" i="3"/>
  <c r="K5" i="11"/>
  <c r="M86" i="3"/>
  <c r="H5" i="11"/>
  <c r="J86" i="3"/>
  <c r="L5" i="11"/>
  <c r="N86" i="3"/>
  <c r="O5" i="11"/>
  <c r="Q86" i="3"/>
  <c r="N5" i="11"/>
  <c r="P86" i="3"/>
  <c r="T76" i="3"/>
  <c r="I163" i="4"/>
  <c r="I164" i="4" s="1"/>
  <c r="Q6" i="11"/>
  <c r="S6" i="11" s="1"/>
  <c r="I146" i="7"/>
  <c r="Q10" i="11"/>
  <c r="S10" i="11" s="1"/>
  <c r="T77" i="3"/>
  <c r="S76" i="7"/>
  <c r="S78" i="6"/>
  <c r="S78" i="5"/>
  <c r="S77" i="4"/>
  <c r="R77" i="7"/>
  <c r="R79" i="6"/>
  <c r="R75" i="8"/>
  <c r="R79" i="5"/>
  <c r="R78" i="4"/>
  <c r="T77" i="7"/>
  <c r="T75" i="8"/>
  <c r="T79" i="6"/>
  <c r="T79" i="5"/>
  <c r="T78" i="4"/>
  <c r="V76" i="7"/>
  <c r="V78" i="6"/>
  <c r="V78" i="5"/>
  <c r="V77" i="4"/>
  <c r="U77" i="7"/>
  <c r="U79" i="6"/>
  <c r="U79" i="5"/>
  <c r="U75" i="8"/>
  <c r="U78" i="4"/>
  <c r="S76" i="3"/>
  <c r="V77" i="7"/>
  <c r="V79" i="5"/>
  <c r="V79" i="6"/>
  <c r="V75" i="8"/>
  <c r="V78" i="4"/>
  <c r="T76" i="7"/>
  <c r="T78" i="6"/>
  <c r="T78" i="5"/>
  <c r="T77" i="4"/>
  <c r="W79" i="5"/>
  <c r="W77" i="7"/>
  <c r="W79" i="6"/>
  <c r="W75" i="8"/>
  <c r="Z78" i="4"/>
  <c r="W78" i="5"/>
  <c r="W78" i="6"/>
  <c r="W76" i="7"/>
  <c r="Z77" i="4"/>
  <c r="R76" i="7"/>
  <c r="R78" i="5"/>
  <c r="R78" i="6"/>
  <c r="R77" i="4"/>
  <c r="AM5" i="3"/>
  <c r="U76" i="7"/>
  <c r="U78" i="5"/>
  <c r="U78" i="6"/>
  <c r="U77" i="4"/>
  <c r="S79" i="5"/>
  <c r="S77" i="7"/>
  <c r="S75" i="8"/>
  <c r="S79" i="6"/>
  <c r="S78" i="4"/>
  <c r="R89" i="6"/>
  <c r="I150" i="6"/>
  <c r="I151" i="6" s="1"/>
  <c r="I139" i="5"/>
  <c r="I140" i="5" s="1"/>
  <c r="Q85" i="5"/>
  <c r="H224" i="6"/>
  <c r="H222" i="6" s="1"/>
  <c r="I146" i="6"/>
  <c r="I147" i="6" s="1"/>
  <c r="I144" i="8"/>
  <c r="I214" i="8" s="1"/>
  <c r="R84" i="8"/>
  <c r="R87" i="4"/>
  <c r="H239" i="4"/>
  <c r="H237" i="4" s="1"/>
  <c r="I159" i="4"/>
  <c r="I160" i="4" s="1"/>
  <c r="H214" i="5"/>
  <c r="H212" i="5" s="1"/>
  <c r="I135" i="5"/>
  <c r="I136" i="5" s="1"/>
  <c r="Q47" i="3"/>
  <c r="X12" i="3" l="1"/>
  <c r="X32" i="3"/>
  <c r="X17" i="3"/>
  <c r="X18" i="3"/>
  <c r="X14" i="3"/>
  <c r="X16" i="3"/>
  <c r="X15" i="3"/>
  <c r="X30" i="3"/>
  <c r="X31" i="3"/>
  <c r="X33" i="3"/>
  <c r="X29" i="3"/>
  <c r="X11" i="3"/>
  <c r="X27" i="3"/>
  <c r="X28" i="3"/>
  <c r="X20" i="3"/>
  <c r="X6" i="3"/>
  <c r="X25" i="3"/>
  <c r="X24" i="3"/>
  <c r="X7" i="3"/>
  <c r="X21" i="3"/>
  <c r="X4" i="3"/>
  <c r="X19" i="3"/>
  <c r="X3" i="3"/>
  <c r="X13" i="3"/>
  <c r="X9" i="3"/>
  <c r="X10" i="3"/>
  <c r="X26" i="3"/>
  <c r="X22" i="3"/>
  <c r="X8" i="3"/>
  <c r="X5" i="3"/>
  <c r="AM37" i="3"/>
  <c r="Q77" i="3"/>
  <c r="S88" i="3"/>
  <c r="AM36" i="3"/>
  <c r="Q76" i="3"/>
  <c r="I170" i="3"/>
  <c r="Q5" i="11" l="1"/>
  <c r="S5" i="11" s="1"/>
  <c r="S86" i="3"/>
  <c r="I167" i="3" s="1"/>
  <c r="G148" i="6"/>
  <c r="G146" i="6"/>
  <c r="G152" i="6"/>
  <c r="G150" i="6"/>
  <c r="G222" i="6" l="1"/>
  <c r="D89" i="6"/>
</calcChain>
</file>

<file path=xl/sharedStrings.xml><?xml version="1.0" encoding="utf-8"?>
<sst xmlns="http://schemas.openxmlformats.org/spreadsheetml/2006/main" count="1671" uniqueCount="182">
  <si>
    <t>Production Vol.</t>
  </si>
  <si>
    <t>For Analysis</t>
  </si>
  <si>
    <t>Company</t>
  </si>
  <si>
    <t>Unit</t>
  </si>
  <si>
    <t>Target</t>
  </si>
  <si>
    <t>Q1</t>
  </si>
  <si>
    <t>Q2</t>
  </si>
  <si>
    <t>Q3</t>
  </si>
  <si>
    <t>Q4</t>
  </si>
  <si>
    <t>H1</t>
  </si>
  <si>
    <t>H2</t>
  </si>
  <si>
    <t>Production (Ton/day)</t>
  </si>
  <si>
    <t>Domestic</t>
  </si>
  <si>
    <t>MOC</t>
  </si>
  <si>
    <t>ton</t>
  </si>
  <si>
    <t>ROC</t>
  </si>
  <si>
    <t>Olefins</t>
  </si>
  <si>
    <t>TPC RY</t>
  </si>
  <si>
    <t>TPE</t>
  </si>
  <si>
    <t>NPI RY</t>
  </si>
  <si>
    <t>NPI SB</t>
  </si>
  <si>
    <t>SCGC ICO</t>
  </si>
  <si>
    <t>Cirplas</t>
  </si>
  <si>
    <t>Teamplas</t>
  </si>
  <si>
    <t>TMMA</t>
  </si>
  <si>
    <t>GSC</t>
  </si>
  <si>
    <t>STC</t>
  </si>
  <si>
    <t>TMFC</t>
  </si>
  <si>
    <t>Abroad</t>
  </si>
  <si>
    <t>Chemtech</t>
  </si>
  <si>
    <t>TPC Indo</t>
  </si>
  <si>
    <t>TPC Vina</t>
  </si>
  <si>
    <t>Viet-Thai</t>
  </si>
  <si>
    <t>BMP</t>
  </si>
  <si>
    <t>NPIC</t>
  </si>
  <si>
    <t>NBM</t>
  </si>
  <si>
    <t>BNI</t>
  </si>
  <si>
    <t>Sirplaste</t>
  </si>
  <si>
    <t>LSP - Up</t>
  </si>
  <si>
    <t>LSP - Poly</t>
  </si>
  <si>
    <t>LSP Complex</t>
  </si>
  <si>
    <t>LSP Group</t>
  </si>
  <si>
    <t>GNM</t>
  </si>
  <si>
    <t>NPI Group</t>
  </si>
  <si>
    <t>Total SCGC</t>
  </si>
  <si>
    <t>Total SCGC (Sub only)</t>
  </si>
  <si>
    <t>Thailand (Sub)</t>
  </si>
  <si>
    <t>Abroad (Sub)</t>
  </si>
  <si>
    <t>PVC</t>
  </si>
  <si>
    <t>Polyolefins</t>
  </si>
  <si>
    <t>Downstream</t>
  </si>
  <si>
    <t>Energy</t>
  </si>
  <si>
    <t>Circular</t>
  </si>
  <si>
    <t>Other  (terminal tank)</t>
  </si>
  <si>
    <t>Water withdrawal</t>
  </si>
  <si>
    <t>YTD 2026</t>
  </si>
  <si>
    <t>Water withdrawal (m3/day)</t>
  </si>
  <si>
    <t>m3</t>
  </si>
  <si>
    <t>MTT</t>
  </si>
  <si>
    <t>RTC</t>
  </si>
  <si>
    <t>MOC Energy</t>
  </si>
  <si>
    <t>ROC Energy</t>
  </si>
  <si>
    <t>Water withdrawal intensity</t>
  </si>
  <si>
    <t>m3/ton</t>
  </si>
  <si>
    <t>-</t>
  </si>
  <si>
    <t>Target 2024</t>
  </si>
  <si>
    <t>Actual</t>
  </si>
  <si>
    <t>Production</t>
  </si>
  <si>
    <t>Mton</t>
  </si>
  <si>
    <t>m3/day</t>
  </si>
  <si>
    <t>Actual Sub only</t>
  </si>
  <si>
    <t>9M</t>
  </si>
  <si>
    <t>6M</t>
  </si>
  <si>
    <t>3M</t>
  </si>
  <si>
    <t>Plan 2023</t>
  </si>
  <si>
    <t>Actual 2023</t>
  </si>
  <si>
    <t>Est. Full-year 2023</t>
  </si>
  <si>
    <t>All SCGC</t>
  </si>
  <si>
    <t>Subsidiary only</t>
  </si>
  <si>
    <t>Hz Waste Generated</t>
  </si>
  <si>
    <t>Special</t>
  </si>
  <si>
    <t>YTD</t>
  </si>
  <si>
    <t>kg</t>
  </si>
  <si>
    <t>NIT</t>
  </si>
  <si>
    <t>RIL</t>
  </si>
  <si>
    <t>Normal Waste</t>
  </si>
  <si>
    <t>Hz Waste Generated intensity</t>
  </si>
  <si>
    <t>Specifice Normal Waste</t>
  </si>
  <si>
    <t>kg/ton</t>
  </si>
  <si>
    <t>Sub Normal</t>
  </si>
  <si>
    <t>Normalize</t>
  </si>
  <si>
    <t>Waste from critical work tracking</t>
  </si>
  <si>
    <t>YTD 2025</t>
  </si>
  <si>
    <t>Jan - May -25</t>
  </si>
  <si>
    <t>Nov - Dec -25</t>
  </si>
  <si>
    <t>total</t>
  </si>
  <si>
    <t>Plan</t>
  </si>
  <si>
    <t>Genrate Plan</t>
  </si>
  <si>
    <t>Act</t>
  </si>
  <si>
    <t>Dispose</t>
  </si>
  <si>
    <t>Normalize 2023</t>
  </si>
  <si>
    <t>Plan 2024</t>
  </si>
  <si>
    <t>Normal + Special</t>
  </si>
  <si>
    <t>Normal</t>
  </si>
  <si>
    <t>Waste Directed to Disposal (Hz + Non) (Exclude LF)</t>
  </si>
  <si>
    <t>YTD-26</t>
  </si>
  <si>
    <t>Waste Directed to Disposal (Hz + Non) intensity</t>
  </si>
  <si>
    <t>Normal Target</t>
  </si>
  <si>
    <t>Production (Ton)</t>
  </si>
  <si>
    <t>Prod. Ton</t>
  </si>
  <si>
    <t>Dust g</t>
  </si>
  <si>
    <t>Poly</t>
  </si>
  <si>
    <t>ICO</t>
  </si>
  <si>
    <t>LSP Up</t>
  </si>
  <si>
    <t>Target (Ton)</t>
  </si>
  <si>
    <t>Absolute (g)</t>
  </si>
  <si>
    <t>LSP</t>
  </si>
  <si>
    <t>(ton)</t>
  </si>
  <si>
    <t>Absolute (ton)</t>
  </si>
  <si>
    <t>Target (ton)</t>
  </si>
  <si>
    <t>Specific (g/ton)</t>
  </si>
  <si>
    <t>Thai (ton)</t>
  </si>
  <si>
    <t>Abroad (ton)</t>
  </si>
  <si>
    <t>SCGC Sub (Ton)</t>
  </si>
  <si>
    <t>Non-hz Waste Generated</t>
  </si>
  <si>
    <t>Non-hz Waste Generated intensity</t>
  </si>
  <si>
    <t>Nox</t>
  </si>
  <si>
    <t>g</t>
  </si>
  <si>
    <t>NOx Intensity</t>
  </si>
  <si>
    <t>g/ton</t>
  </si>
  <si>
    <t>2023 Normalize</t>
  </si>
  <si>
    <t>g NOx</t>
  </si>
  <si>
    <t>ton product</t>
  </si>
  <si>
    <t>SOx</t>
  </si>
  <si>
    <t>SCG ICO</t>
  </si>
  <si>
    <t>SOx Intensity</t>
  </si>
  <si>
    <t>gSO2</t>
  </si>
  <si>
    <t>VOCs inventory (kg)</t>
  </si>
  <si>
    <t>SCGC Subsidiary</t>
  </si>
  <si>
    <t>VOCs inventory (g)</t>
  </si>
  <si>
    <t>VOCs inventory (g/ton)</t>
  </si>
  <si>
    <t xml:space="preserve">Target </t>
  </si>
  <si>
    <t>SCGC Sub</t>
  </si>
  <si>
    <t>KPI</t>
  </si>
  <si>
    <t>unit</t>
  </si>
  <si>
    <r>
      <t>m</t>
    </r>
    <r>
      <rPr>
        <vertAlign val="superscript"/>
        <sz val="16"/>
        <color theme="1"/>
        <rFont val="Calibri"/>
        <family val="2"/>
        <scheme val="minor"/>
      </rPr>
      <t>3</t>
    </r>
    <r>
      <rPr>
        <sz val="16"/>
        <color theme="1"/>
        <rFont val="Calibri"/>
        <family val="2"/>
        <scheme val="minor"/>
      </rPr>
      <t>/ton</t>
    </r>
  </si>
  <si>
    <t>Hz waste gen</t>
  </si>
  <si>
    <t>Waste directed to disposal</t>
  </si>
  <si>
    <t>Dust Emission</t>
  </si>
  <si>
    <t>Non-hz waste gen</t>
  </si>
  <si>
    <t>NOx Emission</t>
  </si>
  <si>
    <t>SO2 Emission</t>
  </si>
  <si>
    <t>TH Sub</t>
  </si>
  <si>
    <t>AB Sub</t>
  </si>
  <si>
    <t>Prod. Plan 2026</t>
  </si>
  <si>
    <t>Water Target (m3/ton)</t>
  </si>
  <si>
    <t>Water Absolute (m3)</t>
  </si>
  <si>
    <t>Hz waste Target (kg/ton)</t>
  </si>
  <si>
    <t>Hz waste Absolute (kg)</t>
  </si>
  <si>
    <t>Waste disposal Target (kg/ton)</t>
  </si>
  <si>
    <t>Waste disposal Absolute (kg)</t>
  </si>
  <si>
    <t>TSP ton</t>
  </si>
  <si>
    <t>VOCs target (g/ton)</t>
  </si>
  <si>
    <t>VOCs Absolute (g)</t>
  </si>
  <si>
    <t>NHz waste Target (kg/ton)</t>
  </si>
  <si>
    <t>NHz waste Absolute (kg)</t>
  </si>
  <si>
    <t>NOx Emission Target
(g/ton)</t>
  </si>
  <si>
    <t>NOx Emission Absolute
(g)</t>
  </si>
  <si>
    <t>SOx Emission Target
(g/ton)</t>
  </si>
  <si>
    <t>SOx Emission Absolute
(g)</t>
  </si>
  <si>
    <t>รวมกับ BMP</t>
  </si>
  <si>
    <t>463 ton</t>
  </si>
  <si>
    <t>149 ton</t>
  </si>
  <si>
    <t>19 ton</t>
  </si>
  <si>
    <t>790880 kg</t>
  </si>
  <si>
    <t>60 ton</t>
  </si>
  <si>
    <t>46 ton</t>
  </si>
  <si>
    <t>16 ton</t>
  </si>
  <si>
    <t>avg 5M 2025</t>
  </si>
  <si>
    <t>TH</t>
  </si>
  <si>
    <t>AB</t>
  </si>
  <si>
    <t>Target in 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</si>
</sst>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B1mmm\-yy"/>
    <numFmt numFmtId="166" formatCode="_-* #,##0_-;\-* #,##0_-;_-* &quot;-&quot;??_-;_-@_-"/>
    <numFmt numFmtId="167" formatCode="0.0%"/>
    <numFmt numFmtId="168" formatCode="_(* #,##0_);_(* \(#,##0\);_(* &quot;-&quot;??_);_(@_)"/>
    <numFmt numFmtId="169" formatCode="0.0"/>
    <numFmt numFmtId="170" formatCode="0.0000"/>
  </numFmts>
  <fonts count="5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b/>
      <u val="singleAccounting"/>
      <sz val="11"/>
      <color rgb="FF0070C0"/>
      <name val="Calibri"/>
      <family val="2"/>
      <scheme val="minor"/>
    </font>
    <font>
      <sz val="11"/>
      <color rgb="FFFF0000"/>
      <name val="Calibri"/>
      <family val="2"/>
      <charset val="22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charset val="222"/>
      <scheme val="minor"/>
    </font>
    <font>
      <sz val="11"/>
      <name val="Calibri"/>
      <family val="2"/>
      <scheme val="minor"/>
    </font>
    <font>
      <b/>
      <u/>
      <sz val="14"/>
      <color theme="4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b/>
      <u val="singleAccounting"/>
      <sz val="11"/>
      <color rgb="FF0000FF"/>
      <name val="Calibri"/>
      <family val="2"/>
      <scheme val="minor"/>
    </font>
    <font>
      <sz val="11"/>
      <color theme="2" tint="-0.249977111117893"/>
      <name val="Calibri"/>
      <family val="2"/>
      <charset val="222"/>
      <scheme val="minor"/>
    </font>
    <font>
      <u val="singleAccounting"/>
      <sz val="12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 val="singleAccounting"/>
      <sz val="14"/>
      <color rgb="FF0000FF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b/>
      <u val="singleAccounting"/>
      <sz val="16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6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vertAlign val="superscript"/>
      <sz val="16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u/>
      <sz val="11"/>
      <color rgb="FF0000FF"/>
      <name val="Calibri"/>
      <family val="2"/>
      <charset val="22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rgb="FF0000FF"/>
      <name val="Calibri"/>
      <family val="2"/>
      <scheme val="minor"/>
    </font>
    <font>
      <b/>
      <u/>
      <sz val="12"/>
      <color rgb="FF0000FF"/>
      <name val="Calibri"/>
      <family val="2"/>
      <charset val="22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sz val="11"/>
      <color rgb="FF000000"/>
      <name val="Calibri"/>
      <family val="2"/>
      <charset val="222"/>
      <scheme val="minor"/>
    </font>
    <font>
      <b/>
      <u/>
      <sz val="12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4"/>
      <color rgb="FF0000FF"/>
      <name val="Calibri"/>
      <family val="2"/>
      <charset val="222"/>
      <scheme val="minor"/>
    </font>
    <font>
      <b/>
      <sz val="14"/>
      <color theme="1"/>
      <name val="Calibri"/>
      <family val="2"/>
      <charset val="222"/>
      <scheme val="minor"/>
    </font>
    <font>
      <b/>
      <sz val="12"/>
      <color theme="1"/>
      <name val="Calibri"/>
      <family val="2"/>
      <charset val="222"/>
      <scheme val="minor"/>
    </font>
    <font>
      <sz val="12"/>
      <color rgb="FF0000FF"/>
      <name val="Calibri"/>
      <family val="2"/>
      <charset val="222"/>
      <scheme val="minor"/>
    </font>
    <font>
      <b/>
      <u val="singleAccounting"/>
      <sz val="12"/>
      <color rgb="FF0000FF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</cellStyleXfs>
  <cellXfs count="449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6" fillId="3" borderId="1" xfId="3" applyNumberFormat="1" applyFont="1" applyFill="1" applyBorder="1" applyAlignment="1">
      <alignment horizontal="center" vertical="top" wrapText="1"/>
    </xf>
    <xf numFmtId="165" fontId="6" fillId="0" borderId="1" xfId="3" applyNumberFormat="1" applyFont="1" applyBorder="1" applyAlignment="1">
      <alignment horizontal="center" vertical="top" wrapText="1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164" fontId="0" fillId="0" borderId="1" xfId="1" applyFont="1" applyBorder="1"/>
    <xf numFmtId="166" fontId="0" fillId="0" borderId="1" xfId="1" applyNumberFormat="1" applyFont="1" applyBorder="1"/>
    <xf numFmtId="166" fontId="0" fillId="3" borderId="1" xfId="1" applyNumberFormat="1" applyFont="1" applyFill="1" applyBorder="1"/>
    <xf numFmtId="166" fontId="0" fillId="6" borderId="1" xfId="1" applyNumberFormat="1" applyFont="1" applyFill="1" applyBorder="1"/>
    <xf numFmtId="166" fontId="0" fillId="0" borderId="1" xfId="1" applyNumberFormat="1" applyFont="1" applyFill="1" applyBorder="1"/>
    <xf numFmtId="166" fontId="0" fillId="0" borderId="1" xfId="0" applyNumberFormat="1" applyBorder="1"/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166" fontId="0" fillId="0" borderId="8" xfId="1" applyNumberFormat="1" applyFont="1" applyFill="1" applyBorder="1"/>
    <xf numFmtId="166" fontId="0" fillId="0" borderId="9" xfId="1" applyNumberFormat="1" applyFont="1" applyFill="1" applyBorder="1"/>
    <xf numFmtId="166" fontId="0" fillId="3" borderId="1" xfId="0" applyNumberFormat="1" applyFill="1" applyBorder="1"/>
    <xf numFmtId="0" fontId="4" fillId="4" borderId="1" xfId="0" applyFont="1" applyFill="1" applyBorder="1" applyAlignment="1">
      <alignment horizontal="center"/>
    </xf>
    <xf numFmtId="164" fontId="0" fillId="4" borderId="1" xfId="1" applyFont="1" applyFill="1" applyBorder="1"/>
    <xf numFmtId="164" fontId="0" fillId="4" borderId="1" xfId="0" applyNumberFormat="1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0" fontId="0" fillId="4" borderId="0" xfId="0" applyFill="1"/>
    <xf numFmtId="0" fontId="0" fillId="3" borderId="0" xfId="0" applyFill="1"/>
    <xf numFmtId="164" fontId="9" fillId="0" borderId="1" xfId="0" applyNumberFormat="1" applyFont="1" applyBorder="1"/>
    <xf numFmtId="0" fontId="0" fillId="2" borderId="1" xfId="0" applyFill="1" applyBorder="1"/>
    <xf numFmtId="0" fontId="0" fillId="4" borderId="1" xfId="0" quotePrefix="1" applyFill="1" applyBorder="1" applyAlignment="1">
      <alignment horizontal="center"/>
    </xf>
    <xf numFmtId="166" fontId="0" fillId="4" borderId="1" xfId="1" applyNumberFormat="1" applyFont="1" applyFill="1" applyBorder="1" applyAlignment="1">
      <alignment horizontal="center"/>
    </xf>
    <xf numFmtId="164" fontId="0" fillId="3" borderId="1" xfId="1" applyFont="1" applyFill="1" applyBorder="1"/>
    <xf numFmtId="164" fontId="0" fillId="0" borderId="0" xfId="1" applyFont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164" fontId="0" fillId="11" borderId="1" xfId="1" applyFont="1" applyFill="1" applyBorder="1"/>
    <xf numFmtId="164" fontId="0" fillId="11" borderId="1" xfId="0" applyNumberFormat="1" applyFill="1" applyBorder="1"/>
    <xf numFmtId="0" fontId="4" fillId="11" borderId="1" xfId="0" applyFont="1" applyFill="1" applyBorder="1" applyAlignment="1">
      <alignment horizontal="center"/>
    </xf>
    <xf numFmtId="164" fontId="0" fillId="11" borderId="1" xfId="1" applyFon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4" fontId="0" fillId="11" borderId="1" xfId="1" quotePrefix="1" applyFont="1" applyFill="1" applyBorder="1" applyAlignment="1">
      <alignment horizontal="center"/>
    </xf>
    <xf numFmtId="167" fontId="0" fillId="0" borderId="0" xfId="2" applyNumberFormat="1" applyFont="1"/>
    <xf numFmtId="0" fontId="0" fillId="14" borderId="1" xfId="0" applyFill="1" applyBorder="1"/>
    <xf numFmtId="165" fontId="4" fillId="14" borderId="1" xfId="0" applyNumberFormat="1" applyFon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164" fontId="0" fillId="14" borderId="1" xfId="1" applyFont="1" applyFill="1" applyBorder="1"/>
    <xf numFmtId="164" fontId="0" fillId="14" borderId="1" xfId="0" applyNumberFormat="1" applyFill="1" applyBorder="1"/>
    <xf numFmtId="164" fontId="0" fillId="0" borderId="0" xfId="0" applyNumberFormat="1"/>
    <xf numFmtId="0" fontId="11" fillId="10" borderId="0" xfId="0" applyFont="1" applyFill="1"/>
    <xf numFmtId="165" fontId="4" fillId="10" borderId="1" xfId="0" applyNumberFormat="1" applyFont="1" applyFill="1" applyBorder="1" applyAlignment="1">
      <alignment horizontal="center"/>
    </xf>
    <xf numFmtId="165" fontId="6" fillId="10" borderId="1" xfId="3" applyNumberFormat="1" applyFont="1" applyFill="1" applyBorder="1" applyAlignment="1">
      <alignment horizontal="center" vertical="top" wrapText="1"/>
    </xf>
    <xf numFmtId="2" fontId="0" fillId="4" borderId="1" xfId="0" applyNumberFormat="1" applyFill="1" applyBorder="1" applyAlignment="1">
      <alignment horizontal="center"/>
    </xf>
    <xf numFmtId="164" fontId="12" fillId="0" borderId="1" xfId="1" applyFont="1" applyBorder="1"/>
    <xf numFmtId="164" fontId="13" fillId="0" borderId="1" xfId="0" applyNumberFormat="1" applyFont="1" applyBorder="1"/>
    <xf numFmtId="164" fontId="13" fillId="3" borderId="1" xfId="0" applyNumberFormat="1" applyFont="1" applyFill="1" applyBorder="1"/>
    <xf numFmtId="9" fontId="0" fillId="0" borderId="0" xfId="2" applyFont="1"/>
    <xf numFmtId="165" fontId="4" fillId="11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16" borderId="1" xfId="0" applyNumberFormat="1" applyFill="1" applyBorder="1"/>
    <xf numFmtId="0" fontId="4" fillId="11" borderId="2" xfId="0" applyFont="1" applyFill="1" applyBorder="1" applyAlignment="1">
      <alignment horizontal="center"/>
    </xf>
    <xf numFmtId="164" fontId="10" fillId="11" borderId="1" xfId="0" applyNumberFormat="1" applyFont="1" applyFill="1" applyBorder="1"/>
    <xf numFmtId="0" fontId="0" fillId="17" borderId="1" xfId="0" applyFill="1" applyBorder="1" applyAlignment="1">
      <alignment horizontal="center"/>
    </xf>
    <xf numFmtId="164" fontId="0" fillId="17" borderId="1" xfId="1" applyFont="1" applyFill="1" applyBorder="1"/>
    <xf numFmtId="164" fontId="0" fillId="17" borderId="1" xfId="1" quotePrefix="1" applyFont="1" applyFill="1" applyBorder="1" applyAlignment="1">
      <alignment horizontal="center"/>
    </xf>
    <xf numFmtId="164" fontId="10" fillId="17" borderId="1" xfId="0" applyNumberFormat="1" applyFont="1" applyFill="1" applyBorder="1"/>
    <xf numFmtId="164" fontId="0" fillId="17" borderId="1" xfId="0" applyNumberFormat="1" applyFill="1" applyBorder="1"/>
    <xf numFmtId="164" fontId="0" fillId="17" borderId="1" xfId="0" quotePrefix="1" applyNumberForma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1" applyFont="1" applyFill="1" applyBorder="1"/>
    <xf numFmtId="0" fontId="4" fillId="0" borderId="0" xfId="0" applyFont="1" applyAlignment="1">
      <alignment horizontal="center" vertical="center"/>
    </xf>
    <xf numFmtId="164" fontId="12" fillId="11" borderId="1" xfId="0" applyNumberFormat="1" applyFont="1" applyFill="1" applyBorder="1"/>
    <xf numFmtId="164" fontId="10" fillId="11" borderId="1" xfId="1" applyFont="1" applyFill="1" applyBorder="1" applyAlignment="1">
      <alignment horizontal="center" vertical="center"/>
    </xf>
    <xf numFmtId="164" fontId="0" fillId="17" borderId="1" xfId="1" applyFont="1" applyFill="1" applyBorder="1" applyAlignment="1">
      <alignment horizontal="center" vertical="center"/>
    </xf>
    <xf numFmtId="166" fontId="0" fillId="0" borderId="0" xfId="1" applyNumberFormat="1" applyFont="1" applyBorder="1"/>
    <xf numFmtId="164" fontId="0" fillId="0" borderId="1" xfId="1" quotePrefix="1" applyFont="1" applyBorder="1" applyAlignment="1">
      <alignment horizontal="center"/>
    </xf>
    <xf numFmtId="164" fontId="10" fillId="17" borderId="1" xfId="1" applyFont="1" applyFill="1" applyBorder="1" applyAlignment="1">
      <alignment horizontal="center" vertical="center"/>
    </xf>
    <xf numFmtId="0" fontId="0" fillId="11" borderId="7" xfId="0" applyFill="1" applyBorder="1" applyAlignment="1">
      <alignment horizontal="center"/>
    </xf>
    <xf numFmtId="164" fontId="0" fillId="11" borderId="9" xfId="1" applyFont="1" applyFill="1" applyBorder="1"/>
    <xf numFmtId="164" fontId="0" fillId="11" borderId="9" xfId="0" applyNumberFormat="1" applyFill="1" applyBorder="1"/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64" fontId="0" fillId="2" borderId="1" xfId="1" applyFont="1" applyFill="1" applyBorder="1"/>
    <xf numFmtId="0" fontId="0" fillId="0" borderId="1" xfId="0" quotePrefix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164" fontId="15" fillId="0" borderId="1" xfId="1" applyFont="1" applyBorder="1"/>
    <xf numFmtId="166" fontId="0" fillId="11" borderId="1" xfId="1" applyNumberFormat="1" applyFont="1" applyFill="1" applyBorder="1"/>
    <xf numFmtId="166" fontId="0" fillId="0" borderId="0" xfId="0" applyNumberFormat="1"/>
    <xf numFmtId="166" fontId="0" fillId="11" borderId="1" xfId="1" applyNumberFormat="1" applyFont="1" applyFill="1" applyBorder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166" fontId="0" fillId="11" borderId="1" xfId="1" quotePrefix="1" applyNumberFormat="1" applyFont="1" applyFill="1" applyBorder="1" applyAlignment="1">
      <alignment horizontal="center"/>
    </xf>
    <xf numFmtId="166" fontId="0" fillId="11" borderId="1" xfId="0" applyNumberFormat="1" applyFill="1" applyBorder="1"/>
    <xf numFmtId="0" fontId="0" fillId="21" borderId="1" xfId="0" applyFill="1" applyBorder="1" applyAlignment="1">
      <alignment horizontal="center"/>
    </xf>
    <xf numFmtId="166" fontId="0" fillId="21" borderId="1" xfId="0" applyNumberFormat="1" applyFill="1" applyBorder="1" applyAlignment="1">
      <alignment horizontal="center"/>
    </xf>
    <xf numFmtId="0" fontId="0" fillId="21" borderId="1" xfId="0" applyFill="1" applyBorder="1"/>
    <xf numFmtId="166" fontId="0" fillId="21" borderId="1" xfId="0" applyNumberFormat="1" applyFill="1" applyBorder="1"/>
    <xf numFmtId="164" fontId="0" fillId="21" borderId="1" xfId="0" applyNumberFormat="1" applyFill="1" applyBorder="1"/>
    <xf numFmtId="164" fontId="0" fillId="21" borderId="1" xfId="0" applyNumberFormat="1" applyFill="1" applyBorder="1" applyAlignment="1">
      <alignment horizontal="center"/>
    </xf>
    <xf numFmtId="166" fontId="0" fillId="21" borderId="1" xfId="1" applyNumberFormat="1" applyFont="1" applyFill="1" applyBorder="1"/>
    <xf numFmtId="0" fontId="0" fillId="0" borderId="0" xfId="0" applyAlignment="1">
      <alignment horizontal="right"/>
    </xf>
    <xf numFmtId="164" fontId="0" fillId="11" borderId="2" xfId="0" applyNumberFormat="1" applyFill="1" applyBorder="1"/>
    <xf numFmtId="166" fontId="0" fillId="6" borderId="1" xfId="0" applyNumberFormat="1" applyFill="1" applyBorder="1"/>
    <xf numFmtId="164" fontId="10" fillId="4" borderId="1" xfId="0" applyNumberFormat="1" applyFont="1" applyFill="1" applyBorder="1" applyAlignment="1">
      <alignment horizontal="center"/>
    </xf>
    <xf numFmtId="164" fontId="10" fillId="4" borderId="1" xfId="1" quotePrefix="1" applyFont="1" applyFill="1" applyBorder="1" applyAlignment="1">
      <alignment horizontal="center"/>
    </xf>
    <xf numFmtId="164" fontId="10" fillId="4" borderId="1" xfId="1" applyFont="1" applyFill="1" applyBorder="1" applyAlignment="1">
      <alignment horizontal="center"/>
    </xf>
    <xf numFmtId="166" fontId="0" fillId="21" borderId="1" xfId="1" applyNumberFormat="1" applyFont="1" applyFill="1" applyBorder="1" applyAlignment="1">
      <alignment horizontal="center"/>
    </xf>
    <xf numFmtId="164" fontId="0" fillId="16" borderId="1" xfId="1" applyFont="1" applyFill="1" applyBorder="1"/>
    <xf numFmtId="166" fontId="12" fillId="0" borderId="1" xfId="1" applyNumberFormat="1" applyFont="1" applyBorder="1"/>
    <xf numFmtId="164" fontId="12" fillId="21" borderId="1" xfId="0" applyNumberFormat="1" applyFont="1" applyFill="1" applyBorder="1" applyAlignment="1">
      <alignment horizontal="center"/>
    </xf>
    <xf numFmtId="164" fontId="12" fillId="4" borderId="1" xfId="1" applyFont="1" applyFill="1" applyBorder="1"/>
    <xf numFmtId="164" fontId="12" fillId="0" borderId="1" xfId="1" applyFont="1" applyFill="1" applyBorder="1"/>
    <xf numFmtId="0" fontId="0" fillId="23" borderId="0" xfId="0" applyFill="1" applyAlignment="1">
      <alignment horizontal="center"/>
    </xf>
    <xf numFmtId="164" fontId="0" fillId="23" borderId="0" xfId="0" applyNumberFormat="1" applyFill="1"/>
    <xf numFmtId="166" fontId="0" fillId="23" borderId="0" xfId="0" applyNumberFormat="1" applyFill="1"/>
    <xf numFmtId="166" fontId="12" fillId="21" borderId="1" xfId="1" applyNumberFormat="1" applyFont="1" applyFill="1" applyBorder="1" applyAlignment="1">
      <alignment horizontal="center"/>
    </xf>
    <xf numFmtId="164" fontId="13" fillId="0" borderId="1" xfId="1" applyFont="1" applyFill="1" applyBorder="1"/>
    <xf numFmtId="164" fontId="12" fillId="6" borderId="1" xfId="1" applyFont="1" applyFill="1" applyBorder="1"/>
    <xf numFmtId="0" fontId="0" fillId="14" borderId="0" xfId="0" applyFill="1" applyAlignment="1">
      <alignment horizontal="center"/>
    </xf>
    <xf numFmtId="0" fontId="4" fillId="0" borderId="0" xfId="0" applyFont="1"/>
    <xf numFmtId="164" fontId="16" fillId="0" borderId="0" xfId="0" applyNumberFormat="1" applyFont="1"/>
    <xf numFmtId="165" fontId="4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left"/>
    </xf>
    <xf numFmtId="4" fontId="0" fillId="0" borderId="1" xfId="0" applyNumberFormat="1" applyBorder="1"/>
    <xf numFmtId="166" fontId="0" fillId="0" borderId="0" xfId="1" applyNumberFormat="1" applyFont="1"/>
    <xf numFmtId="164" fontId="12" fillId="21" borderId="1" xfId="1" quotePrefix="1" applyFont="1" applyFill="1" applyBorder="1" applyAlignment="1">
      <alignment horizontal="center"/>
    </xf>
    <xf numFmtId="164" fontId="12" fillId="21" borderId="1" xfId="1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164" fontId="0" fillId="0" borderId="0" xfId="1" applyFont="1" applyBorder="1"/>
    <xf numFmtId="0" fontId="4" fillId="0" borderId="6" xfId="0" applyFont="1" applyBorder="1" applyAlignment="1">
      <alignment horizontal="center"/>
    </xf>
    <xf numFmtId="164" fontId="19" fillId="0" borderId="1" xfId="1" applyFont="1" applyFill="1" applyBorder="1"/>
    <xf numFmtId="164" fontId="20" fillId="0" borderId="1" xfId="1" applyFont="1" applyFill="1" applyBorder="1"/>
    <xf numFmtId="165" fontId="4" fillId="16" borderId="1" xfId="0" applyNumberFormat="1" applyFont="1" applyFill="1" applyBorder="1" applyAlignment="1">
      <alignment horizontal="center"/>
    </xf>
    <xf numFmtId="0" fontId="0" fillId="0" borderId="0" xfId="1" applyNumberFormat="1" applyFont="1" applyFill="1" applyBorder="1"/>
    <xf numFmtId="166" fontId="0" fillId="24" borderId="1" xfId="0" applyNumberFormat="1" applyFill="1" applyBorder="1"/>
    <xf numFmtId="164" fontId="0" fillId="24" borderId="1" xfId="0" applyNumberFormat="1" applyFill="1" applyBorder="1"/>
    <xf numFmtId="2" fontId="0" fillId="4" borderId="1" xfId="0" quotePrefix="1" applyNumberFormat="1" applyFill="1" applyBorder="1" applyAlignment="1">
      <alignment horizontal="center"/>
    </xf>
    <xf numFmtId="164" fontId="21" fillId="0" borderId="1" xfId="1" applyFont="1" applyBorder="1"/>
    <xf numFmtId="164" fontId="23" fillId="0" borderId="1" xfId="1" applyFont="1" applyFill="1" applyBorder="1"/>
    <xf numFmtId="164" fontId="24" fillId="10" borderId="0" xfId="1" applyFont="1" applyFill="1"/>
    <xf numFmtId="164" fontId="6" fillId="0" borderId="0" xfId="0" applyNumberFormat="1" applyFont="1"/>
    <xf numFmtId="164" fontId="25" fillId="0" borderId="0" xfId="1" applyFont="1" applyFill="1"/>
    <xf numFmtId="0" fontId="4" fillId="10" borderId="0" xfId="0" applyFont="1" applyFill="1"/>
    <xf numFmtId="0" fontId="0" fillId="10" borderId="0" xfId="0" applyFill="1"/>
    <xf numFmtId="164" fontId="4" fillId="10" borderId="0" xfId="0" applyNumberFormat="1" applyFont="1" applyFill="1"/>
    <xf numFmtId="0" fontId="13" fillId="0" borderId="0" xfId="0" applyFont="1"/>
    <xf numFmtId="0" fontId="22" fillId="10" borderId="1" xfId="0" applyFont="1" applyFill="1" applyBorder="1" applyAlignment="1">
      <alignment horizontal="center"/>
    </xf>
    <xf numFmtId="164" fontId="24" fillId="0" borderId="1" xfId="0" applyNumberFormat="1" applyFont="1" applyBorder="1"/>
    <xf numFmtId="164" fontId="24" fillId="0" borderId="1" xfId="1" applyFont="1" applyBorder="1"/>
    <xf numFmtId="0" fontId="27" fillId="10" borderId="0" xfId="0" applyFont="1" applyFill="1"/>
    <xf numFmtId="164" fontId="27" fillId="10" borderId="0" xfId="0" applyNumberFormat="1" applyFont="1" applyFill="1"/>
    <xf numFmtId="0" fontId="28" fillId="10" borderId="0" xfId="0" applyFont="1" applyFill="1"/>
    <xf numFmtId="164" fontId="28" fillId="10" borderId="0" xfId="0" applyNumberFormat="1" applyFont="1" applyFill="1"/>
    <xf numFmtId="164" fontId="13" fillId="0" borderId="0" xfId="0" applyNumberFormat="1" applyFont="1"/>
    <xf numFmtId="164" fontId="23" fillId="0" borderId="0" xfId="1" applyFont="1" applyFill="1"/>
    <xf numFmtId="164" fontId="16" fillId="0" borderId="1" xfId="0" applyNumberFormat="1" applyFont="1" applyBorder="1"/>
    <xf numFmtId="164" fontId="11" fillId="10" borderId="0" xfId="1" applyFont="1" applyFill="1"/>
    <xf numFmtId="166" fontId="24" fillId="0" borderId="1" xfId="1" applyNumberFormat="1" applyFont="1" applyBorder="1"/>
    <xf numFmtId="166" fontId="24" fillId="3" borderId="1" xfId="1" applyNumberFormat="1" applyFont="1" applyFill="1" applyBorder="1"/>
    <xf numFmtId="0" fontId="0" fillId="0" borderId="0" xfId="0" quotePrefix="1" applyAlignment="1">
      <alignment horizontal="center"/>
    </xf>
    <xf numFmtId="0" fontId="14" fillId="0" borderId="1" xfId="0" applyFont="1" applyBorder="1" applyAlignment="1">
      <alignment horizontal="center"/>
    </xf>
    <xf numFmtId="164" fontId="20" fillId="0" borderId="1" xfId="1" applyFont="1" applyBorder="1"/>
    <xf numFmtId="164" fontId="24" fillId="3" borderId="1" xfId="0" applyNumberFormat="1" applyFont="1" applyFill="1" applyBorder="1"/>
    <xf numFmtId="164" fontId="20" fillId="3" borderId="1" xfId="1" applyFont="1" applyFill="1" applyBorder="1"/>
    <xf numFmtId="0" fontId="29" fillId="0" borderId="1" xfId="0" applyFont="1" applyBorder="1"/>
    <xf numFmtId="0" fontId="29" fillId="0" borderId="1" xfId="0" applyFont="1" applyBorder="1" applyAlignment="1">
      <alignment horizontal="center"/>
    </xf>
    <xf numFmtId="164" fontId="29" fillId="0" borderId="1" xfId="1" applyFont="1" applyBorder="1"/>
    <xf numFmtId="43" fontId="0" fillId="0" borderId="1" xfId="0" applyNumberFormat="1" applyBorder="1"/>
    <xf numFmtId="165" fontId="4" fillId="0" borderId="9" xfId="0" applyNumberFormat="1" applyFont="1" applyBorder="1" applyAlignment="1">
      <alignment horizontal="center"/>
    </xf>
    <xf numFmtId="0" fontId="4" fillId="10" borderId="0" xfId="0" applyFont="1" applyFill="1" applyAlignment="1">
      <alignment horizontal="center"/>
    </xf>
    <xf numFmtId="166" fontId="4" fillId="0" borderId="1" xfId="0" applyNumberFormat="1" applyFont="1" applyBorder="1"/>
    <xf numFmtId="164" fontId="4" fillId="0" borderId="1" xfId="1" applyFont="1" applyBorder="1"/>
    <xf numFmtId="166" fontId="4" fillId="0" borderId="1" xfId="1" applyNumberFormat="1" applyFont="1" applyBorder="1"/>
    <xf numFmtId="166" fontId="4" fillId="0" borderId="0" xfId="0" applyNumberFormat="1" applyFont="1"/>
    <xf numFmtId="0" fontId="4" fillId="24" borderId="1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43" fontId="4" fillId="0" borderId="1" xfId="0" applyNumberFormat="1" applyFont="1" applyBorder="1"/>
    <xf numFmtId="0" fontId="4" fillId="2" borderId="1" xfId="0" applyFont="1" applyFill="1" applyBorder="1" applyAlignment="1">
      <alignment horizontal="center"/>
    </xf>
    <xf numFmtId="0" fontId="32" fillId="0" borderId="1" xfId="0" applyFont="1" applyBorder="1" applyAlignment="1">
      <alignment horizontal="center"/>
    </xf>
    <xf numFmtId="3" fontId="0" fillId="0" borderId="1" xfId="0" applyNumberFormat="1" applyBorder="1"/>
    <xf numFmtId="3" fontId="0" fillId="2" borderId="1" xfId="0" applyNumberFormat="1" applyFill="1" applyBorder="1"/>
    <xf numFmtId="0" fontId="4" fillId="17" borderId="1" xfId="0" applyFont="1" applyFill="1" applyBorder="1" applyAlignment="1">
      <alignment horizontal="center"/>
    </xf>
    <xf numFmtId="3" fontId="32" fillId="0" borderId="1" xfId="0" applyNumberFormat="1" applyFont="1" applyBorder="1"/>
    <xf numFmtId="166" fontId="31" fillId="0" borderId="1" xfId="1" applyNumberFormat="1" applyFont="1" applyBorder="1"/>
    <xf numFmtId="166" fontId="13" fillId="0" borderId="1" xfId="1" applyNumberFormat="1" applyFont="1" applyBorder="1"/>
    <xf numFmtId="166" fontId="13" fillId="2" borderId="1" xfId="1" applyNumberFormat="1" applyFont="1" applyFill="1" applyBorder="1"/>
    <xf numFmtId="43" fontId="31" fillId="0" borderId="1" xfId="0" applyNumberFormat="1" applyFont="1" applyBorder="1"/>
    <xf numFmtId="4" fontId="0" fillId="2" borderId="1" xfId="0" applyNumberFormat="1" applyFill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/>
    <xf numFmtId="165" fontId="0" fillId="0" borderId="1" xfId="0" applyNumberFormat="1" applyBorder="1"/>
    <xf numFmtId="169" fontId="0" fillId="0" borderId="1" xfId="0" applyNumberFormat="1" applyBorder="1" applyAlignment="1">
      <alignment horizontal="center"/>
    </xf>
    <xf numFmtId="1" fontId="0" fillId="0" borderId="0" xfId="0" applyNumberFormat="1"/>
    <xf numFmtId="170" fontId="0" fillId="0" borderId="0" xfId="0" applyNumberFormat="1"/>
    <xf numFmtId="10" fontId="0" fillId="0" borderId="0" xfId="2" applyNumberFormat="1" applyFont="1"/>
    <xf numFmtId="43" fontId="0" fillId="0" borderId="0" xfId="0" applyNumberFormat="1"/>
    <xf numFmtId="166" fontId="33" fillId="0" borderId="0" xfId="0" applyNumberFormat="1" applyFont="1"/>
    <xf numFmtId="43" fontId="4" fillId="0" borderId="0" xfId="0" applyNumberFormat="1" applyFont="1"/>
    <xf numFmtId="164" fontId="0" fillId="0" borderId="12" xfId="0" applyNumberFormat="1" applyBorder="1"/>
    <xf numFmtId="166" fontId="12" fillId="0" borderId="1" xfId="1" applyNumberFormat="1" applyFont="1" applyFill="1" applyBorder="1"/>
    <xf numFmtId="0" fontId="34" fillId="0" borderId="1" xfId="0" applyFont="1" applyBorder="1" applyAlignment="1">
      <alignment horizontal="center"/>
    </xf>
    <xf numFmtId="166" fontId="29" fillId="25" borderId="1" xfId="1" applyNumberFormat="1" applyFont="1" applyFill="1" applyBorder="1"/>
    <xf numFmtId="164" fontId="29" fillId="25" borderId="1" xfId="1" applyFont="1" applyFill="1" applyBorder="1"/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2" fontId="10" fillId="4" borderId="1" xfId="0" quotePrefix="1" applyNumberFormat="1" applyFont="1" applyFill="1" applyBorder="1" applyAlignment="1">
      <alignment horizontal="center"/>
    </xf>
    <xf numFmtId="0" fontId="10" fillId="4" borderId="1" xfId="0" quotePrefix="1" applyFont="1" applyFill="1" applyBorder="1" applyAlignment="1">
      <alignment horizontal="center"/>
    </xf>
    <xf numFmtId="2" fontId="10" fillId="4" borderId="1" xfId="0" applyNumberFormat="1" applyFont="1" applyFill="1" applyBorder="1" applyAlignment="1">
      <alignment horizontal="center"/>
    </xf>
    <xf numFmtId="0" fontId="10" fillId="0" borderId="1" xfId="0" quotePrefix="1" applyFont="1" applyBorder="1" applyAlignment="1">
      <alignment horizontal="center"/>
    </xf>
    <xf numFmtId="0" fontId="10" fillId="0" borderId="0" xfId="0" applyFont="1"/>
    <xf numFmtId="2" fontId="10" fillId="0" borderId="1" xfId="1" applyNumberFormat="1" applyFont="1" applyBorder="1" applyAlignment="1">
      <alignment horizontal="center"/>
    </xf>
    <xf numFmtId="0" fontId="10" fillId="0" borderId="1" xfId="1" quotePrefix="1" applyNumberFormat="1" applyFont="1" applyBorder="1" applyAlignment="1">
      <alignment horizontal="center"/>
    </xf>
    <xf numFmtId="166" fontId="10" fillId="4" borderId="1" xfId="1" applyNumberFormat="1" applyFont="1" applyFill="1" applyBorder="1" applyAlignment="1">
      <alignment horizontal="center"/>
    </xf>
    <xf numFmtId="0" fontId="35" fillId="0" borderId="0" xfId="0" applyFont="1" applyAlignment="1">
      <alignment horizontal="right" wrapText="1"/>
    </xf>
    <xf numFmtId="3" fontId="35" fillId="0" borderId="0" xfId="0" applyNumberFormat="1" applyFont="1" applyAlignment="1">
      <alignment horizontal="right" wrapText="1"/>
    </xf>
    <xf numFmtId="3" fontId="35" fillId="0" borderId="1" xfId="0" applyNumberFormat="1" applyFont="1" applyBorder="1" applyAlignment="1">
      <alignment horizontal="right" wrapText="1"/>
    </xf>
    <xf numFmtId="0" fontId="35" fillId="0" borderId="1" xfId="0" applyFont="1" applyBorder="1" applyAlignment="1">
      <alignment horizontal="right" wrapText="1"/>
    </xf>
    <xf numFmtId="4" fontId="1" fillId="0" borderId="0" xfId="0" applyNumberFormat="1" applyFont="1" applyAlignment="1">
      <alignment horizontal="right" wrapText="1"/>
    </xf>
    <xf numFmtId="166" fontId="0" fillId="0" borderId="0" xfId="1" applyNumberFormat="1" applyFont="1" applyFill="1" applyBorder="1" applyAlignment="1">
      <alignment horizontal="center"/>
    </xf>
    <xf numFmtId="164" fontId="0" fillId="4" borderId="1" xfId="1" applyFont="1" applyFill="1" applyBorder="1" applyAlignment="1">
      <alignment horizontal="center"/>
    </xf>
    <xf numFmtId="164" fontId="0" fillId="4" borderId="1" xfId="1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0" xfId="1" applyFont="1" applyAlignment="1">
      <alignment horizontal="right" wrapText="1"/>
    </xf>
    <xf numFmtId="2" fontId="1" fillId="0" borderId="0" xfId="0" applyNumberFormat="1" applyFont="1" applyAlignment="1">
      <alignment horizontal="right" wrapText="1"/>
    </xf>
    <xf numFmtId="0" fontId="1" fillId="0" borderId="1" xfId="0" applyFont="1" applyBorder="1" applyAlignment="1">
      <alignment horizontal="left"/>
    </xf>
    <xf numFmtId="43" fontId="1" fillId="0" borderId="1" xfId="0" applyNumberFormat="1" applyFont="1" applyBorder="1"/>
    <xf numFmtId="0" fontId="0" fillId="5" borderId="7" xfId="0" applyFill="1" applyBorder="1"/>
    <xf numFmtId="164" fontId="0" fillId="0" borderId="9" xfId="1" applyFont="1" applyBorder="1"/>
    <xf numFmtId="166" fontId="12" fillId="0" borderId="9" xfId="1" applyNumberFormat="1" applyFont="1" applyBorder="1"/>
    <xf numFmtId="0" fontId="36" fillId="0" borderId="0" xfId="0" applyFont="1" applyAlignment="1">
      <alignment wrapText="1"/>
    </xf>
    <xf numFmtId="43" fontId="13" fillId="0" borderId="1" xfId="1" applyNumberFormat="1" applyFont="1" applyBorder="1"/>
    <xf numFmtId="4" fontId="36" fillId="0" borderId="0" xfId="0" applyNumberFormat="1" applyFont="1" applyAlignment="1">
      <alignment wrapText="1"/>
    </xf>
    <xf numFmtId="0" fontId="36" fillId="0" borderId="13" xfId="0" applyFont="1" applyBorder="1" applyAlignment="1">
      <alignment wrapText="1"/>
    </xf>
    <xf numFmtId="0" fontId="0" fillId="4" borderId="7" xfId="0" applyFill="1" applyBorder="1" applyAlignment="1">
      <alignment horizontal="center"/>
    </xf>
    <xf numFmtId="164" fontId="0" fillId="0" borderId="13" xfId="0" applyNumberFormat="1" applyBorder="1"/>
    <xf numFmtId="0" fontId="1" fillId="0" borderId="0" xfId="0" applyFont="1" applyAlignment="1">
      <alignment horizontal="center"/>
    </xf>
    <xf numFmtId="43" fontId="1" fillId="0" borderId="13" xfId="0" applyNumberFormat="1" applyFont="1" applyBorder="1"/>
    <xf numFmtId="43" fontId="1" fillId="0" borderId="5" xfId="0" applyNumberFormat="1" applyFont="1" applyBorder="1"/>
    <xf numFmtId="0" fontId="39" fillId="0" borderId="1" xfId="0" applyFont="1" applyBorder="1" applyAlignment="1">
      <alignment horizontal="center"/>
    </xf>
    <xf numFmtId="43" fontId="39" fillId="0" borderId="6" xfId="0" applyNumberFormat="1" applyFont="1" applyBorder="1"/>
    <xf numFmtId="0" fontId="41" fillId="0" borderId="1" xfId="0" applyFont="1" applyBorder="1" applyAlignment="1">
      <alignment horizontal="center"/>
    </xf>
    <xf numFmtId="2" fontId="12" fillId="4" borderId="1" xfId="0" quotePrefix="1" applyNumberFormat="1" applyFont="1" applyFill="1" applyBorder="1" applyAlignment="1">
      <alignment horizontal="center"/>
    </xf>
    <xf numFmtId="2" fontId="12" fillId="4" borderId="1" xfId="0" applyNumberFormat="1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1" xfId="0" quotePrefix="1" applyFont="1" applyFill="1" applyBorder="1" applyAlignment="1">
      <alignment horizontal="center"/>
    </xf>
    <xf numFmtId="0" fontId="12" fillId="0" borderId="1" xfId="1" applyNumberFormat="1" applyFont="1" applyBorder="1" applyAlignment="1">
      <alignment horizontal="center"/>
    </xf>
    <xf numFmtId="0" fontId="12" fillId="0" borderId="1" xfId="0" quotePrefix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29" fillId="0" borderId="1" xfId="1" applyFont="1" applyFill="1" applyBorder="1"/>
    <xf numFmtId="164" fontId="12" fillId="0" borderId="9" xfId="1" applyFont="1" applyBorder="1"/>
    <xf numFmtId="1" fontId="12" fillId="4" borderId="1" xfId="1" applyNumberFormat="1" applyFont="1" applyFill="1" applyBorder="1" applyAlignment="1">
      <alignment horizontal="center"/>
    </xf>
    <xf numFmtId="164" fontId="12" fillId="4" borderId="1" xfId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40" fillId="0" borderId="13" xfId="0" applyNumberFormat="1" applyFont="1" applyBorder="1"/>
    <xf numFmtId="166" fontId="40" fillId="24" borderId="1" xfId="0" applyNumberFormat="1" applyFont="1" applyFill="1" applyBorder="1"/>
    <xf numFmtId="0" fontId="40" fillId="10" borderId="1" xfId="0" applyFont="1" applyFill="1" applyBorder="1" applyAlignment="1">
      <alignment horizontal="center"/>
    </xf>
    <xf numFmtId="164" fontId="40" fillId="10" borderId="1" xfId="0" applyNumberFormat="1" applyFont="1" applyFill="1" applyBorder="1"/>
    <xf numFmtId="166" fontId="0" fillId="4" borderId="1" xfId="1" applyNumberFormat="1" applyFont="1" applyFill="1" applyBorder="1" applyAlignment="1"/>
    <xf numFmtId="0" fontId="42" fillId="0" borderId="0" xfId="0" applyFont="1" applyAlignment="1">
      <alignment horizontal="center" vertical="center"/>
    </xf>
    <xf numFmtId="3" fontId="0" fillId="0" borderId="13" xfId="0" applyNumberFormat="1" applyBorder="1"/>
    <xf numFmtId="0" fontId="0" fillId="5" borderId="13" xfId="0" applyFill="1" applyBorder="1"/>
    <xf numFmtId="0" fontId="4" fillId="0" borderId="7" xfId="0" applyFont="1" applyBorder="1" applyAlignment="1">
      <alignment horizontal="center"/>
    </xf>
    <xf numFmtId="0" fontId="0" fillId="17" borderId="7" xfId="0" applyFill="1" applyBorder="1" applyAlignment="1">
      <alignment horizontal="center"/>
    </xf>
    <xf numFmtId="0" fontId="42" fillId="10" borderId="13" xfId="0" applyFont="1" applyFill="1" applyBorder="1" applyAlignment="1">
      <alignment horizontal="center"/>
    </xf>
    <xf numFmtId="3" fontId="42" fillId="10" borderId="13" xfId="0" applyNumberFormat="1" applyFont="1" applyFill="1" applyBorder="1"/>
    <xf numFmtId="0" fontId="4" fillId="23" borderId="7" xfId="0" applyFont="1" applyFill="1" applyBorder="1" applyAlignment="1">
      <alignment horizontal="center"/>
    </xf>
    <xf numFmtId="3" fontId="0" fillId="23" borderId="13" xfId="0" applyNumberFormat="1" applyFill="1" applyBorder="1"/>
    <xf numFmtId="0" fontId="0" fillId="0" borderId="7" xfId="0" applyBorder="1" applyAlignment="1">
      <alignment horizontal="center"/>
    </xf>
    <xf numFmtId="0" fontId="4" fillId="26" borderId="7" xfId="0" applyFont="1" applyFill="1" applyBorder="1" applyAlignment="1">
      <alignment horizontal="center"/>
    </xf>
    <xf numFmtId="3" fontId="0" fillId="26" borderId="13" xfId="0" applyNumberFormat="1" applyFill="1" applyBorder="1"/>
    <xf numFmtId="0" fontId="0" fillId="0" borderId="13" xfId="0" applyBorder="1"/>
    <xf numFmtId="168" fontId="0" fillId="0" borderId="13" xfId="0" applyNumberFormat="1" applyBorder="1"/>
    <xf numFmtId="0" fontId="0" fillId="0" borderId="14" xfId="0" applyBorder="1"/>
    <xf numFmtId="2" fontId="0" fillId="0" borderId="14" xfId="0" applyNumberFormat="1" applyBorder="1"/>
    <xf numFmtId="0" fontId="0" fillId="5" borderId="14" xfId="0" applyFill="1" applyBorder="1"/>
    <xf numFmtId="168" fontId="0" fillId="0" borderId="14" xfId="0" applyNumberFormat="1" applyBorder="1"/>
    <xf numFmtId="43" fontId="0" fillId="0" borderId="13" xfId="0" applyNumberFormat="1" applyBorder="1"/>
    <xf numFmtId="0" fontId="0" fillId="0" borderId="13" xfId="0" applyBorder="1" applyAlignment="1">
      <alignment horizontal="right"/>
    </xf>
    <xf numFmtId="0" fontId="42" fillId="14" borderId="13" xfId="0" applyFont="1" applyFill="1" applyBorder="1" applyAlignment="1">
      <alignment horizontal="center"/>
    </xf>
    <xf numFmtId="3" fontId="42" fillId="14" borderId="13" xfId="0" applyNumberFormat="1" applyFont="1" applyFill="1" applyBorder="1"/>
    <xf numFmtId="43" fontId="37" fillId="14" borderId="13" xfId="0" applyNumberFormat="1" applyFont="1" applyFill="1" applyBorder="1"/>
    <xf numFmtId="0" fontId="42" fillId="24" borderId="13" xfId="0" applyFont="1" applyFill="1" applyBorder="1" applyAlignment="1">
      <alignment horizontal="center"/>
    </xf>
    <xf numFmtId="3" fontId="42" fillId="24" borderId="13" xfId="0" applyNumberFormat="1" applyFont="1" applyFill="1" applyBorder="1"/>
    <xf numFmtId="43" fontId="37" fillId="24" borderId="13" xfId="0" applyNumberFormat="1" applyFont="1" applyFill="1" applyBorder="1"/>
    <xf numFmtId="3" fontId="42" fillId="0" borderId="13" xfId="0" applyNumberFormat="1" applyFont="1" applyBorder="1"/>
    <xf numFmtId="2" fontId="0" fillId="0" borderId="14" xfId="0" applyNumberFormat="1" applyBorder="1" applyAlignment="1">
      <alignment horizontal="right"/>
    </xf>
    <xf numFmtId="0" fontId="43" fillId="0" borderId="1" xfId="0" quotePrefix="1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169" fontId="43" fillId="0" borderId="1" xfId="0" quotePrefix="1" applyNumberFormat="1" applyFont="1" applyBorder="1" applyAlignment="1">
      <alignment horizontal="center"/>
    </xf>
    <xf numFmtId="169" fontId="0" fillId="0" borderId="13" xfId="0" applyNumberFormat="1" applyBorder="1"/>
    <xf numFmtId="3" fontId="40" fillId="10" borderId="13" xfId="0" applyNumberFormat="1" applyFont="1" applyFill="1" applyBorder="1"/>
    <xf numFmtId="2" fontId="40" fillId="10" borderId="13" xfId="0" applyNumberFormat="1" applyFont="1" applyFill="1" applyBorder="1"/>
    <xf numFmtId="168" fontId="40" fillId="10" borderId="13" xfId="0" applyNumberFormat="1" applyFont="1" applyFill="1" applyBorder="1"/>
    <xf numFmtId="43" fontId="40" fillId="10" borderId="13" xfId="0" applyNumberFormat="1" applyFont="1" applyFill="1" applyBorder="1"/>
    <xf numFmtId="3" fontId="37" fillId="14" borderId="13" xfId="0" applyNumberFormat="1" applyFont="1" applyFill="1" applyBorder="1"/>
    <xf numFmtId="3" fontId="37" fillId="24" borderId="13" xfId="0" applyNumberFormat="1" applyFont="1" applyFill="1" applyBorder="1"/>
    <xf numFmtId="0" fontId="42" fillId="17" borderId="13" xfId="0" applyFont="1" applyFill="1" applyBorder="1" applyAlignment="1">
      <alignment horizontal="center" vertical="center"/>
    </xf>
    <xf numFmtId="0" fontId="0" fillId="0" borderId="15" xfId="0" applyBorder="1"/>
    <xf numFmtId="168" fontId="0" fillId="0" borderId="16" xfId="0" applyNumberFormat="1" applyBorder="1"/>
    <xf numFmtId="0" fontId="0" fillId="0" borderId="16" xfId="0" applyBorder="1"/>
    <xf numFmtId="0" fontId="42" fillId="17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right"/>
    </xf>
    <xf numFmtId="168" fontId="37" fillId="14" borderId="13" xfId="0" applyNumberFormat="1" applyFont="1" applyFill="1" applyBorder="1"/>
    <xf numFmtId="168" fontId="37" fillId="24" borderId="13" xfId="0" applyNumberFormat="1" applyFont="1" applyFill="1" applyBorder="1"/>
    <xf numFmtId="0" fontId="42" fillId="24" borderId="17" xfId="0" applyFont="1" applyFill="1" applyBorder="1" applyAlignment="1">
      <alignment horizontal="center" vertical="center" wrapText="1"/>
    </xf>
    <xf numFmtId="0" fontId="0" fillId="23" borderId="13" xfId="0" applyFill="1" applyBorder="1"/>
    <xf numFmtId="0" fontId="0" fillId="12" borderId="13" xfId="0" applyFill="1" applyBorder="1"/>
    <xf numFmtId="3" fontId="0" fillId="0" borderId="13" xfId="0" applyNumberFormat="1" applyBorder="1" applyAlignment="1">
      <alignment horizontal="right"/>
    </xf>
    <xf numFmtId="168" fontId="10" fillId="0" borderId="13" xfId="0" applyNumberFormat="1" applyFont="1" applyBorder="1"/>
    <xf numFmtId="0" fontId="43" fillId="0" borderId="1" xfId="1" applyNumberFormat="1" applyFont="1" applyBorder="1" applyAlignment="1">
      <alignment horizontal="center"/>
    </xf>
    <xf numFmtId="0" fontId="42" fillId="24" borderId="0" xfId="0" applyFont="1" applyFill="1" applyAlignment="1">
      <alignment horizontal="center" vertical="center" wrapText="1"/>
    </xf>
    <xf numFmtId="168" fontId="0" fillId="0" borderId="0" xfId="0" applyNumberFormat="1"/>
    <xf numFmtId="4" fontId="0" fillId="0" borderId="0" xfId="0" applyNumberFormat="1"/>
    <xf numFmtId="168" fontId="0" fillId="12" borderId="13" xfId="0" applyNumberFormat="1" applyFill="1" applyBorder="1"/>
    <xf numFmtId="164" fontId="40" fillId="0" borderId="0" xfId="0" applyNumberFormat="1" applyFont="1"/>
    <xf numFmtId="0" fontId="40" fillId="10" borderId="13" xfId="0" applyFont="1" applyFill="1" applyBorder="1" applyAlignment="1">
      <alignment horizontal="center"/>
    </xf>
    <xf numFmtId="164" fontId="40" fillId="10" borderId="13" xfId="0" applyNumberFormat="1" applyFont="1" applyFill="1" applyBorder="1"/>
    <xf numFmtId="164" fontId="45" fillId="0" borderId="13" xfId="0" applyNumberFormat="1" applyFont="1" applyBorder="1"/>
    <xf numFmtId="0" fontId="0" fillId="4" borderId="5" xfId="0" applyFill="1" applyBorder="1" applyAlignment="1">
      <alignment horizontal="center"/>
    </xf>
    <xf numFmtId="164" fontId="0" fillId="0" borderId="5" xfId="0" applyNumberFormat="1" applyBorder="1"/>
    <xf numFmtId="164" fontId="0" fillId="3" borderId="5" xfId="0" applyNumberFormat="1" applyFill="1" applyBorder="1"/>
    <xf numFmtId="0" fontId="46" fillId="0" borderId="1" xfId="0" applyFont="1" applyBorder="1" applyAlignment="1">
      <alignment horizontal="center"/>
    </xf>
    <xf numFmtId="0" fontId="46" fillId="10" borderId="1" xfId="0" applyFont="1" applyFill="1" applyBorder="1" applyAlignment="1">
      <alignment horizontal="center"/>
    </xf>
    <xf numFmtId="0" fontId="46" fillId="10" borderId="1" xfId="0" quotePrefix="1" applyFont="1" applyFill="1" applyBorder="1" applyAlignment="1">
      <alignment horizontal="center"/>
    </xf>
    <xf numFmtId="164" fontId="46" fillId="0" borderId="1" xfId="1" applyFont="1" applyBorder="1"/>
    <xf numFmtId="164" fontId="46" fillId="0" borderId="13" xfId="1" applyFont="1" applyBorder="1"/>
    <xf numFmtId="2" fontId="26" fillId="10" borderId="7" xfId="0" applyNumberFormat="1" applyFont="1" applyFill="1" applyBorder="1" applyAlignment="1">
      <alignment horizontal="center"/>
    </xf>
    <xf numFmtId="164" fontId="21" fillId="0" borderId="9" xfId="1" applyFont="1" applyBorder="1"/>
    <xf numFmtId="164" fontId="18" fillId="0" borderId="13" xfId="1" applyFont="1" applyBorder="1"/>
    <xf numFmtId="164" fontId="18" fillId="24" borderId="13" xfId="1" applyFont="1" applyFill="1" applyBorder="1"/>
    <xf numFmtId="0" fontId="0" fillId="4" borderId="7" xfId="0" quotePrefix="1" applyFill="1" applyBorder="1" applyAlignment="1">
      <alignment horizontal="center"/>
    </xf>
    <xf numFmtId="164" fontId="23" fillId="0" borderId="9" xfId="1" applyFont="1" applyFill="1" applyBorder="1"/>
    <xf numFmtId="164" fontId="47" fillId="0" borderId="1" xfId="1" applyFont="1" applyBorder="1"/>
    <xf numFmtId="0" fontId="48" fillId="10" borderId="1" xfId="0" applyFont="1" applyFill="1" applyBorder="1" applyAlignment="1">
      <alignment horizontal="center"/>
    </xf>
    <xf numFmtId="43" fontId="0" fillId="0" borderId="1" xfId="1" applyNumberFormat="1" applyFont="1" applyFill="1" applyBorder="1"/>
    <xf numFmtId="0" fontId="47" fillId="0" borderId="1" xfId="0" applyFont="1" applyBorder="1" applyAlignment="1">
      <alignment horizontal="center"/>
    </xf>
    <xf numFmtId="164" fontId="46" fillId="10" borderId="1" xfId="1" applyFont="1" applyFill="1" applyBorder="1"/>
    <xf numFmtId="164" fontId="47" fillId="10" borderId="1" xfId="1" applyFont="1" applyFill="1" applyBorder="1"/>
    <xf numFmtId="43" fontId="47" fillId="10" borderId="1" xfId="0" applyNumberFormat="1" applyFont="1" applyFill="1" applyBorder="1" applyAlignment="1">
      <alignment horizontal="center"/>
    </xf>
    <xf numFmtId="0" fontId="42" fillId="0" borderId="13" xfId="0" applyFont="1" applyBorder="1"/>
    <xf numFmtId="43" fontId="42" fillId="0" borderId="13" xfId="0" applyNumberFormat="1" applyFont="1" applyBorder="1"/>
    <xf numFmtId="164" fontId="33" fillId="0" borderId="0" xfId="0" applyNumberFormat="1" applyFont="1"/>
    <xf numFmtId="164" fontId="9" fillId="0" borderId="13" xfId="0" applyNumberFormat="1" applyFont="1" applyBorder="1"/>
    <xf numFmtId="0" fontId="49" fillId="10" borderId="13" xfId="0" applyFont="1" applyFill="1" applyBorder="1" applyAlignment="1">
      <alignment horizontal="center"/>
    </xf>
    <xf numFmtId="164" fontId="50" fillId="10" borderId="13" xfId="0" applyNumberFormat="1" applyFont="1" applyFill="1" applyBorder="1"/>
    <xf numFmtId="43" fontId="0" fillId="12" borderId="13" xfId="0" applyNumberFormat="1" applyFill="1" applyBorder="1"/>
    <xf numFmtId="168" fontId="0" fillId="0" borderId="17" xfId="0" applyNumberFormat="1" applyBorder="1"/>
    <xf numFmtId="3" fontId="10" fillId="0" borderId="13" xfId="0" applyNumberFormat="1" applyFont="1" applyBorder="1"/>
    <xf numFmtId="2" fontId="0" fillId="12" borderId="14" xfId="0" applyNumberFormat="1" applyFill="1" applyBorder="1"/>
    <xf numFmtId="166" fontId="47" fillId="0" borderId="1" xfId="1" applyNumberFormat="1" applyFont="1" applyBorder="1"/>
    <xf numFmtId="2" fontId="47" fillId="10" borderId="1" xfId="0" applyNumberFormat="1" applyFont="1" applyFill="1" applyBorder="1"/>
    <xf numFmtId="1" fontId="47" fillId="10" borderId="1" xfId="0" applyNumberFormat="1" applyFont="1" applyFill="1" applyBorder="1" applyAlignment="1">
      <alignment horizontal="center"/>
    </xf>
    <xf numFmtId="2" fontId="47" fillId="10" borderId="1" xfId="0" applyNumberFormat="1" applyFont="1" applyFill="1" applyBorder="1" applyAlignment="1">
      <alignment horizontal="center"/>
    </xf>
    <xf numFmtId="0" fontId="47" fillId="10" borderId="0" xfId="0" applyFont="1" applyFill="1"/>
    <xf numFmtId="0" fontId="29" fillId="17" borderId="18" xfId="0" applyFont="1" applyFill="1" applyBorder="1"/>
    <xf numFmtId="0" fontId="29" fillId="0" borderId="19" xfId="0" applyFont="1" applyBorder="1" applyAlignment="1">
      <alignment horizontal="center"/>
    </xf>
    <xf numFmtId="164" fontId="29" fillId="0" borderId="19" xfId="1" applyFont="1" applyFill="1" applyBorder="1"/>
    <xf numFmtId="164" fontId="29" fillId="0" borderId="19" xfId="1" applyFont="1" applyBorder="1"/>
    <xf numFmtId="164" fontId="29" fillId="0" borderId="20" xfId="1" applyFont="1" applyBorder="1"/>
    <xf numFmtId="0" fontId="29" fillId="17" borderId="21" xfId="0" applyFont="1" applyFill="1" applyBorder="1"/>
    <xf numFmtId="0" fontId="29" fillId="17" borderId="22" xfId="0" applyFont="1" applyFill="1" applyBorder="1"/>
    <xf numFmtId="0" fontId="29" fillId="0" borderId="23" xfId="0" applyFont="1" applyBorder="1" applyAlignment="1">
      <alignment horizontal="center"/>
    </xf>
    <xf numFmtId="166" fontId="29" fillId="0" borderId="23" xfId="1" applyNumberFormat="1" applyFont="1" applyFill="1" applyBorder="1"/>
    <xf numFmtId="0" fontId="29" fillId="0" borderId="6" xfId="0" applyFont="1" applyBorder="1"/>
    <xf numFmtId="0" fontId="29" fillId="0" borderId="6" xfId="0" applyFont="1" applyBorder="1" applyAlignment="1">
      <alignment horizontal="center"/>
    </xf>
    <xf numFmtId="164" fontId="29" fillId="25" borderId="6" xfId="1" applyFont="1" applyFill="1" applyBorder="1"/>
    <xf numFmtId="164" fontId="29" fillId="0" borderId="6" xfId="1" applyFont="1" applyBorder="1"/>
    <xf numFmtId="0" fontId="28" fillId="0" borderId="24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17" fontId="28" fillId="0" borderId="25" xfId="0" applyNumberFormat="1" applyFont="1" applyBorder="1" applyAlignment="1">
      <alignment horizontal="center"/>
    </xf>
    <xf numFmtId="17" fontId="28" fillId="0" borderId="26" xfId="0" applyNumberFormat="1" applyFont="1" applyBorder="1" applyAlignment="1">
      <alignment horizontal="center"/>
    </xf>
    <xf numFmtId="0" fontId="29" fillId="17" borderId="27" xfId="0" applyFont="1" applyFill="1" applyBorder="1"/>
    <xf numFmtId="164" fontId="29" fillId="0" borderId="6" xfId="1" applyFont="1" applyFill="1" applyBorder="1"/>
    <xf numFmtId="164" fontId="29" fillId="0" borderId="28" xfId="1" applyFont="1" applyBorder="1"/>
    <xf numFmtId="166" fontId="29" fillId="0" borderId="6" xfId="1" applyNumberFormat="1" applyFont="1" applyFill="1" applyBorder="1"/>
    <xf numFmtId="0" fontId="42" fillId="0" borderId="0" xfId="0" applyFont="1" applyAlignment="1">
      <alignment horizontal="center"/>
    </xf>
    <xf numFmtId="0" fontId="42" fillId="0" borderId="29" xfId="0" applyFont="1" applyBorder="1"/>
    <xf numFmtId="169" fontId="42" fillId="0" borderId="13" xfId="0" applyNumberFormat="1" applyFont="1" applyBorder="1" applyAlignment="1">
      <alignment horizontal="center" vertical="center"/>
    </xf>
    <xf numFmtId="164" fontId="29" fillId="0" borderId="30" xfId="1" applyFont="1" applyFill="1" applyBorder="1"/>
    <xf numFmtId="164" fontId="29" fillId="0" borderId="30" xfId="1" applyFont="1" applyBorder="1"/>
    <xf numFmtId="164" fontId="29" fillId="0" borderId="31" xfId="1" applyFont="1" applyBorder="1"/>
    <xf numFmtId="0" fontId="28" fillId="0" borderId="32" xfId="0" applyFont="1" applyBorder="1" applyAlignment="1">
      <alignment horizontal="center"/>
    </xf>
    <xf numFmtId="0" fontId="28" fillId="0" borderId="33" xfId="0" applyFont="1" applyBorder="1" applyAlignment="1">
      <alignment horizontal="center"/>
    </xf>
    <xf numFmtId="17" fontId="28" fillId="0" borderId="33" xfId="0" applyNumberFormat="1" applyFont="1" applyBorder="1" applyAlignment="1">
      <alignment horizontal="center"/>
    </xf>
    <xf numFmtId="17" fontId="28" fillId="0" borderId="34" xfId="0" applyNumberFormat="1" applyFont="1" applyBorder="1" applyAlignment="1">
      <alignment horizontal="center"/>
    </xf>
    <xf numFmtId="164" fontId="29" fillId="0" borderId="25" xfId="1" applyFont="1" applyBorder="1"/>
    <xf numFmtId="164" fontId="29" fillId="0" borderId="26" xfId="1" applyFont="1" applyBorder="1"/>
    <xf numFmtId="9" fontId="0" fillId="0" borderId="0" xfId="0" applyNumberFormat="1"/>
    <xf numFmtId="9" fontId="47" fillId="0" borderId="0" xfId="0" applyNumberFormat="1" applyFont="1" applyAlignment="1">
      <alignment horizontal="center" vertical="center"/>
    </xf>
    <xf numFmtId="0" fontId="0" fillId="0" borderId="17" xfId="0" applyBorder="1"/>
    <xf numFmtId="0" fontId="4" fillId="6" borderId="1" xfId="0" applyFont="1" applyFill="1" applyBorder="1" applyAlignment="1">
      <alignment horizontal="center"/>
    </xf>
    <xf numFmtId="164" fontId="0" fillId="6" borderId="1" xfId="1" applyFont="1" applyFill="1" applyBorder="1"/>
    <xf numFmtId="0" fontId="0" fillId="0" borderId="1" xfId="1" applyNumberFormat="1" applyFont="1" applyBorder="1"/>
    <xf numFmtId="166" fontId="0" fillId="3" borderId="9" xfId="0" applyNumberFormat="1" applyFill="1" applyBorder="1"/>
    <xf numFmtId="164" fontId="0" fillId="0" borderId="0" xfId="1" applyFont="1" applyFill="1"/>
    <xf numFmtId="0" fontId="0" fillId="0" borderId="1" xfId="1" applyNumberFormat="1" applyFont="1" applyFill="1" applyBorder="1"/>
    <xf numFmtId="0" fontId="6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4" borderId="1" xfId="0" applyFont="1" applyFill="1" applyBorder="1"/>
    <xf numFmtId="164" fontId="13" fillId="4" borderId="1" xfId="1" applyFont="1" applyFill="1" applyBorder="1"/>
    <xf numFmtId="164" fontId="0" fillId="4" borderId="1" xfId="1" quotePrefix="1" applyFont="1" applyFill="1" applyBorder="1" applyAlignment="1">
      <alignment horizontal="center"/>
    </xf>
    <xf numFmtId="2" fontId="42" fillId="0" borderId="13" xfId="0" applyNumberFormat="1" applyFont="1" applyBorder="1" applyAlignment="1">
      <alignment horizontal="center" vertical="center"/>
    </xf>
    <xf numFmtId="3" fontId="0" fillId="0" borderId="0" xfId="0" applyNumberFormat="1"/>
    <xf numFmtId="0" fontId="0" fillId="0" borderId="1" xfId="0" applyBorder="1" applyAlignment="1">
      <alignment horizontal="center"/>
    </xf>
    <xf numFmtId="0" fontId="7" fillId="7" borderId="0" xfId="0" applyFont="1" applyFill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2" fillId="10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15" borderId="10" xfId="0" applyFont="1" applyFill="1" applyBorder="1" applyAlignment="1">
      <alignment horizontal="center"/>
    </xf>
    <xf numFmtId="0" fontId="44" fillId="1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39" fillId="10" borderId="1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19" borderId="10" xfId="0" applyFont="1" applyFill="1" applyBorder="1" applyAlignment="1">
      <alignment horizontal="center"/>
    </xf>
    <xf numFmtId="0" fontId="3" fillId="20" borderId="10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44" fillId="10" borderId="13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" fillId="24" borderId="1" xfId="0" applyFont="1" applyFill="1" applyBorder="1" applyAlignment="1">
      <alignment horizontal="center"/>
    </xf>
    <xf numFmtId="0" fontId="3" fillId="18" borderId="10" xfId="0" applyFont="1" applyFill="1" applyBorder="1" applyAlignment="1">
      <alignment horizontal="center"/>
    </xf>
    <xf numFmtId="0" fontId="44" fillId="10" borderId="13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3" fillId="22" borderId="10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Normal_Sheet1" xfId="3" xr:uid="{D7383B74-9365-4457-817E-3A693A4CB7D8}"/>
    <cellStyle name="Percent" xfId="2" builtinId="5"/>
  </cellStyles>
  <dxfs count="3757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fgColor auto="1"/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7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9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400" b="1"/>
              <a:t>Water withdrawal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0396033156558E-2"/>
          <c:y val="0.12481448531531847"/>
          <c:w val="0.84656516488060118"/>
          <c:h val="0.6971818204854782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'Water withdrawal'!$A$86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174E-4533-AD92-37D5F855994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74E-4533-AD92-37D5F855994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174E-4533-AD92-37D5F855994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74E-4533-AD92-37D5F855994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AD4-4444-B44A-175A1158CC3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24A5-4C3C-84C3-25C506DDDBC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6BE-403B-B3BC-BDB9080C2F9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6BE-403B-B3BC-BDB9080C2F9B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AD4-4444-B44A-175A1158CC35}"/>
              </c:ext>
            </c:extLst>
          </c:dPt>
          <c:dLbls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33-45C7-A671-C425FDAB0D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'Water withdrawal'!$C$84:$S$84</c:f>
              <c:strCache>
                <c:ptCount val="1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Jan-26</c:v>
                </c:pt>
                <c:pt idx="5">
                  <c:v>Feb-26</c:v>
                </c:pt>
                <c:pt idx="6">
                  <c:v>Mar-26</c:v>
                </c:pt>
                <c:pt idx="7">
                  <c:v>Apr-26</c:v>
                </c:pt>
                <c:pt idx="8">
                  <c:v>May-26</c:v>
                </c:pt>
                <c:pt idx="9">
                  <c:v>Jun-26</c:v>
                </c:pt>
                <c:pt idx="10">
                  <c:v>Jul-26</c:v>
                </c:pt>
                <c:pt idx="11">
                  <c:v>Aug-26</c:v>
                </c:pt>
                <c:pt idx="12">
                  <c:v>Sep-26</c:v>
                </c:pt>
                <c:pt idx="13">
                  <c:v>Oct-26</c:v>
                </c:pt>
                <c:pt idx="14">
                  <c:v>Nov-26</c:v>
                </c:pt>
                <c:pt idx="15">
                  <c:v>Dec-26</c:v>
                </c:pt>
                <c:pt idx="16">
                  <c:v>YTD 2026</c:v>
                </c:pt>
              </c:strCache>
            </c:strRef>
          </c:cat>
          <c:val>
            <c:numRef>
              <c:f>'Water withdrawal'!$C$86:$S$86</c:f>
              <c:numCache>
                <c:formatCode>_-* #,##0.00_-;\-* #,##0.00_-;_-* "-"??_-;_-@_-</c:formatCode>
                <c:ptCount val="17"/>
                <c:pt idx="0">
                  <c:v>3.013262924204104</c:v>
                </c:pt>
                <c:pt idx="1">
                  <c:v>2.9758424662630598</c:v>
                </c:pt>
                <c:pt idx="2">
                  <c:v>3.0251207557311637</c:v>
                </c:pt>
                <c:pt idx="3">
                  <c:v>3.1451859125394681</c:v>
                </c:pt>
                <c:pt idx="4">
                  <c:v>3.12</c:v>
                </c:pt>
                <c:pt idx="5">
                  <c:v>3.2250575468683147</c:v>
                </c:pt>
                <c:pt idx="6">
                  <c:v>3.364838848323195</c:v>
                </c:pt>
                <c:pt idx="7">
                  <c:v>3.3522771234063264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3.2590119601299223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1D-424A-99A2-489A8A8E1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2007189760"/>
        <c:axId val="905385584"/>
      </c:barChart>
      <c:lineChart>
        <c:grouping val="standard"/>
        <c:varyColors val="0"/>
        <c:ser>
          <c:idx val="0"/>
          <c:order val="0"/>
          <c:tx>
            <c:strRef>
              <c:f>'Water withdrawal'!$A$85</c:f>
              <c:strCache>
                <c:ptCount val="1"/>
                <c:pt idx="0">
                  <c:v>Target 2024</c:v>
                </c:pt>
              </c:strCache>
            </c:strRef>
          </c:tx>
          <c:spPr>
            <a:ln w="19050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'Water withdrawal'!$C$84:$S$84</c:f>
              <c:strCache>
                <c:ptCount val="1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Jan-26</c:v>
                </c:pt>
                <c:pt idx="5">
                  <c:v>Feb-26</c:v>
                </c:pt>
                <c:pt idx="6">
                  <c:v>Mar-26</c:v>
                </c:pt>
                <c:pt idx="7">
                  <c:v>Apr-26</c:v>
                </c:pt>
                <c:pt idx="8">
                  <c:v>May-26</c:v>
                </c:pt>
                <c:pt idx="9">
                  <c:v>Jun-26</c:v>
                </c:pt>
                <c:pt idx="10">
                  <c:v>Jul-26</c:v>
                </c:pt>
                <c:pt idx="11">
                  <c:v>Aug-26</c:v>
                </c:pt>
                <c:pt idx="12">
                  <c:v>Sep-26</c:v>
                </c:pt>
                <c:pt idx="13">
                  <c:v>Oct-26</c:v>
                </c:pt>
                <c:pt idx="14">
                  <c:v>Nov-26</c:v>
                </c:pt>
                <c:pt idx="15">
                  <c:v>Dec-26</c:v>
                </c:pt>
                <c:pt idx="16">
                  <c:v>YTD 2026</c:v>
                </c:pt>
              </c:strCache>
            </c:strRef>
          </c:cat>
          <c:val>
            <c:numRef>
              <c:f>'Water withdrawal'!$C$85:$S$85</c:f>
              <c:numCache>
                <c:formatCode>General</c:formatCode>
                <c:ptCount val="17"/>
                <c:pt idx="4" formatCode="_-* #,##0.00_-;\-* #,##0.00_-;_-* &quot;-&quot;??_-;_-@_-">
                  <c:v>0</c:v>
                </c:pt>
                <c:pt idx="5" formatCode="_-* #,##0.00_-;\-* #,##0.00_-;_-* &quot;-&quot;??_-;_-@_-">
                  <c:v>0</c:v>
                </c:pt>
                <c:pt idx="6" formatCode="_-* #,##0.00_-;\-* #,##0.00_-;_-* &quot;-&quot;??_-;_-@_-">
                  <c:v>0</c:v>
                </c:pt>
                <c:pt idx="7" formatCode="_-* #,##0.00_-;\-* #,##0.00_-;_-* &quot;-&quot;??_-;_-@_-">
                  <c:v>0</c:v>
                </c:pt>
                <c:pt idx="8" formatCode="_-* #,##0.00_-;\-* #,##0.00_-;_-* &quot;-&quot;??_-;_-@_-">
                  <c:v>0</c:v>
                </c:pt>
                <c:pt idx="9" formatCode="_-* #,##0.00_-;\-* #,##0.00_-;_-* &quot;-&quot;??_-;_-@_-">
                  <c:v>0</c:v>
                </c:pt>
                <c:pt idx="10" formatCode="_-* #,##0.00_-;\-* #,##0.00_-;_-* &quot;-&quot;??_-;_-@_-">
                  <c:v>0</c:v>
                </c:pt>
                <c:pt idx="11" formatCode="_-* #,##0.00_-;\-* #,##0.00_-;_-* &quot;-&quot;??_-;_-@_-">
                  <c:v>0</c:v>
                </c:pt>
                <c:pt idx="12" formatCode="_-* #,##0.00_-;\-* #,##0.00_-;_-* &quot;-&quot;??_-;_-@_-">
                  <c:v>0</c:v>
                </c:pt>
                <c:pt idx="13" formatCode="_-* #,##0.00_-;\-* #,##0.00_-;_-* &quot;-&quot;??_-;_-@_-">
                  <c:v>0</c:v>
                </c:pt>
                <c:pt idx="14" formatCode="_-* #,##0.00_-;\-* #,##0.00_-;_-* &quot;-&quot;??_-;_-@_-">
                  <c:v>0</c:v>
                </c:pt>
                <c:pt idx="15" formatCode="_-* #,##0.00_-;\-* #,##0.00_-;_-* &quot;-&quot;??_-;_-@_-">
                  <c:v>0</c:v>
                </c:pt>
                <c:pt idx="16" formatCode="_-* #,##0.00_-;\-* #,##0.00_-;_-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81D-424A-99A2-489A8A8E1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7189760"/>
        <c:axId val="905385584"/>
      </c:lineChart>
      <c:lineChart>
        <c:grouping val="standard"/>
        <c:varyColors val="0"/>
        <c:ser>
          <c:idx val="2"/>
          <c:order val="2"/>
          <c:tx>
            <c:strRef>
              <c:f>'Water withdrawal'!$A$87</c:f>
              <c:strCache>
                <c:ptCount val="1"/>
                <c:pt idx="0">
                  <c:v>Production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Pt>
            <c:idx val="12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881D-424A-99A2-489A8A8E1CA6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B933-45C7-A671-C425FDAB0D85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B933-45C7-A671-C425FDAB0D85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B933-45C7-A671-C425FDAB0D85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B933-45C7-A671-C425FDAB0D85}"/>
              </c:ext>
            </c:extLst>
          </c:dPt>
          <c:dLbls>
            <c:dLbl>
              <c:idx val="0"/>
              <c:layout>
                <c:manualLayout>
                  <c:x val="-2.4289741772537416E-2"/>
                  <c:y val="-2.23679173113024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0C5-4471-A3F0-FEEA90B66215}"/>
                </c:ext>
              </c:extLst>
            </c:dLbl>
            <c:dLbl>
              <c:idx val="1"/>
              <c:layout>
                <c:manualLayout>
                  <c:x val="-2.7763237151300128E-2"/>
                  <c:y val="3.85171974766578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0C5-4471-A3F0-FEEA90B66215}"/>
                </c:ext>
              </c:extLst>
            </c:dLbl>
            <c:dLbl>
              <c:idx val="12"/>
              <c:layout>
                <c:manualLayout>
                  <c:x val="-2.9910115035674544E-2"/>
                  <c:y val="-3.47914941645488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81D-424A-99A2-489A8A8E1CA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33-45C7-A671-C425FDAB0D85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33-45C7-A671-C425FDAB0D85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33-45C7-A671-C425FDAB0D85}"/>
                </c:ext>
              </c:extLst>
            </c:dLbl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'Water withdrawal'!$C$84:$S$84</c:f>
              <c:strCache>
                <c:ptCount val="1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Jan-26</c:v>
                </c:pt>
                <c:pt idx="5">
                  <c:v>Feb-26</c:v>
                </c:pt>
                <c:pt idx="6">
                  <c:v>Mar-26</c:v>
                </c:pt>
                <c:pt idx="7">
                  <c:v>Apr-26</c:v>
                </c:pt>
                <c:pt idx="8">
                  <c:v>May-26</c:v>
                </c:pt>
                <c:pt idx="9">
                  <c:v>Jun-26</c:v>
                </c:pt>
                <c:pt idx="10">
                  <c:v>Jul-26</c:v>
                </c:pt>
                <c:pt idx="11">
                  <c:v>Aug-26</c:v>
                </c:pt>
                <c:pt idx="12">
                  <c:v>Sep-26</c:v>
                </c:pt>
                <c:pt idx="13">
                  <c:v>Oct-26</c:v>
                </c:pt>
                <c:pt idx="14">
                  <c:v>Nov-26</c:v>
                </c:pt>
                <c:pt idx="15">
                  <c:v>Dec-26</c:v>
                </c:pt>
                <c:pt idx="16">
                  <c:v>YTD 2026</c:v>
                </c:pt>
              </c:strCache>
            </c:strRef>
          </c:cat>
          <c:val>
            <c:numRef>
              <c:f>'Water withdrawal'!$C$87:$S$87</c:f>
              <c:numCache>
                <c:formatCode>_-* #,##0.00_-;\-* #,##0.00_-;_-* "-"??_-;_-@_-</c:formatCode>
                <c:ptCount val="17"/>
                <c:pt idx="0">
                  <c:v>9.0561442384612807</c:v>
                </c:pt>
                <c:pt idx="1">
                  <c:v>10.3315058334617</c:v>
                </c:pt>
                <c:pt idx="2">
                  <c:v>8.0495006936000006</c:v>
                </c:pt>
                <c:pt idx="3">
                  <c:v>8.2806149300000023</c:v>
                </c:pt>
                <c:pt idx="4">
                  <c:v>1.0082520960000001</c:v>
                </c:pt>
                <c:pt idx="5">
                  <c:v>0.91341520300000012</c:v>
                </c:pt>
                <c:pt idx="6">
                  <c:v>0.89563731899999977</c:v>
                </c:pt>
                <c:pt idx="7">
                  <c:v>0.79547501399999998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3.6127796319999996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81D-424A-99A2-489A8A8E1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7698240"/>
        <c:axId val="1248941376"/>
      </c:lineChart>
      <c:catAx>
        <c:axId val="200718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385584"/>
        <c:crosses val="autoZero"/>
        <c:auto val="1"/>
        <c:lblAlgn val="ctr"/>
        <c:lblOffset val="100"/>
        <c:noMultiLvlLbl val="0"/>
      </c:catAx>
      <c:valAx>
        <c:axId val="905385584"/>
        <c:scaling>
          <c:orientation val="minMax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189760"/>
        <c:crosses val="autoZero"/>
        <c:crossBetween val="between"/>
      </c:valAx>
      <c:valAx>
        <c:axId val="1248941376"/>
        <c:scaling>
          <c:orientation val="minMax"/>
          <c:max val="20"/>
        </c:scaling>
        <c:delete val="0"/>
        <c:axPos val="r"/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98240"/>
        <c:crosses val="max"/>
        <c:crossBetween val="between"/>
      </c:valAx>
      <c:catAx>
        <c:axId val="557698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8941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Water withdrawal (All</a:t>
            </a:r>
            <a:r>
              <a:rPr lang="en-US" b="1" baseline="0"/>
              <a:t> SCGC)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94504738442417"/>
          <c:y val="0.16946848822522026"/>
          <c:w val="0.7779799291268098"/>
          <c:h val="0.588844684494796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'Water withdrawal'!$C$167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wdUpDiag">
                <a:fgClr>
                  <a:schemeClr val="bg2">
                    <a:lumMod val="90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7E-4EDA-9AA0-53710522D157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bg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27E-4EDA-9AA0-53710522D15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427E-4EDA-9AA0-53710522D1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'Water withdrawal'!$E$166:$I$166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</c:strCache>
            </c:strRef>
          </c:cat>
          <c:val>
            <c:numRef>
              <c:f>'Water withdrawal'!$E$167:$I$167</c:f>
              <c:numCache>
                <c:formatCode>_-* #,##0.00_-;\-* #,##0.00_-;_-* "-"??_-;_-@_-</c:formatCode>
                <c:ptCount val="5"/>
                <c:pt idx="0">
                  <c:v>3.0132629242041049</c:v>
                </c:pt>
                <c:pt idx="1">
                  <c:v>2.9796559967372449</c:v>
                </c:pt>
                <c:pt idx="2">
                  <c:v>3.2304292450927736</c:v>
                </c:pt>
                <c:pt idx="3">
                  <c:v>0</c:v>
                </c:pt>
                <c:pt idx="4">
                  <c:v>3.2590119601299223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7E-4EDA-9AA0-53710522D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241957072"/>
        <c:axId val="1284199024"/>
      </c:barChart>
      <c:lineChart>
        <c:grouping val="standard"/>
        <c:varyColors val="0"/>
        <c:ser>
          <c:idx val="1"/>
          <c:order val="1"/>
          <c:tx>
            <c:strRef>
              <c:f>'Water withdrawal'!$C$168</c:f>
              <c:strCache>
                <c:ptCount val="1"/>
                <c:pt idx="0">
                  <c:v>Production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9.3955064325927894E-3"/>
                  <c:y val="5.90482537370105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7E-4EDA-9AA0-53710522D157}"/>
                </c:ext>
              </c:extLst>
            </c:dLbl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'Water withdrawal'!$E$166:$I$166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</c:strCache>
            </c:strRef>
          </c:cat>
          <c:val>
            <c:numRef>
              <c:f>'Water withdrawal'!$E$168:$I$168</c:f>
              <c:numCache>
                <c:formatCode>_-* #,##0.00_-;\-* #,##0.00_-;_-* "-"??_-;_-@_-</c:formatCode>
                <c:ptCount val="5"/>
                <c:pt idx="0">
                  <c:v>9.0561442384612807</c:v>
                </c:pt>
                <c:pt idx="1">
                  <c:v>10.3315058334617</c:v>
                </c:pt>
                <c:pt idx="2">
                  <c:v>8.0495006936000006</c:v>
                </c:pt>
                <c:pt idx="3">
                  <c:v>9.1984955120831806</c:v>
                </c:pt>
                <c:pt idx="4">
                  <c:v>3.6127796319999996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7E-4EDA-9AA0-53710522D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368784"/>
        <c:axId val="1241185936"/>
      </c:lineChart>
      <c:catAx>
        <c:axId val="124195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199024"/>
        <c:crosses val="autoZero"/>
        <c:auto val="1"/>
        <c:lblAlgn val="ctr"/>
        <c:lblOffset val="100"/>
        <c:noMultiLvlLbl val="0"/>
      </c:catAx>
      <c:valAx>
        <c:axId val="1284199024"/>
        <c:scaling>
          <c:orientation val="minMax"/>
          <c:min val="0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57072"/>
        <c:crosses val="autoZero"/>
        <c:crossBetween val="between"/>
      </c:valAx>
      <c:valAx>
        <c:axId val="1241185936"/>
        <c:scaling>
          <c:orientation val="minMax"/>
          <c:max val="40"/>
        </c:scaling>
        <c:delete val="0"/>
        <c:axPos val="r"/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368784"/>
        <c:crosses val="max"/>
        <c:crossBetween val="between"/>
      </c:valAx>
      <c:catAx>
        <c:axId val="704368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1185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Water withdrawal (Subsidiary only)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94504738442417"/>
          <c:y val="0.16946848822522026"/>
          <c:w val="0.7779799291268098"/>
          <c:h val="0.588844684494796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'Water withdrawal'!$C$169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70D9-493F-A745-74DA79724D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'Water withdrawal'!$E$166:$I$166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</c:strCache>
            </c:strRef>
          </c:cat>
          <c:val>
            <c:numRef>
              <c:f>'Water withdrawal'!$E$169:$I$169</c:f>
              <c:numCache>
                <c:formatCode>_-* #,##0.00_-;\-* #,##0.00_-;_-* "-"??_-;_-@_-</c:formatCode>
                <c:ptCount val="5"/>
                <c:pt idx="0">
                  <c:v>2.9333515920732274</c:v>
                </c:pt>
                <c:pt idx="1">
                  <c:v>2.9233839892907909</c:v>
                </c:pt>
                <c:pt idx="2">
                  <c:v>3.2060528157270913</c:v>
                </c:pt>
                <c:pt idx="4">
                  <c:v>3.1041422188374912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D9-493F-A745-74DA79724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241957072"/>
        <c:axId val="1284199024"/>
      </c:barChart>
      <c:lineChart>
        <c:grouping val="standard"/>
        <c:varyColors val="0"/>
        <c:ser>
          <c:idx val="1"/>
          <c:order val="1"/>
          <c:tx>
            <c:strRef>
              <c:f>'Water withdrawal'!$C$170</c:f>
              <c:strCache>
                <c:ptCount val="1"/>
                <c:pt idx="0">
                  <c:v>Production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'Water withdrawal'!$E$166:$I$166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</c:strCache>
            </c:strRef>
          </c:cat>
          <c:val>
            <c:numRef>
              <c:f>'Water withdrawal'!$E$170:$I$170</c:f>
              <c:numCache>
                <c:formatCode>_-* #,##0.00_-;\-* #,##0.00_-;_-* "-"??_-;_-@_-</c:formatCode>
                <c:ptCount val="5"/>
                <c:pt idx="0">
                  <c:v>8.5473448657681743</c:v>
                </c:pt>
                <c:pt idx="1">
                  <c:v>9.7048037773794942</c:v>
                </c:pt>
                <c:pt idx="2">
                  <c:v>7.5174074896</c:v>
                </c:pt>
                <c:pt idx="3">
                  <c:v>8.6185785120831842</c:v>
                </c:pt>
                <c:pt idx="4">
                  <c:v>7.7716394610000004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D9-493F-A745-74DA79724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368784"/>
        <c:axId val="1241185936"/>
      </c:lineChart>
      <c:catAx>
        <c:axId val="124195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199024"/>
        <c:crosses val="autoZero"/>
        <c:auto val="1"/>
        <c:lblAlgn val="ctr"/>
        <c:lblOffset val="100"/>
        <c:noMultiLvlLbl val="0"/>
      </c:catAx>
      <c:valAx>
        <c:axId val="1284199024"/>
        <c:scaling>
          <c:orientation val="minMax"/>
          <c:min val="0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57072"/>
        <c:crosses val="autoZero"/>
        <c:crossBetween val="between"/>
      </c:valAx>
      <c:valAx>
        <c:axId val="1241185936"/>
        <c:scaling>
          <c:orientation val="minMax"/>
          <c:max val="40"/>
        </c:scaling>
        <c:delete val="0"/>
        <c:axPos val="r"/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368784"/>
        <c:crosses val="max"/>
        <c:crossBetween val="between"/>
      </c:valAx>
      <c:catAx>
        <c:axId val="704368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1185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j-ea"/>
                <a:cs typeface="SCG" panose="02000503000000020004" pitchFamily="50" charset="-34"/>
              </a:defRPr>
            </a:pPr>
            <a:r>
              <a:rPr lang="en-US"/>
              <a:t>Water withdrawal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j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25766460797635"/>
          <c:y val="0.12481448531531847"/>
          <c:w val="0.82171137773604597"/>
          <c:h val="0.6971818204854782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'Water withdrawal'!$A$86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('Water withdrawal'!$C$84:$F$84,'Water withdrawal'!$H$84,'Water withdrawal'!$S$84)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Feb-26</c:v>
                </c:pt>
                <c:pt idx="5">
                  <c:v>YTD 2026</c:v>
                </c:pt>
              </c:strCache>
            </c:strRef>
          </c:cat>
          <c:val>
            <c:numRef>
              <c:f>('Water withdrawal'!$C$86:$F$86,'Water withdrawal'!$N$86,'Water withdrawal'!$S$86)</c:f>
              <c:numCache>
                <c:formatCode>_-* #,##0.00_-;\-* #,##0.00_-;_-* "-"??_-;_-@_-</c:formatCode>
                <c:ptCount val="6"/>
                <c:pt idx="0">
                  <c:v>3.013262924204104</c:v>
                </c:pt>
                <c:pt idx="1">
                  <c:v>2.9758424662630598</c:v>
                </c:pt>
                <c:pt idx="2">
                  <c:v>3.0251207557311637</c:v>
                </c:pt>
                <c:pt idx="3">
                  <c:v>3.1451859125394681</c:v>
                </c:pt>
                <c:pt idx="4">
                  <c:v>0</c:v>
                </c:pt>
                <c:pt idx="5">
                  <c:v>3.2590119601299223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12-4C69-9053-58C65F521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2007189760"/>
        <c:axId val="905385584"/>
      </c:barChart>
      <c:lineChart>
        <c:grouping val="standard"/>
        <c:varyColors val="0"/>
        <c:ser>
          <c:idx val="0"/>
          <c:order val="0"/>
          <c:tx>
            <c:strRef>
              <c:f>'Water withdrawal'!$A$85</c:f>
              <c:strCache>
                <c:ptCount val="1"/>
                <c:pt idx="0">
                  <c:v>Target 2024</c:v>
                </c:pt>
              </c:strCache>
            </c:strRef>
          </c:tx>
          <c:spPr>
            <a:ln w="19050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('Water withdrawal'!$C$84:$F$84,'Water withdrawal'!$N$84,'Water withdrawal'!$S$84)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Aug-26</c:v>
                </c:pt>
                <c:pt idx="5">
                  <c:v>YTD 2026</c:v>
                </c:pt>
              </c:strCache>
            </c:strRef>
          </c:cat>
          <c:val>
            <c:numRef>
              <c:f>('Water withdrawal'!$C$85:$F$85,'Water withdrawal'!$G$85,'Water withdrawal'!$S$85)</c:f>
              <c:numCache>
                <c:formatCode>General</c:formatCode>
                <c:ptCount val="6"/>
                <c:pt idx="4" formatCode="_-* #,##0.00_-;\-* #,##0.00_-;_-* &quot;-&quot;??_-;_-@_-">
                  <c:v>0</c:v>
                </c:pt>
                <c:pt idx="5" formatCode="_-* #,##0.00_-;\-* #,##0.00_-;_-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12-4C69-9053-58C65F521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7189760"/>
        <c:axId val="905385584"/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7698240"/>
        <c:axId val="124894137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'Water withdrawal'!$A$87</c15:sqref>
                        </c15:formulaRef>
                      </c:ext>
                    </c:extLst>
                    <c:strCache>
                      <c:ptCount val="1"/>
                      <c:pt idx="0">
                        <c:v>Production</c:v>
                      </c:pt>
                    </c:strCache>
                  </c:strRef>
                </c:tx>
                <c:spPr>
                  <a:ln w="19050" cap="rnd">
                    <a:noFill/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2.4289741772537416E-2"/>
                        <c:y val="-2.23679173113024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1E12-4C69-9053-58C65F5215CA}"/>
                      </c:ext>
                    </c:extLst>
                  </c:dLbl>
                  <c:dLbl>
                    <c:idx val="1"/>
                    <c:layout>
                      <c:manualLayout>
                        <c:x val="-2.7763237151300128E-2"/>
                        <c:y val="3.851719747665782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0-1E12-4C69-9053-58C65F5215CA}"/>
                      </c:ext>
                    </c:extLst>
                  </c:dLbl>
                  <c:spPr>
                    <a:solidFill>
                      <a:schemeClr val="bg2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0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SCG" panose="02000503000000020004" pitchFamily="50" charset="-34"/>
                          <a:ea typeface="+mn-ea"/>
                          <a:cs typeface="SCG" panose="02000503000000020004" pitchFamily="50" charset="-34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'Water withdrawal'!$C$84:$F$84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'Water withdrawal'!$C$87:$F$87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4"/>
                      <c:pt idx="0">
                        <c:v>9.0561442384612807</c:v>
                      </c:pt>
                      <c:pt idx="1">
                        <c:v>10.3315058334617</c:v>
                      </c:pt>
                      <c:pt idx="2">
                        <c:v>8.0495006936000006</c:v>
                      </c:pt>
                      <c:pt idx="3">
                        <c:v>8.2806149300000023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1-1E12-4C69-9053-58C65F5215CA}"/>
                  </c:ext>
                </c:extLst>
              </c15:ser>
            </c15:filteredLineSeries>
          </c:ext>
        </c:extLst>
      </c:lineChart>
      <c:catAx>
        <c:axId val="200718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905385584"/>
        <c:crosses val="autoZero"/>
        <c:auto val="1"/>
        <c:lblAlgn val="ctr"/>
        <c:lblOffset val="100"/>
        <c:noMultiLvlLbl val="0"/>
      </c:catAx>
      <c:valAx>
        <c:axId val="905385584"/>
        <c:scaling>
          <c:orientation val="minMax"/>
          <c:min val="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r>
                  <a:rPr lang="en-US" cap="none" baseline="0"/>
                  <a:t>m</a:t>
                </a:r>
                <a:r>
                  <a:rPr lang="en-US" cap="none" baseline="30000"/>
                  <a:t>3</a:t>
                </a:r>
                <a:r>
                  <a:rPr lang="en-US" cap="none" baseline="0"/>
                  <a:t>/ton</a:t>
                </a:r>
              </a:p>
            </c:rich>
          </c:tx>
          <c:layout>
            <c:manualLayout>
              <c:xMode val="edge"/>
              <c:yMode val="edge"/>
              <c:x val="4.9707596044762667E-3"/>
              <c:y val="2.50251271482636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CG" panose="02000503000000020004" pitchFamily="50" charset="-34"/>
                  <a:ea typeface="+mn-ea"/>
                  <a:cs typeface="SCG" panose="02000503000000020004" pitchFamily="50" charset="-34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2007189760"/>
        <c:crosses val="autoZero"/>
        <c:crossBetween val="between"/>
      </c:valAx>
      <c:valAx>
        <c:axId val="1248941376"/>
        <c:scaling>
          <c:orientation val="minMax"/>
        </c:scaling>
        <c:delete val="1"/>
        <c:axPos val="r"/>
        <c:numFmt formatCode="#,##0.0" sourceLinked="0"/>
        <c:majorTickMark val="out"/>
        <c:minorTickMark val="none"/>
        <c:tickLblPos val="nextTo"/>
        <c:crossAx val="557698240"/>
        <c:crosses val="max"/>
        <c:crossBetween val="between"/>
      </c:valAx>
      <c:catAx>
        <c:axId val="557698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8941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Hz waste generated</a:t>
            </a:r>
            <a:r>
              <a:rPr lang="th-TH" b="1"/>
              <a:t> </a:t>
            </a:r>
            <a:r>
              <a:rPr lang="en-US" b="1"/>
              <a:t>(All SCGC)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1"/>
          <c:tx>
            <c:strRef>
              <c:f>'Hz waste gen'!$C$161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rgbClr val="00808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0E-4EC4-9661-C0CB50B010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'Hz waste gen'!$E$161:$I$161</c:f>
              <c:numCache>
                <c:formatCode>_-* #,##0.00_-;\-* #,##0.00_-;_-* "-"??_-;_-@_-</c:formatCode>
                <c:ptCount val="5"/>
                <c:pt idx="0">
                  <c:v>1.4320631397858594</c:v>
                </c:pt>
                <c:pt idx="1">
                  <c:v>1.0075551457902248</c:v>
                </c:pt>
                <c:pt idx="2">
                  <c:v>1.3132584746456342</c:v>
                </c:pt>
                <c:pt idx="3">
                  <c:v>0</c:v>
                </c:pt>
                <c:pt idx="4">
                  <c:v>0.81436409072403682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0E-4EC4-9661-C0CB50B01073}"/>
            </c:ext>
          </c:extLst>
        </c:ser>
        <c:ser>
          <c:idx val="1"/>
          <c:order val="2"/>
          <c:tx>
            <c:strRef>
              <c:f>'Hz waste gen'!$C$160</c:f>
              <c:strCache>
                <c:ptCount val="1"/>
                <c:pt idx="0">
                  <c:v>Special</c:v>
                </c:pt>
              </c:strCache>
            </c:strRef>
          </c:tx>
          <c:spPr>
            <a:pattFill prst="wdUpDiag">
              <a:fgClr>
                <a:srgbClr val="00808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wdUpDiag">
                <a:fgClr>
                  <a:schemeClr val="bg2">
                    <a:lumMod val="7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10E-4EC4-9661-C0CB50B01073}"/>
              </c:ext>
            </c:extLst>
          </c:dPt>
          <c:val>
            <c:numRef>
              <c:f>'Hz waste gen'!$E$160:$I$160</c:f>
              <c:numCache>
                <c:formatCode>_-* #,##0.00_-;\-* #,##0.00_-;_-* "-"??_-;_-@_-</c:formatCode>
                <c:ptCount val="5"/>
                <c:pt idx="0">
                  <c:v>0.15692751080359257</c:v>
                </c:pt>
                <c:pt idx="1">
                  <c:v>8.7017520950169791E-2</c:v>
                </c:pt>
                <c:pt idx="2">
                  <c:v>9.257670239695881E-2</c:v>
                </c:pt>
                <c:pt idx="3">
                  <c:v>1.38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0E-4EC4-9661-C0CB50B01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1514672"/>
        <c:axId val="1570670960"/>
      </c:barChart>
      <c:lineChart>
        <c:grouping val="standard"/>
        <c:varyColors val="0"/>
        <c:ser>
          <c:idx val="0"/>
          <c:order val="0"/>
          <c:tx>
            <c:strRef>
              <c:f>'Hz waste gen'!$C$159</c:f>
              <c:strCache>
                <c:ptCount val="1"/>
                <c:pt idx="0">
                  <c:v>Normal + Special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3.1752952863379771E-2"/>
                  <c:y val="-3.66609324445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10E-4EC4-9661-C0CB50B01073}"/>
                </c:ext>
              </c:extLst>
            </c:dLbl>
            <c:dLbl>
              <c:idx val="4"/>
              <c:layout>
                <c:manualLayout>
                  <c:x val="-3.1752952863379771E-2"/>
                  <c:y val="-4.30119168471113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0E-4EC4-9661-C0CB50B010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'Hz waste gen'!$E$158:$J$158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  <c:pt idx="5">
                  <c:v>Normalize 2023</c:v>
                </c:pt>
              </c:strCache>
            </c:strRef>
          </c:cat>
          <c:val>
            <c:numRef>
              <c:f>'Hz waste gen'!$E$159:$I$159</c:f>
              <c:numCache>
                <c:formatCode>_-* #,##0.00_-;\-* #,##0.00_-;_-* "-"??_-;_-@_-</c:formatCode>
                <c:ptCount val="5"/>
                <c:pt idx="0">
                  <c:v>1.588990650589452</c:v>
                </c:pt>
                <c:pt idx="1">
                  <c:v>1.0945726667403946</c:v>
                </c:pt>
                <c:pt idx="2">
                  <c:v>1.405835177042593</c:v>
                </c:pt>
                <c:pt idx="3">
                  <c:v>1.38</c:v>
                </c:pt>
                <c:pt idx="4">
                  <c:v>0.81436409072403682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10E-4EC4-9661-C0CB50B01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514672"/>
        <c:axId val="1570670960"/>
      </c:lineChart>
      <c:lineChart>
        <c:grouping val="standard"/>
        <c:varyColors val="0"/>
        <c:ser>
          <c:idx val="3"/>
          <c:order val="3"/>
          <c:tx>
            <c:strRef>
              <c:f>'Hz waste gen'!$C$162</c:f>
              <c:strCache>
                <c:ptCount val="1"/>
                <c:pt idx="0">
                  <c:v>Production</c:v>
                </c:pt>
              </c:strCache>
            </c:strRef>
          </c:tx>
          <c:spPr>
            <a:ln w="19050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'Hz waste gen'!$E$162:$I$162</c:f>
              <c:numCache>
                <c:formatCode>_-* #,##0.00_-;\-* #,##0.00_-;_-* "-"??_-;_-@_-</c:formatCode>
                <c:ptCount val="5"/>
                <c:pt idx="0">
                  <c:v>9.0561442384612842</c:v>
                </c:pt>
                <c:pt idx="1">
                  <c:v>10.344745617753649</c:v>
                </c:pt>
                <c:pt idx="2">
                  <c:v>8.5988598636000013</c:v>
                </c:pt>
                <c:pt idx="3">
                  <c:v>9.1984955120831806</c:v>
                </c:pt>
                <c:pt idx="4">
                  <c:v>8280614.9300000016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10E-4EC4-9661-C0CB50B01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935664"/>
        <c:axId val="1565656128"/>
      </c:lineChart>
      <c:catAx>
        <c:axId val="170151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70960"/>
        <c:crosses val="autoZero"/>
        <c:auto val="1"/>
        <c:lblAlgn val="ctr"/>
        <c:lblOffset val="100"/>
        <c:noMultiLvlLbl val="0"/>
      </c:catAx>
      <c:valAx>
        <c:axId val="157067096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14672"/>
        <c:crosses val="autoZero"/>
        <c:crossBetween val="between"/>
      </c:valAx>
      <c:valAx>
        <c:axId val="1565656128"/>
        <c:scaling>
          <c:orientation val="minMax"/>
          <c:max val="40"/>
        </c:scaling>
        <c:delete val="0"/>
        <c:axPos val="r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935664"/>
        <c:crosses val="max"/>
        <c:crossBetween val="between"/>
      </c:valAx>
      <c:catAx>
        <c:axId val="1766935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5656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Hz waste generated</a:t>
            </a:r>
            <a:r>
              <a:rPr lang="th-TH" b="1"/>
              <a:t> </a:t>
            </a:r>
            <a:r>
              <a:rPr lang="en-US" b="1"/>
              <a:t>(Subsidiary only)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1"/>
          <c:tx>
            <c:strRef>
              <c:f>'Hz waste gen'!$C$161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rgbClr val="00808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CB-41C1-94BE-56CA8130EE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'Hz waste gen'!$E$165:$I$165</c:f>
              <c:numCache>
                <c:formatCode>_-* #,##0.00_-;\-* #,##0.00_-;_-* "-"??_-;_-@_-</c:formatCode>
                <c:ptCount val="5"/>
                <c:pt idx="0">
                  <c:v>0.80412860756693105</c:v>
                </c:pt>
                <c:pt idx="1">
                  <c:v>0.85955811063304222</c:v>
                </c:pt>
                <c:pt idx="2">
                  <c:v>0.87199984120869078</c:v>
                </c:pt>
                <c:pt idx="3">
                  <c:v>0</c:v>
                </c:pt>
                <c:pt idx="4">
                  <c:v>0.68340054504295467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CB-41C1-94BE-56CA8130EEBD}"/>
            </c:ext>
          </c:extLst>
        </c:ser>
        <c:ser>
          <c:idx val="1"/>
          <c:order val="2"/>
          <c:tx>
            <c:strRef>
              <c:f>'Hz waste gen'!$C$160</c:f>
              <c:strCache>
                <c:ptCount val="1"/>
                <c:pt idx="0">
                  <c:v>Special</c:v>
                </c:pt>
              </c:strCache>
            </c:strRef>
          </c:tx>
          <c:spPr>
            <a:pattFill prst="wdUpDiag">
              <a:fgClr>
                <a:srgbClr val="00808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wdUpDiag">
                <a:fgClr>
                  <a:schemeClr val="bg2">
                    <a:lumMod val="7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2CB-41C1-94BE-56CA8130EEBD}"/>
              </c:ext>
            </c:extLst>
          </c:dPt>
          <c:val>
            <c:numRef>
              <c:f>'Hz waste gen'!$E$164:$I$164</c:f>
              <c:numCache>
                <c:formatCode>_-* #,##0.00_-;\-* #,##0.00_-;_-* "-"??_-;_-@_-</c:formatCode>
                <c:ptCount val="5"/>
                <c:pt idx="0">
                  <c:v>7.9030418471666031E-2</c:v>
                </c:pt>
                <c:pt idx="1">
                  <c:v>9.5936062752564721E-2</c:v>
                </c:pt>
                <c:pt idx="2">
                  <c:v>5.0867768232316424E-2</c:v>
                </c:pt>
                <c:pt idx="3">
                  <c:v>1.38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CB-41C1-94BE-56CA8130E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1514672"/>
        <c:axId val="1570670960"/>
      </c:barChart>
      <c:lineChart>
        <c:grouping val="standard"/>
        <c:varyColors val="0"/>
        <c:ser>
          <c:idx val="0"/>
          <c:order val="0"/>
          <c:tx>
            <c:strRef>
              <c:f>'Hz waste gen'!$C$159</c:f>
              <c:strCache>
                <c:ptCount val="1"/>
                <c:pt idx="0">
                  <c:v>Normal + Special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B2CB-41C1-94BE-56CA8130EE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'Hz waste gen'!$E$158:$J$158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  <c:pt idx="5">
                  <c:v>Normalize 2023</c:v>
                </c:pt>
              </c:strCache>
            </c:strRef>
          </c:cat>
          <c:val>
            <c:numRef>
              <c:f>'Hz waste gen'!$E$163:$I$163</c:f>
              <c:numCache>
                <c:formatCode>_-* #,##0.00_-;\-* #,##0.00_-;_-* "-"??_-;_-@_-</c:formatCode>
                <c:ptCount val="5"/>
                <c:pt idx="0">
                  <c:v>0.88315902603859708</c:v>
                </c:pt>
                <c:pt idx="1">
                  <c:v>0.95549417338560694</c:v>
                </c:pt>
                <c:pt idx="2">
                  <c:v>0.92286760944100721</c:v>
                </c:pt>
                <c:pt idx="3">
                  <c:v>1.38</c:v>
                </c:pt>
                <c:pt idx="4">
                  <c:v>0.68340054504295467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2CB-41C1-94BE-56CA8130E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514672"/>
        <c:axId val="1570670960"/>
      </c:lineChart>
      <c:lineChart>
        <c:grouping val="standard"/>
        <c:varyColors val="0"/>
        <c:ser>
          <c:idx val="3"/>
          <c:order val="3"/>
          <c:tx>
            <c:strRef>
              <c:f>'Hz waste gen'!$C$162</c:f>
              <c:strCache>
                <c:ptCount val="1"/>
                <c:pt idx="0">
                  <c:v>Production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'Hz waste gen'!$E$166:$I$166</c:f>
              <c:numCache>
                <c:formatCode>_-* #,##0.00_-;\-* #,##0.00_-;_-* "-"??_-;_-@_-</c:formatCode>
                <c:ptCount val="5"/>
                <c:pt idx="0">
                  <c:v>8.5473448657681743</c:v>
                </c:pt>
                <c:pt idx="1">
                  <c:v>9.7048037773794942</c:v>
                </c:pt>
                <c:pt idx="2">
                  <c:v>7.5174074896</c:v>
                </c:pt>
                <c:pt idx="3">
                  <c:v>8.6185785120831842</c:v>
                </c:pt>
                <c:pt idx="4">
                  <c:v>7.7716394509999995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2CB-41C1-94BE-56CA8130E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935664"/>
        <c:axId val="1565656128"/>
      </c:lineChart>
      <c:catAx>
        <c:axId val="170151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70960"/>
        <c:crosses val="autoZero"/>
        <c:auto val="1"/>
        <c:lblAlgn val="ctr"/>
        <c:lblOffset val="100"/>
        <c:noMultiLvlLbl val="0"/>
      </c:catAx>
      <c:valAx>
        <c:axId val="1570670960"/>
        <c:scaling>
          <c:orientation val="minMax"/>
          <c:max val="2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14672"/>
        <c:crosses val="autoZero"/>
        <c:crossBetween val="between"/>
      </c:valAx>
      <c:valAx>
        <c:axId val="1565656128"/>
        <c:scaling>
          <c:orientation val="minMax"/>
          <c:max val="40"/>
        </c:scaling>
        <c:delete val="0"/>
        <c:axPos val="r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935664"/>
        <c:crosses val="max"/>
        <c:crossBetween val="between"/>
      </c:valAx>
      <c:catAx>
        <c:axId val="1766935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65656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Hz waste generated</a:t>
            </a:r>
            <a:r>
              <a:rPr lang="th-TH" b="1"/>
              <a:t> </a:t>
            </a:r>
            <a:r>
              <a:rPr lang="en-US" b="1"/>
              <a:t>(All SCGC)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1"/>
          <c:tx>
            <c:strRef>
              <c:f>'Hz waste gen'!$C$161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rgbClr val="008080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2D-4F23-B81E-9FBCD5E17428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2D-4F23-B81E-9FBCD5E174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('Hz waste gen'!$E$161:$G$161,'Hz waste gen'!$I$161,'Hz waste gen'!$K$161)</c:f>
              <c:numCache>
                <c:formatCode>_-* #,##0.00_-;\-* #,##0.00_-;_-* "-"??_-;_-@_-</c:formatCode>
                <c:ptCount val="5"/>
                <c:pt idx="0">
                  <c:v>1.4320631397858594</c:v>
                </c:pt>
                <c:pt idx="1">
                  <c:v>1.0075551457902248</c:v>
                </c:pt>
                <c:pt idx="2">
                  <c:v>1.3132584746456342</c:v>
                </c:pt>
                <c:pt idx="3">
                  <c:v>0.81436409072403682</c:v>
                </c:pt>
                <c:pt idx="4" formatCode="General">
                  <c:v>1.57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2D-4F23-B81E-9FBCD5E17428}"/>
            </c:ext>
          </c:extLst>
        </c:ser>
        <c:ser>
          <c:idx val="1"/>
          <c:order val="2"/>
          <c:tx>
            <c:strRef>
              <c:f>'Hz waste gen'!$C$160</c:f>
              <c:strCache>
                <c:ptCount val="1"/>
                <c:pt idx="0">
                  <c:v>Special</c:v>
                </c:pt>
              </c:strCache>
            </c:strRef>
          </c:tx>
          <c:spPr>
            <a:pattFill prst="wdUpDiag">
              <a:fgClr>
                <a:srgbClr val="00808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('Hz waste gen'!$E$160:$G$160,'Hz waste gen'!$I$160,'Hz waste gen'!$K$160)</c:f>
              <c:numCache>
                <c:formatCode>_-* #,##0.00_-;\-* #,##0.00_-;_-* "-"??_-;_-@_-</c:formatCode>
                <c:ptCount val="5"/>
                <c:pt idx="0">
                  <c:v>0.15692751080359257</c:v>
                </c:pt>
                <c:pt idx="1">
                  <c:v>8.7017520950169791E-2</c:v>
                </c:pt>
                <c:pt idx="2">
                  <c:v>9.257670239695881E-2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2D-4F23-B81E-9FBCD5E17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1514672"/>
        <c:axId val="1570670960"/>
      </c:barChart>
      <c:lineChart>
        <c:grouping val="standard"/>
        <c:varyColors val="0"/>
        <c:ser>
          <c:idx val="0"/>
          <c:order val="0"/>
          <c:tx>
            <c:strRef>
              <c:f>'Hz waste gen'!$C$159</c:f>
              <c:strCache>
                <c:ptCount val="1"/>
                <c:pt idx="0">
                  <c:v>Normal + Special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3.1752952863379771E-2"/>
                  <c:y val="-4.30119168471113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2D-4F23-B81E-9FBCD5E17428}"/>
                </c:ext>
              </c:extLst>
            </c:dLbl>
            <c:dLbl>
              <c:idx val="4"/>
              <c:layout>
                <c:manualLayout>
                  <c:x val="-3.0433461194796771E-2"/>
                  <c:y val="-2.84915775766104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2D-4F23-B81E-9FBCD5E174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('Hz waste gen'!$E$158:$G$158,'Hz waste gen'!$I$158,'Hz waste gen'!$K$158)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Actual 2023</c:v>
                </c:pt>
                <c:pt idx="4">
                  <c:v>Plan 2024</c:v>
                </c:pt>
              </c:strCache>
            </c:strRef>
          </c:cat>
          <c:val>
            <c:numRef>
              <c:f>('Hz waste gen'!$E$159:$G$159,'Hz waste gen'!$I$159,'Hz waste gen'!$K$159)</c:f>
              <c:numCache>
                <c:formatCode>_-* #,##0.00_-;\-* #,##0.00_-;_-* "-"??_-;_-@_-</c:formatCode>
                <c:ptCount val="5"/>
                <c:pt idx="0">
                  <c:v>1.588990650589452</c:v>
                </c:pt>
                <c:pt idx="1">
                  <c:v>1.0945726667403946</c:v>
                </c:pt>
                <c:pt idx="2">
                  <c:v>1.405835177042593</c:v>
                </c:pt>
                <c:pt idx="3">
                  <c:v>0.81436409072403682</c:v>
                </c:pt>
                <c:pt idx="4" formatCode="General">
                  <c:v>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2D-4F23-B81E-9FBCD5E17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514672"/>
        <c:axId val="1570670960"/>
      </c:lineChart>
      <c:lineChart>
        <c:grouping val="standard"/>
        <c:varyColors val="0"/>
        <c:ser>
          <c:idx val="3"/>
          <c:order val="3"/>
          <c:tx>
            <c:strRef>
              <c:f>'Hz waste gen'!$C$162</c:f>
              <c:strCache>
                <c:ptCount val="1"/>
                <c:pt idx="0">
                  <c:v>Production</c:v>
                </c:pt>
              </c:strCache>
            </c:strRef>
          </c:tx>
          <c:spPr>
            <a:ln w="19050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('Hz waste gen'!$E$162:$G$162,'Hz waste gen'!$I$162,'Hz waste gen'!$K$162)</c:f>
              <c:numCache>
                <c:formatCode>_-* #,##0.00_-;\-* #,##0.00_-;_-* "-"??_-;_-@_-</c:formatCode>
                <c:ptCount val="5"/>
                <c:pt idx="0">
                  <c:v>9.0561442384612842</c:v>
                </c:pt>
                <c:pt idx="1">
                  <c:v>10.344745617753649</c:v>
                </c:pt>
                <c:pt idx="2">
                  <c:v>8.5988598636000013</c:v>
                </c:pt>
                <c:pt idx="3">
                  <c:v>8280614.9300000016</c:v>
                </c:pt>
                <c:pt idx="4">
                  <c:v>8.5300867756288596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2D-4F23-B81E-9FBCD5E17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935664"/>
        <c:axId val="1565656128"/>
      </c:lineChart>
      <c:catAx>
        <c:axId val="170151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70960"/>
        <c:crosses val="autoZero"/>
        <c:auto val="1"/>
        <c:lblAlgn val="ctr"/>
        <c:lblOffset val="100"/>
        <c:noMultiLvlLbl val="0"/>
      </c:catAx>
      <c:valAx>
        <c:axId val="157067096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14672"/>
        <c:crosses val="autoZero"/>
        <c:crossBetween val="between"/>
      </c:valAx>
      <c:valAx>
        <c:axId val="1565656128"/>
        <c:scaling>
          <c:orientation val="minMax"/>
          <c:max val="40"/>
        </c:scaling>
        <c:delete val="0"/>
        <c:axPos val="r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935664"/>
        <c:crosses val="max"/>
        <c:crossBetween val="between"/>
      </c:valAx>
      <c:catAx>
        <c:axId val="1766935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5656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Hz waste generated</a:t>
            </a:r>
            <a:r>
              <a:rPr lang="th-TH" b="1"/>
              <a:t> </a:t>
            </a:r>
            <a:r>
              <a:rPr lang="en-US" b="1"/>
              <a:t>(Subsidiary only)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1"/>
          <c:tx>
            <c:strRef>
              <c:f>'Hz waste gen'!$C$161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rgbClr val="008080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DB2-4043-8628-71A273A3A9F4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B2-4043-8628-71A273A3A9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('Hz waste gen'!$E$165:$G$165,'Hz waste gen'!$I$165,'Hz waste gen'!$K$165)</c:f>
              <c:numCache>
                <c:formatCode>_-* #,##0.00_-;\-* #,##0.00_-;_-* "-"??_-;_-@_-</c:formatCode>
                <c:ptCount val="5"/>
                <c:pt idx="0">
                  <c:v>0.80412860756693105</c:v>
                </c:pt>
                <c:pt idx="1">
                  <c:v>0.85955811063304222</c:v>
                </c:pt>
                <c:pt idx="2">
                  <c:v>0.87199984120869078</c:v>
                </c:pt>
                <c:pt idx="3">
                  <c:v>0.68340054504295467</c:v>
                </c:pt>
                <c:pt idx="4" formatCode="General">
                  <c:v>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B2-4043-8628-71A273A3A9F4}"/>
            </c:ext>
          </c:extLst>
        </c:ser>
        <c:ser>
          <c:idx val="1"/>
          <c:order val="2"/>
          <c:tx>
            <c:strRef>
              <c:f>'Hz waste gen'!$C$160</c:f>
              <c:strCache>
                <c:ptCount val="1"/>
                <c:pt idx="0">
                  <c:v>Special</c:v>
                </c:pt>
              </c:strCache>
            </c:strRef>
          </c:tx>
          <c:spPr>
            <a:pattFill prst="wdUpDiag">
              <a:fgClr>
                <a:srgbClr val="00808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('Hz waste gen'!$E$164:$G$164,'Hz waste gen'!$I$164,'Hz waste gen'!$K$164)</c:f>
              <c:numCache>
                <c:formatCode>_-* #,##0.00_-;\-* #,##0.00_-;_-* "-"??_-;_-@_-</c:formatCode>
                <c:ptCount val="5"/>
                <c:pt idx="0">
                  <c:v>7.9030418471666031E-2</c:v>
                </c:pt>
                <c:pt idx="1">
                  <c:v>9.5936062752564721E-2</c:v>
                </c:pt>
                <c:pt idx="2">
                  <c:v>5.0867768232316424E-2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B2-4043-8628-71A273A3A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1514672"/>
        <c:axId val="1570670960"/>
      </c:barChart>
      <c:lineChart>
        <c:grouping val="standard"/>
        <c:varyColors val="0"/>
        <c:ser>
          <c:idx val="0"/>
          <c:order val="0"/>
          <c:tx>
            <c:strRef>
              <c:f>'Hz waste gen'!$C$159</c:f>
              <c:strCache>
                <c:ptCount val="1"/>
                <c:pt idx="0">
                  <c:v>Normal + Special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4DB2-4043-8628-71A273A3A9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('Hz waste gen'!$E$158:$G$158,'Hz waste gen'!$I$158,'Hz waste gen'!$K$158)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Actual 2023</c:v>
                </c:pt>
                <c:pt idx="4">
                  <c:v>Plan 2024</c:v>
                </c:pt>
              </c:strCache>
            </c:strRef>
          </c:cat>
          <c:val>
            <c:numRef>
              <c:f>('Hz waste gen'!$E$163:$G$163,'Hz waste gen'!$I$163,'Hz waste gen'!$K$163)</c:f>
              <c:numCache>
                <c:formatCode>_-* #,##0.00_-;\-* #,##0.00_-;_-* "-"??_-;_-@_-</c:formatCode>
                <c:ptCount val="5"/>
                <c:pt idx="0">
                  <c:v>0.88315902603859708</c:v>
                </c:pt>
                <c:pt idx="1">
                  <c:v>0.95549417338560694</c:v>
                </c:pt>
                <c:pt idx="2">
                  <c:v>0.92286760944100721</c:v>
                </c:pt>
                <c:pt idx="3">
                  <c:v>0.68340054504295467</c:v>
                </c:pt>
                <c:pt idx="4" formatCode="General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B2-4043-8628-71A273A3A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514672"/>
        <c:axId val="1570670960"/>
      </c:lineChart>
      <c:lineChart>
        <c:grouping val="standard"/>
        <c:varyColors val="0"/>
        <c:ser>
          <c:idx val="3"/>
          <c:order val="3"/>
          <c:tx>
            <c:strRef>
              <c:f>'Hz waste gen'!$C$162</c:f>
              <c:strCache>
                <c:ptCount val="1"/>
                <c:pt idx="0">
                  <c:v>Production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('Hz waste gen'!$E$166:$G$166,'Hz waste gen'!$I$166,'Hz waste gen'!$K$166)</c:f>
              <c:numCache>
                <c:formatCode>_-* #,##0.00_-;\-* #,##0.00_-;_-* "-"??_-;_-@_-</c:formatCode>
                <c:ptCount val="5"/>
                <c:pt idx="0">
                  <c:v>8.5473448657681743</c:v>
                </c:pt>
                <c:pt idx="1">
                  <c:v>9.7048037773794942</c:v>
                </c:pt>
                <c:pt idx="2">
                  <c:v>7.5174074896</c:v>
                </c:pt>
                <c:pt idx="3">
                  <c:v>7.7716394509999995</c:v>
                </c:pt>
                <c:pt idx="4">
                  <c:v>8.0037267756288593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B2-4043-8628-71A273A3A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935664"/>
        <c:axId val="1565656128"/>
      </c:lineChart>
      <c:catAx>
        <c:axId val="170151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70960"/>
        <c:crosses val="autoZero"/>
        <c:auto val="1"/>
        <c:lblAlgn val="ctr"/>
        <c:lblOffset val="100"/>
        <c:noMultiLvlLbl val="0"/>
      </c:catAx>
      <c:valAx>
        <c:axId val="1570670960"/>
        <c:scaling>
          <c:orientation val="minMax"/>
          <c:max val="2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14672"/>
        <c:crosses val="autoZero"/>
        <c:crossBetween val="between"/>
      </c:valAx>
      <c:valAx>
        <c:axId val="1565656128"/>
        <c:scaling>
          <c:orientation val="minMax"/>
          <c:max val="40"/>
        </c:scaling>
        <c:delete val="0"/>
        <c:axPos val="r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935664"/>
        <c:crosses val="max"/>
        <c:crossBetween val="between"/>
      </c:valAx>
      <c:catAx>
        <c:axId val="1766935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65656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r>
              <a:rPr lang="en-US"/>
              <a:t>Hz waste generated</a:t>
            </a:r>
            <a:r>
              <a:rPr lang="th-TH"/>
              <a:t> </a:t>
            </a:r>
            <a:r>
              <a:rPr lang="en-US"/>
              <a:t>(All SCGC)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('Hz waste gen'!$E$158:$G$158,'Hz waste gen'!$I$158:$K$158)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Actual 2023</c:v>
                </c:pt>
                <c:pt idx="4">
                  <c:v>Normalize 2023</c:v>
                </c:pt>
                <c:pt idx="5">
                  <c:v>Plan 2024</c:v>
                </c:pt>
              </c:strCache>
            </c:strRef>
          </c:cat>
          <c:val>
            <c:numRef>
              <c:f>('Hz waste gen'!$E$159:$G$159,'Hz waste gen'!$I$159:$K$159)</c:f>
              <c:numCache>
                <c:formatCode>_-* #,##0.00_-;\-* #,##0.00_-;_-* "-"??_-;_-@_-</c:formatCode>
                <c:ptCount val="6"/>
                <c:pt idx="0">
                  <c:v>1.588990650589452</c:v>
                </c:pt>
                <c:pt idx="1">
                  <c:v>1.0945726667403946</c:v>
                </c:pt>
                <c:pt idx="2">
                  <c:v>1.405835177042593</c:v>
                </c:pt>
                <c:pt idx="3">
                  <c:v>0.81436409072403682</c:v>
                </c:pt>
                <c:pt idx="4">
                  <c:v>1.0900000000000001</c:v>
                </c:pt>
                <c:pt idx="5" formatCode="General">
                  <c:v>1.57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6-41CC-B2C1-EB6CC6CB1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1337168"/>
        <c:axId val="340366720"/>
      </c:barChart>
      <c:catAx>
        <c:axId val="27133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340366720"/>
        <c:crosses val="autoZero"/>
        <c:auto val="1"/>
        <c:lblAlgn val="ctr"/>
        <c:lblOffset val="100"/>
        <c:noMultiLvlLbl val="0"/>
      </c:catAx>
      <c:valAx>
        <c:axId val="34036672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27133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r>
              <a:rPr lang="en-US"/>
              <a:t>Hz waste generated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'[3]Water withdrawal'!$B$153</c:f>
              <c:strCache>
                <c:ptCount val="1"/>
                <c:pt idx="0">
                  <c:v>Normalize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CF5-4942-8DE8-B9FDA0B593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'[3]Water withdrawal'!$D$151:$H$151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Plan 2024</c:v>
                </c:pt>
              </c:strCache>
            </c:strRef>
          </c:cat>
          <c:val>
            <c:numRef>
              <c:f>'Hz waste gen'!$E$238:$I$238</c:f>
              <c:numCache>
                <c:formatCode>General</c:formatCode>
                <c:ptCount val="5"/>
                <c:pt idx="3" formatCode="_-* #,##0.00_-;\-* #,##0.00_-;_-* &quot;-&quot;??_-;_-@_-">
                  <c:v>1.0900000000000001</c:v>
                </c:pt>
                <c:pt idx="4" formatCode="_-* #,##0.00_-;\-* #,##0.00_-;_-* &quot;-&quot;??_-;_-@_-">
                  <c:v>1.2982549660098819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F5-4942-8DE8-B9FDA0B59381}"/>
            </c:ext>
          </c:extLst>
        </c:ser>
        <c:ser>
          <c:idx val="0"/>
          <c:order val="1"/>
          <c:tx>
            <c:strRef>
              <c:f>'[3]Water withdrawal'!$B$152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"/>
                  <c:y val="-6.37909886257824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1.31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CF5-4942-8DE8-B9FDA0B59381}"/>
                </c:ext>
              </c:extLst>
            </c:dLbl>
            <c:dLbl>
              <c:idx val="4"/>
              <c:layout>
                <c:manualLayout>
                  <c:x val="0"/>
                  <c:y val="-8.381714713414385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1.57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CF5-4942-8DE8-B9FDA0B593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'[3]Water withdrawal'!$D$151:$H$151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Plan 2024</c:v>
                </c:pt>
              </c:strCache>
            </c:strRef>
          </c:cat>
          <c:val>
            <c:numRef>
              <c:f>'Hz waste gen'!$E$237:$I$237</c:f>
              <c:numCache>
                <c:formatCode>_-* #,##0.00_-;\-* #,##0.00_-;_-* "-"??_-;_-@_-</c:formatCode>
                <c:ptCount val="5"/>
                <c:pt idx="0">
                  <c:v>1.588990650589452</c:v>
                </c:pt>
                <c:pt idx="1">
                  <c:v>1.0945726667403946</c:v>
                </c:pt>
                <c:pt idx="2">
                  <c:v>1.405835177042593</c:v>
                </c:pt>
                <c:pt idx="3">
                  <c:v>-0.27563590927596326</c:v>
                </c:pt>
                <c:pt idx="4">
                  <c:v>0.27174503399011818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F5-4942-8DE8-B9FDA0B59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9564896"/>
        <c:axId val="1980037456"/>
      </c:barChart>
      <c:catAx>
        <c:axId val="198956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980037456"/>
        <c:crosses val="autoZero"/>
        <c:auto val="1"/>
        <c:lblAlgn val="ctr"/>
        <c:lblOffset val="100"/>
        <c:noMultiLvlLbl val="0"/>
      </c:catAx>
      <c:valAx>
        <c:axId val="1980037456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98956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Hz waste generated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'Hz waste gen'!$A$88</c:f>
              <c:strCache>
                <c:ptCount val="1"/>
                <c:pt idx="0">
                  <c:v>Normalize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'Hz waste gen'!$B$85:$R$85</c:f>
              <c:strCache>
                <c:ptCount val="1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Jan-26</c:v>
                </c:pt>
                <c:pt idx="5">
                  <c:v>Feb-26</c:v>
                </c:pt>
                <c:pt idx="6">
                  <c:v>Mar-26</c:v>
                </c:pt>
                <c:pt idx="7">
                  <c:v>Apr-26</c:v>
                </c:pt>
                <c:pt idx="8">
                  <c:v>May-26</c:v>
                </c:pt>
                <c:pt idx="9">
                  <c:v>Jun-26</c:v>
                </c:pt>
                <c:pt idx="10">
                  <c:v>Jul-26</c:v>
                </c:pt>
                <c:pt idx="11">
                  <c:v>Aug-26</c:v>
                </c:pt>
                <c:pt idx="12">
                  <c:v>Sep-26</c:v>
                </c:pt>
                <c:pt idx="13">
                  <c:v>Oct-26</c:v>
                </c:pt>
                <c:pt idx="14">
                  <c:v>Nov-26</c:v>
                </c:pt>
                <c:pt idx="15">
                  <c:v>Dec-26</c:v>
                </c:pt>
                <c:pt idx="16">
                  <c:v>YTD 2026</c:v>
                </c:pt>
              </c:strCache>
            </c:strRef>
          </c:cat>
          <c:val>
            <c:numRef>
              <c:f>'Hz waste gen'!$B$88:$R$88</c:f>
              <c:numCache>
                <c:formatCode>General</c:formatCode>
                <c:ptCount val="17"/>
                <c:pt idx="8" formatCode="_-* #,##0.00_-;\-* #,##0.00_-;_-* &quot;-&quot;??_-;_-@_-">
                  <c:v>0</c:v>
                </c:pt>
                <c:pt idx="9" formatCode="_-* #,##0.00_-;\-* #,##0.00_-;_-* &quot;-&quot;??_-;_-@_-">
                  <c:v>0</c:v>
                </c:pt>
                <c:pt idx="10" formatCode="_-* #,##0.00_-;\-* #,##0.00_-;_-* &quot;-&quot;??_-;_-@_-">
                  <c:v>0</c:v>
                </c:pt>
                <c:pt idx="16" formatCode="_-* #,##0.00_-;\-* #,##0.00_-;_-* &quot;-&quot;??_-;_-@_-">
                  <c:v>0.81436409072403682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88-4136-B22E-A7FAC1D0B6E0}"/>
            </c:ext>
          </c:extLst>
        </c:ser>
        <c:ser>
          <c:idx val="0"/>
          <c:order val="1"/>
          <c:tx>
            <c:strRef>
              <c:f>'Hz waste gen'!$A$87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34707270722709371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88-4136-B22E-A7FAC1D0B6E0}"/>
                </c:ext>
              </c:extLst>
            </c:dLbl>
            <c:dLbl>
              <c:idx val="1"/>
              <c:layout>
                <c:manualLayout>
                  <c:x val="0"/>
                  <c:y val="-0.246105422207110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688-4136-B22E-A7FAC1D0B6E0}"/>
                </c:ext>
              </c:extLst>
            </c:dLbl>
            <c:dLbl>
              <c:idx val="2"/>
              <c:layout>
                <c:manualLayout>
                  <c:x val="0"/>
                  <c:y val="-0.3160386974185924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688-4136-B22E-A7FAC1D0B6E0}"/>
                </c:ext>
              </c:extLst>
            </c:dLbl>
            <c:dLbl>
              <c:idx val="3"/>
              <c:layout>
                <c:manualLayout>
                  <c:x val="0"/>
                  <c:y val="-0.2924406739627393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688-4136-B22E-A7FAC1D0B6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'Hz waste gen'!$B$85:$R$85</c:f>
              <c:strCache>
                <c:ptCount val="1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Jan-26</c:v>
                </c:pt>
                <c:pt idx="5">
                  <c:v>Feb-26</c:v>
                </c:pt>
                <c:pt idx="6">
                  <c:v>Mar-26</c:v>
                </c:pt>
                <c:pt idx="7">
                  <c:v>Apr-26</c:v>
                </c:pt>
                <c:pt idx="8">
                  <c:v>May-26</c:v>
                </c:pt>
                <c:pt idx="9">
                  <c:v>Jun-26</c:v>
                </c:pt>
                <c:pt idx="10">
                  <c:v>Jul-26</c:v>
                </c:pt>
                <c:pt idx="11">
                  <c:v>Aug-26</c:v>
                </c:pt>
                <c:pt idx="12">
                  <c:v>Sep-26</c:v>
                </c:pt>
                <c:pt idx="13">
                  <c:v>Oct-26</c:v>
                </c:pt>
                <c:pt idx="14">
                  <c:v>Nov-26</c:v>
                </c:pt>
                <c:pt idx="15">
                  <c:v>Dec-26</c:v>
                </c:pt>
                <c:pt idx="16">
                  <c:v>YTD 2026</c:v>
                </c:pt>
              </c:strCache>
            </c:strRef>
          </c:cat>
          <c:val>
            <c:numRef>
              <c:f>'Hz waste gen'!$B$87:$R$87</c:f>
              <c:numCache>
                <c:formatCode>_-* #,##0.00_-;\-* #,##0.00_-;_-* "-"??_-;_-@_-</c:formatCode>
                <c:ptCount val="17"/>
                <c:pt idx="0">
                  <c:v>1.588990650589452</c:v>
                </c:pt>
                <c:pt idx="1">
                  <c:v>1.0945726667403946</c:v>
                </c:pt>
                <c:pt idx="2">
                  <c:v>1.405835177042593</c:v>
                </c:pt>
                <c:pt idx="3">
                  <c:v>1.3054520098035491</c:v>
                </c:pt>
                <c:pt idx="4">
                  <c:v>0.74803315856434383</c:v>
                </c:pt>
                <c:pt idx="5">
                  <c:v>1.0117589426634492</c:v>
                </c:pt>
                <c:pt idx="6">
                  <c:v>0.86194376185881127</c:v>
                </c:pt>
                <c:pt idx="7">
                  <c:v>0.6182054638362281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0.81436409072403682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88-4136-B22E-A7FAC1D0B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0516335"/>
        <c:axId val="1214396991"/>
      </c:barChart>
      <c:lineChart>
        <c:grouping val="standard"/>
        <c:varyColors val="0"/>
        <c:ser>
          <c:idx val="3"/>
          <c:order val="3"/>
          <c:tx>
            <c:strRef>
              <c:f>'Hz waste gen'!$A$86</c:f>
              <c:strCache>
                <c:ptCount val="1"/>
                <c:pt idx="0">
                  <c:v>Target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'Hz waste gen'!$B$86:$R$86</c:f>
              <c:numCache>
                <c:formatCode>General</c:formatCode>
                <c:ptCount val="17"/>
                <c:pt idx="4" formatCode="_-* #,##0.00_-;\-* #,##0.00_-;_-* &quot;-&quot;??_-;_-@_-">
                  <c:v>0</c:v>
                </c:pt>
                <c:pt idx="5" formatCode="_-* #,##0.00_-;\-* #,##0.00_-;_-* &quot;-&quot;??_-;_-@_-">
                  <c:v>0</c:v>
                </c:pt>
                <c:pt idx="6" formatCode="_-* #,##0.00_-;\-* #,##0.00_-;_-* &quot;-&quot;??_-;_-@_-">
                  <c:v>0</c:v>
                </c:pt>
                <c:pt idx="7" formatCode="_-* #,##0.00_-;\-* #,##0.00_-;_-* &quot;-&quot;??_-;_-@_-">
                  <c:v>0</c:v>
                </c:pt>
                <c:pt idx="8" formatCode="_-* #,##0.00_-;\-* #,##0.00_-;_-* &quot;-&quot;??_-;_-@_-">
                  <c:v>0</c:v>
                </c:pt>
                <c:pt idx="9" formatCode="_-* #,##0.00_-;\-* #,##0.00_-;_-* &quot;-&quot;??_-;_-@_-">
                  <c:v>0</c:v>
                </c:pt>
                <c:pt idx="10" formatCode="_-* #,##0.00_-;\-* #,##0.00_-;_-* &quot;-&quot;??_-;_-@_-">
                  <c:v>0</c:v>
                </c:pt>
                <c:pt idx="11" formatCode="_-* #,##0.00_-;\-* #,##0.00_-;_-* &quot;-&quot;??_-;_-@_-">
                  <c:v>0</c:v>
                </c:pt>
                <c:pt idx="12" formatCode="_-* #,##0.00_-;\-* #,##0.00_-;_-* &quot;-&quot;??_-;_-@_-">
                  <c:v>0</c:v>
                </c:pt>
                <c:pt idx="13" formatCode="_-* #,##0.00_-;\-* #,##0.00_-;_-* &quot;-&quot;??_-;_-@_-">
                  <c:v>0</c:v>
                </c:pt>
                <c:pt idx="14" formatCode="_-* #,##0.00_-;\-* #,##0.00_-;_-* &quot;-&quot;??_-;_-@_-">
                  <c:v>0</c:v>
                </c:pt>
                <c:pt idx="15" formatCode="_-* #,##0.00_-;\-* #,##0.00_-;_-* &quot;-&quot;??_-;_-@_-">
                  <c:v>0</c:v>
                </c:pt>
                <c:pt idx="16" formatCode="_-* #,##0.00_-;\-* #,##0.00_-;_-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88-4136-B22E-A7FAC1D0B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516335"/>
        <c:axId val="1214396991"/>
      </c:lineChart>
      <c:lineChart>
        <c:grouping val="stacked"/>
        <c:varyColors val="0"/>
        <c:ser>
          <c:idx val="2"/>
          <c:order val="2"/>
          <c:tx>
            <c:strRef>
              <c:f>'Hz waste gen'!$A$89</c:f>
              <c:strCache>
                <c:ptCount val="1"/>
                <c:pt idx="0">
                  <c:v>Production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'Hz waste gen'!$B$89:$E$89</c:f>
              <c:numCache>
                <c:formatCode>_-* #,##0.00_-;\-* #,##0.00_-;_-* "-"??_-;_-@_-</c:formatCode>
                <c:ptCount val="4"/>
                <c:pt idx="0">
                  <c:v>9.0561442384612807</c:v>
                </c:pt>
                <c:pt idx="1">
                  <c:v>10.3315058334617</c:v>
                </c:pt>
                <c:pt idx="2">
                  <c:v>8.0495006936000006</c:v>
                </c:pt>
                <c:pt idx="3">
                  <c:v>8.2806149300000023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88-4136-B22E-A7FAC1D0B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1186895"/>
        <c:axId val="1215553695"/>
      </c:lineChart>
      <c:catAx>
        <c:axId val="9105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96991"/>
        <c:crosses val="autoZero"/>
        <c:auto val="1"/>
        <c:lblAlgn val="ctr"/>
        <c:lblOffset val="100"/>
        <c:noMultiLvlLbl val="0"/>
      </c:catAx>
      <c:valAx>
        <c:axId val="1214396991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16335"/>
        <c:crosses val="autoZero"/>
        <c:crossBetween val="between"/>
      </c:valAx>
      <c:valAx>
        <c:axId val="1215553695"/>
        <c:scaling>
          <c:orientation val="minMax"/>
        </c:scaling>
        <c:delete val="0"/>
        <c:axPos val="r"/>
        <c:numFmt formatCode="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186895"/>
        <c:crosses val="max"/>
        <c:crossBetween val="between"/>
      </c:valAx>
      <c:catAx>
        <c:axId val="1141186895"/>
        <c:scaling>
          <c:orientation val="minMax"/>
        </c:scaling>
        <c:delete val="1"/>
        <c:axPos val="b"/>
        <c:majorTickMark val="out"/>
        <c:minorTickMark val="none"/>
        <c:tickLblPos val="nextTo"/>
        <c:crossAx val="12155536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r>
              <a:rPr lang="en-US" sz="1000" b="1"/>
              <a:t>Hz waste generated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07955088474564E-2"/>
          <c:y val="0.14554555680539932"/>
          <c:w val="0.87657485208277774"/>
          <c:h val="0.74652449693788281"/>
        </c:manualLayout>
      </c:layout>
      <c:barChart>
        <c:barDir val="col"/>
        <c:grouping val="stacked"/>
        <c:varyColors val="0"/>
        <c:ser>
          <c:idx val="0"/>
          <c:order val="1"/>
          <c:tx>
            <c:strRef>
              <c:f>'Hz waste gen'!$A$87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5015629844316115E-3"/>
                  <c:y val="-0.2162185976752906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E9F-4AC0-99E0-59513D0F3E2E}"/>
                </c:ext>
              </c:extLst>
            </c:dLbl>
            <c:dLbl>
              <c:idx val="1"/>
              <c:layout>
                <c:manualLayout>
                  <c:x val="0"/>
                  <c:y val="-0.1604696287964005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E9F-4AC0-99E0-59513D0F3E2E}"/>
                </c:ext>
              </c:extLst>
            </c:dLbl>
            <c:dLbl>
              <c:idx val="2"/>
              <c:layout>
                <c:manualLayout>
                  <c:x val="-4.8748962442281855E-3"/>
                  <c:y val="-0.1939048243969503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E9F-4AC0-99E0-59513D0F3E2E}"/>
                </c:ext>
              </c:extLst>
            </c:dLbl>
            <c:dLbl>
              <c:idx val="3"/>
              <c:layout>
                <c:manualLayout>
                  <c:x val="-5.0031259688633149E-3"/>
                  <c:y val="-0.1861798525184351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E9F-4AC0-99E0-59513D0F3E2E}"/>
                </c:ext>
              </c:extLst>
            </c:dLbl>
            <c:dLbl>
              <c:idx val="4"/>
              <c:layout>
                <c:manualLayout>
                  <c:x val="-9.1722916504867271E-17"/>
                  <c:y val="-0.2976831021122360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F8-4061-9758-1B9BC582CAED}"/>
                </c:ext>
              </c:extLst>
            </c:dLbl>
            <c:dLbl>
              <c:idx val="5"/>
              <c:layout>
                <c:manualLayout>
                  <c:x val="0"/>
                  <c:y val="-0.3616057367829021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F8-4061-9758-1B9BC582CA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('Hz waste gen'!$B$85:$E$85,'Hz waste gen'!$G$85,'Hz waste gen'!$R$85)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Feb-26</c:v>
                </c:pt>
                <c:pt idx="5">
                  <c:v>YTD 2026</c:v>
                </c:pt>
              </c:strCache>
            </c:strRef>
          </c:cat>
          <c:val>
            <c:numRef>
              <c:f>('Hz waste gen'!$B$87:$E$87,'Hz waste gen'!$G$87,'Hz waste gen'!$R$87)</c:f>
              <c:numCache>
                <c:formatCode>_-* #,##0.00_-;\-* #,##0.00_-;_-* "-"??_-;_-@_-</c:formatCode>
                <c:ptCount val="6"/>
                <c:pt idx="0">
                  <c:v>1.588990650589452</c:v>
                </c:pt>
                <c:pt idx="1">
                  <c:v>1.0945726667403946</c:v>
                </c:pt>
                <c:pt idx="2">
                  <c:v>1.405835177042593</c:v>
                </c:pt>
                <c:pt idx="3">
                  <c:v>1.3054520098035491</c:v>
                </c:pt>
                <c:pt idx="4">
                  <c:v>1.0117589426634492</c:v>
                </c:pt>
                <c:pt idx="5">
                  <c:v>0.81436409072403682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9F-4AC0-99E0-59513D0F3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0516335"/>
        <c:axId val="1214396991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'Hz waste gen'!$A$88</c15:sqref>
                        </c15:formulaRef>
                      </c:ext>
                    </c:extLst>
                    <c:strCache>
                      <c:ptCount val="1"/>
                      <c:pt idx="0">
                        <c:v>Normalize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('Hz waste gen'!$B$85:$E$85,'Hz waste gen'!$G$85,'Hz waste gen'!$R$85)</c15:sqref>
                        </c15:formulaRef>
                      </c:ext>
                    </c:extLst>
                    <c:strCach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Feb-26</c:v>
                      </c:pt>
                      <c:pt idx="5">
                        <c:v>YTD 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'Hz waste gen'!$B$88:$R$88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8" formatCode="_-* #,##0.00_-;\-* #,##0.00_-;_-* &quot;-&quot;??_-;_-@_-">
                        <c:v>0</c:v>
                      </c:pt>
                      <c:pt idx="9" formatCode="_-* #,##0.00_-;\-* #,##0.00_-;_-* &quot;-&quot;??_-;_-@_-">
                        <c:v>0</c:v>
                      </c:pt>
                      <c:pt idx="10" formatCode="_-* #,##0.00_-;\-* #,##0.00_-;_-* &quot;-&quot;??_-;_-@_-">
                        <c:v>0</c:v>
                      </c:pt>
                      <c:pt idx="16" formatCode="_-* #,##0.00_-;\-* #,##0.00_-;_-* &quot;-&quot;??_-;_-@_-">
                        <c:v>0.81436409072403682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E9F-4AC0-99E0-59513D0F3E2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'Hz waste gen'!$A$86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('Hz waste gen'!$B$85:$E$85,'Hz waste gen'!$G$85,'Hz waste gen'!$R$85)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Feb-26</c:v>
                </c:pt>
                <c:pt idx="5">
                  <c:v>YTD 2026</c:v>
                </c:pt>
              </c:strCache>
            </c:strRef>
          </c:cat>
          <c:val>
            <c:numRef>
              <c:f>('Hz waste gen'!$B$86:$F$86,'Hz waste gen'!$R$86)</c:f>
              <c:numCache>
                <c:formatCode>General</c:formatCode>
                <c:ptCount val="6"/>
                <c:pt idx="4" formatCode="_-* #,##0.00_-;\-* #,##0.00_-;_-* &quot;-&quot;??_-;_-@_-">
                  <c:v>0</c:v>
                </c:pt>
                <c:pt idx="5" formatCode="_-* #,##0.00_-;\-* #,##0.00_-;_-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9F-4AC0-99E0-59513D0F3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516335"/>
        <c:axId val="1214396991"/>
      </c:lineChart>
      <c:line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1186895"/>
        <c:axId val="1215553695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'Hz waste gen'!$A$89</c15:sqref>
                        </c15:formulaRef>
                      </c:ext>
                    </c:extLst>
                    <c:strCache>
                      <c:ptCount val="1"/>
                      <c:pt idx="0">
                        <c:v>Production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bg2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SCG" panose="02000503000000020004" pitchFamily="50" charset="-34"/>
                          <a:ea typeface="+mn-ea"/>
                          <a:cs typeface="SCG" panose="02000503000000020004" pitchFamily="50" charset="-34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'Hz waste gen'!$B$85:$E$85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'Hz waste gen'!$B$89:$E$89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4"/>
                      <c:pt idx="0">
                        <c:v>9.0561442384612807</c:v>
                      </c:pt>
                      <c:pt idx="1">
                        <c:v>10.3315058334617</c:v>
                      </c:pt>
                      <c:pt idx="2">
                        <c:v>8.0495006936000006</c:v>
                      </c:pt>
                      <c:pt idx="3">
                        <c:v>8.2806149300000023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BE9F-4AC0-99E0-59513D0F3E2E}"/>
                  </c:ext>
                </c:extLst>
              </c15:ser>
            </c15:filteredLineSeries>
          </c:ext>
        </c:extLst>
      </c:lineChart>
      <c:catAx>
        <c:axId val="9105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214396991"/>
        <c:crosses val="autoZero"/>
        <c:auto val="1"/>
        <c:lblAlgn val="ctr"/>
        <c:lblOffset val="100"/>
        <c:noMultiLvlLbl val="0"/>
      </c:catAx>
      <c:valAx>
        <c:axId val="121439699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r>
                  <a:rPr lang="en-US"/>
                  <a:t>kg/ton</a:t>
                </a:r>
              </a:p>
            </c:rich>
          </c:tx>
          <c:layout>
            <c:manualLayout>
              <c:xMode val="edge"/>
              <c:yMode val="edge"/>
              <c:x val="1.0006251937726446E-2"/>
              <c:y val="3.254780652418447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CG" panose="02000503000000020004" pitchFamily="50" charset="-34"/>
                  <a:ea typeface="+mn-ea"/>
                  <a:cs typeface="SCG" panose="02000503000000020004" pitchFamily="50" charset="-34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910516335"/>
        <c:crosses val="autoZero"/>
        <c:crossBetween val="between"/>
      </c:valAx>
      <c:valAx>
        <c:axId val="1215553695"/>
        <c:scaling>
          <c:orientation val="minMax"/>
        </c:scaling>
        <c:delete val="1"/>
        <c:axPos val="r"/>
        <c:numFmt formatCode="#,##0.00" sourceLinked="0"/>
        <c:majorTickMark val="out"/>
        <c:minorTickMark val="none"/>
        <c:tickLblPos val="nextTo"/>
        <c:crossAx val="1141186895"/>
        <c:crosses val="max"/>
        <c:crossBetween val="between"/>
      </c:valAx>
      <c:catAx>
        <c:axId val="1141186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55536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r>
              <a:rPr lang="en-US" sz="1000" b="1"/>
              <a:t>Hz waste generated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07955088474564E-2"/>
          <c:y val="0.14554555680539932"/>
          <c:w val="0.87657485208277774"/>
          <c:h val="0.74652449693788281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'Hz waste gen'!$A$87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('Hz waste gen'!$B$85:$E$85,'Hz waste gen'!$F$85,'Hz waste gen'!$R$85)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Jan-26</c:v>
                </c:pt>
                <c:pt idx="5">
                  <c:v>YTD 2026</c:v>
                </c:pt>
              </c:strCache>
            </c:strRef>
          </c:cat>
          <c:val>
            <c:numRef>
              <c:f>'Hz waste gen'!$B$91:$E$91</c:f>
              <c:numCache>
                <c:formatCode>_-* #,##0.00_-;\-* #,##0.00_-;_-* "-"??_-;_-@_-</c:formatCode>
                <c:ptCount val="4"/>
                <c:pt idx="0">
                  <c:v>1.4320631397858594</c:v>
                </c:pt>
                <c:pt idx="1">
                  <c:v>1.0075551457902248</c:v>
                </c:pt>
                <c:pt idx="2">
                  <c:v>1.3132584746456342</c:v>
                </c:pt>
                <c:pt idx="3">
                  <c:v>1.1413270062914977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0C-4C60-BBCC-4F6B651B3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0516335"/>
        <c:axId val="1214396991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'Hz waste gen'!$A$88</c15:sqref>
                        </c15:formulaRef>
                      </c:ext>
                    </c:extLst>
                    <c:strCache>
                      <c:ptCount val="1"/>
                      <c:pt idx="0">
                        <c:v>Normalize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('Hz waste gen'!$B$85:$E$85,'Hz waste gen'!$F$85,'Hz waste gen'!$R$85)</c15:sqref>
                        </c15:formulaRef>
                      </c:ext>
                    </c:extLst>
                    <c:strCach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Jan-26</c:v>
                      </c:pt>
                      <c:pt idx="5">
                        <c:v>YTD 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'Hz waste gen'!$B$88:$R$88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8" formatCode="_-* #,##0.00_-;\-* #,##0.00_-;_-* &quot;-&quot;??_-;_-@_-">
                        <c:v>0</c:v>
                      </c:pt>
                      <c:pt idx="9" formatCode="_-* #,##0.00_-;\-* #,##0.00_-;_-* &quot;-&quot;??_-;_-@_-">
                        <c:v>0</c:v>
                      </c:pt>
                      <c:pt idx="10" formatCode="_-* #,##0.00_-;\-* #,##0.00_-;_-* &quot;-&quot;??_-;_-@_-">
                        <c:v>0</c:v>
                      </c:pt>
                      <c:pt idx="16" formatCode="_-* #,##0.00_-;\-* #,##0.00_-;_-* &quot;-&quot;??_-;_-@_-">
                        <c:v>0.81436409072403682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4B0C-4C60-BBCC-4F6B651B350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'Hz waste gen'!$A$89</c15:sqref>
                        </c15:formulaRef>
                      </c:ext>
                    </c:extLst>
                    <c:strCache>
                      <c:ptCount val="1"/>
                      <c:pt idx="0">
                        <c:v>Production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solidFill>
                      <a:schemeClr val="bg2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SCG" panose="02000503000000020004" pitchFamily="50" charset="-34"/>
                          <a:ea typeface="+mn-ea"/>
                          <a:cs typeface="SCG" panose="02000503000000020004" pitchFamily="50" charset="-34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'Hz waste gen'!$B$85:$E$85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'Hz waste gen'!$B$89:$E$89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4"/>
                      <c:pt idx="0">
                        <c:v>9.0561442384612807</c:v>
                      </c:pt>
                      <c:pt idx="1">
                        <c:v>10.3315058334617</c:v>
                      </c:pt>
                      <c:pt idx="2">
                        <c:v>8.0495006936000006</c:v>
                      </c:pt>
                      <c:pt idx="3">
                        <c:v>8.2806149300000023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B0C-4C60-BBCC-4F6B651B350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3"/>
          <c:order val="3"/>
          <c:tx>
            <c:strRef>
              <c:f>'Hz waste gen'!$A$86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('Hz waste gen'!$B$85:$E$85,'Hz waste gen'!$F$85,'Hz waste gen'!$R$85)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Jan-26</c:v>
                </c:pt>
                <c:pt idx="5">
                  <c:v>YTD 2026</c:v>
                </c:pt>
              </c:strCache>
            </c:strRef>
          </c:cat>
          <c:val>
            <c:numRef>
              <c:f>('Hz waste gen'!$B$86:$F$86,'Hz waste gen'!$R$86)</c:f>
              <c:numCache>
                <c:formatCode>General</c:formatCode>
                <c:ptCount val="6"/>
                <c:pt idx="4" formatCode="_-* #,##0.00_-;\-* #,##0.00_-;_-* &quot;-&quot;??_-;_-@_-">
                  <c:v>0</c:v>
                </c:pt>
                <c:pt idx="5" formatCode="_-* #,##0.00_-;\-* #,##0.00_-;_-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B0C-4C60-BBCC-4F6B651B3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516335"/>
        <c:axId val="1214396991"/>
      </c:lineChart>
      <c:catAx>
        <c:axId val="9105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214396991"/>
        <c:crosses val="autoZero"/>
        <c:auto val="1"/>
        <c:lblAlgn val="ctr"/>
        <c:lblOffset val="100"/>
        <c:noMultiLvlLbl val="0"/>
      </c:catAx>
      <c:valAx>
        <c:axId val="121439699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r>
                  <a:rPr lang="en-US"/>
                  <a:t>kg/ton</a:t>
                </a:r>
              </a:p>
            </c:rich>
          </c:tx>
          <c:layout>
            <c:manualLayout>
              <c:xMode val="edge"/>
              <c:yMode val="edge"/>
              <c:x val="1.0006251937726446E-2"/>
              <c:y val="3.254780652418447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CG" panose="02000503000000020004" pitchFamily="50" charset="-34"/>
                  <a:ea typeface="+mn-ea"/>
                  <a:cs typeface="SCG" panose="02000503000000020004" pitchFamily="50" charset="-34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91051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r>
              <a:rPr lang="en-US" sz="1000" b="1"/>
              <a:t>Hz waste generated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07955088474564E-2"/>
          <c:y val="0.14554555680539932"/>
          <c:w val="0.87657485208277774"/>
          <c:h val="0.74652449693788281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'Hz waste gen'!$A$88</c:f>
              <c:strCache>
                <c:ptCount val="1"/>
                <c:pt idx="0">
                  <c:v>Normalize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"/>
                  <c:y val="-5.409061327681886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FC-413A-AA02-D26F1B080D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('Hz waste gen'!$B$85:$E$85,'Hz waste gen'!$M$85,'Hz waste gen'!$R$85)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Aug-26</c:v>
                </c:pt>
                <c:pt idx="5">
                  <c:v>YTD 2026</c:v>
                </c:pt>
              </c:strCache>
            </c:strRef>
          </c:cat>
          <c:val>
            <c:numRef>
              <c:f>('Hz waste gen'!$B$88:$E$88,'Hz waste gen'!$M$88,'Hz waste gen'!$R$88)</c:f>
              <c:numCache>
                <c:formatCode>General</c:formatCode>
                <c:ptCount val="6"/>
                <c:pt idx="5" formatCode="_-* #,##0.00_-;\-* #,##0.00_-;_-* &quot;-&quot;??_-;_-@_-">
                  <c:v>0.81436409072403682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69FC-413A-AA02-D26F1B080DF8}"/>
            </c:ext>
          </c:extLst>
        </c:ser>
        <c:ser>
          <c:idx val="0"/>
          <c:order val="1"/>
          <c:tx>
            <c:strRef>
              <c:f>'Hz waste gen'!$A$87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5015629844316115E-3"/>
                  <c:y val="-5.748843894513185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FC-413A-AA02-D26F1B080DF8}"/>
                </c:ext>
              </c:extLst>
            </c:dLbl>
            <c:dLbl>
              <c:idx val="1"/>
              <c:layout>
                <c:manualLayout>
                  <c:x val="0"/>
                  <c:y val="-4.539026371703536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9FC-413A-AA02-D26F1B080DF8}"/>
                </c:ext>
              </c:extLst>
            </c:dLbl>
            <c:dLbl>
              <c:idx val="2"/>
              <c:layout>
                <c:manualLayout>
                  <c:x val="-2.3733332597965736E-3"/>
                  <c:y val="-5.8984189476315459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FC-413A-AA02-D26F1B080DF8}"/>
                </c:ext>
              </c:extLst>
            </c:dLbl>
            <c:dLbl>
              <c:idx val="3"/>
              <c:layout>
                <c:manualLayout>
                  <c:x val="0"/>
                  <c:y val="-5.522747156605439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9FC-413A-AA02-D26F1B080DF8}"/>
                </c:ext>
              </c:extLst>
            </c:dLbl>
            <c:dLbl>
              <c:idx val="5"/>
              <c:layout>
                <c:manualLayout>
                  <c:x val="0"/>
                  <c:y val="-0.1029608435069117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9FC-413A-AA02-D26F1B080D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('Hz waste gen'!$B$85:$E$85,'Hz waste gen'!$M$85,'Hz waste gen'!$R$85)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Aug-26</c:v>
                </c:pt>
                <c:pt idx="5">
                  <c:v>YTD 2026</c:v>
                </c:pt>
              </c:strCache>
            </c:strRef>
          </c:cat>
          <c:val>
            <c:numRef>
              <c:f>('Hz waste gen'!$B$87:$E$87,'Hz waste gen'!$M$87,'Hz waste gen'!$R$87)</c:f>
              <c:numCache>
                <c:formatCode>_-* #,##0.00_-;\-* #,##0.00_-;_-* "-"??_-;_-@_-</c:formatCode>
                <c:ptCount val="6"/>
                <c:pt idx="0">
                  <c:v>1.588990650589452</c:v>
                </c:pt>
                <c:pt idx="1">
                  <c:v>1.0945726667403946</c:v>
                </c:pt>
                <c:pt idx="2">
                  <c:v>1.405835177042593</c:v>
                </c:pt>
                <c:pt idx="3">
                  <c:v>1.3054520098035491</c:v>
                </c:pt>
                <c:pt idx="4">
                  <c:v>0</c:v>
                </c:pt>
                <c:pt idx="5">
                  <c:v>0.81436409072403682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FC-413A-AA02-D26F1B080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0516335"/>
        <c:axId val="1214396991"/>
        <c:extLst/>
      </c:barChart>
      <c:lineChart>
        <c:grouping val="standard"/>
        <c:varyColors val="0"/>
        <c:ser>
          <c:idx val="3"/>
          <c:order val="3"/>
          <c:tx>
            <c:strRef>
              <c:f>'Hz waste gen'!$A$86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('[8]Hz waste gen'!$B$72:$E$72,'[8]Hz waste gen'!$G$72,'[8]Hz waste gen'!$R$72)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45323</c:v>
                </c:pt>
                <c:pt idx="5">
                  <c:v>YTD 2024</c:v>
                </c:pt>
              </c:strCache>
            </c:strRef>
          </c:cat>
          <c:val>
            <c:numRef>
              <c:f>('Hz waste gen'!$B$86:$E$86,'Hz waste gen'!$K$86,'Hz waste gen'!$R$86)</c:f>
              <c:numCache>
                <c:formatCode>General</c:formatCode>
                <c:ptCount val="6"/>
                <c:pt idx="4" formatCode="_-* #,##0.00_-;\-* #,##0.00_-;_-* &quot;-&quot;??_-;_-@_-">
                  <c:v>0</c:v>
                </c:pt>
                <c:pt idx="5" formatCode="_-* #,##0.00_-;\-* #,##0.00_-;_-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9FC-413A-AA02-D26F1B080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516335"/>
        <c:axId val="1214396991"/>
      </c:lineChart>
      <c:line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1186895"/>
        <c:axId val="1215553695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'[8]Hz waste gen'!$A$76</c15:sqref>
                        </c15:formulaRef>
                      </c:ext>
                    </c:extLst>
                    <c:strCache>
                      <c:ptCount val="1"/>
                      <c:pt idx="0">
                        <c:v>Production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noFill/>
                    <a:ln w="9525">
                      <a:noFill/>
                    </a:ln>
                    <a:effectLst/>
                  </c:spPr>
                </c:marker>
                <c:dLbls>
                  <c:spPr>
                    <a:solidFill>
                      <a:schemeClr val="bg2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SCG" panose="02000503000000020004" pitchFamily="50" charset="-34"/>
                          <a:ea typeface="+mn-ea"/>
                          <a:cs typeface="SCG" panose="02000503000000020004" pitchFamily="50" charset="-34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'[8]Hz waste gen'!$B$72:$E$72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'[8]Hz waste gen'!$B$76:$E$76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9.0561442384612807</c:v>
                      </c:pt>
                      <c:pt idx="1">
                        <c:v>10.3315058334617</c:v>
                      </c:pt>
                      <c:pt idx="2">
                        <c:v>8.0495006936000006</c:v>
                      </c:pt>
                      <c:pt idx="3">
                        <c:v>8.2806149300000023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A-69FC-413A-AA02-D26F1B080DF8}"/>
                  </c:ext>
                </c:extLst>
              </c15:ser>
            </c15:filteredLineSeries>
          </c:ext>
        </c:extLst>
      </c:lineChart>
      <c:catAx>
        <c:axId val="9105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214396991"/>
        <c:crosses val="autoZero"/>
        <c:auto val="1"/>
        <c:lblAlgn val="ctr"/>
        <c:lblOffset val="100"/>
        <c:noMultiLvlLbl val="0"/>
      </c:catAx>
      <c:valAx>
        <c:axId val="121439699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r>
                  <a:rPr lang="en-US"/>
                  <a:t>kg/ton</a:t>
                </a:r>
              </a:p>
            </c:rich>
          </c:tx>
          <c:layout>
            <c:manualLayout>
              <c:xMode val="edge"/>
              <c:yMode val="edge"/>
              <c:x val="1.0006251937726446E-2"/>
              <c:y val="3.254780652418447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CG" panose="02000503000000020004" pitchFamily="50" charset="-34"/>
                  <a:ea typeface="+mn-ea"/>
                  <a:cs typeface="SCG" panose="02000503000000020004" pitchFamily="50" charset="-34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910516335"/>
        <c:crosses val="autoZero"/>
        <c:crossBetween val="between"/>
      </c:valAx>
      <c:valAx>
        <c:axId val="1215553695"/>
        <c:scaling>
          <c:orientation val="minMax"/>
        </c:scaling>
        <c:delete val="1"/>
        <c:axPos val="r"/>
        <c:numFmt formatCode="#,##0.00" sourceLinked="0"/>
        <c:majorTickMark val="out"/>
        <c:minorTickMark val="none"/>
        <c:tickLblPos val="nextTo"/>
        <c:crossAx val="1141186895"/>
        <c:crosses val="max"/>
        <c:crossBetween val="between"/>
      </c:valAx>
      <c:catAx>
        <c:axId val="1141186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55536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'Hz waste gen'!$R$136</c:f>
              <c:strCache>
                <c:ptCount val="1"/>
                <c:pt idx="0">
                  <c:v>Genrate Plan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BC7-4253-9D83-B79B344D70A6}"/>
                </c:ext>
              </c:extLst>
            </c:dLbl>
            <c:dLbl>
              <c:idx val="1"/>
              <c:layout>
                <c:manualLayout>
                  <c:x val="-1.9437683870794413E-2"/>
                  <c:y val="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C7-4253-9D83-B79B344D70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'Hz waste gen'!$S$135:$Z$135</c:f>
              <c:strCache>
                <c:ptCount val="8"/>
                <c:pt idx="0">
                  <c:v>Jan - May -25</c:v>
                </c:pt>
                <c:pt idx="1">
                  <c:v>Jun-25</c:v>
                </c:pt>
                <c:pt idx="2">
                  <c:v>Jul-25</c:v>
                </c:pt>
                <c:pt idx="3">
                  <c:v>Aug-25</c:v>
                </c:pt>
                <c:pt idx="4">
                  <c:v>Sep-25</c:v>
                </c:pt>
                <c:pt idx="5">
                  <c:v>Oct-25</c:v>
                </c:pt>
                <c:pt idx="6">
                  <c:v>Nov - Dec -25</c:v>
                </c:pt>
                <c:pt idx="7">
                  <c:v>total</c:v>
                </c:pt>
              </c:strCache>
            </c:strRef>
          </c:cat>
          <c:val>
            <c:numRef>
              <c:f>'Hz waste gen'!$S$136:$Z$136</c:f>
              <c:numCache>
                <c:formatCode>_-* #,##0_-;\-* #,##0_-;_-* "-"??_-;_-@_-</c:formatCode>
                <c:ptCount val="8"/>
                <c:pt idx="0" formatCode="General">
                  <c:v>0</c:v>
                </c:pt>
                <c:pt idx="1">
                  <c:v>400</c:v>
                </c:pt>
                <c:pt idx="2">
                  <c:v>60</c:v>
                </c:pt>
                <c:pt idx="3">
                  <c:v>1000</c:v>
                </c:pt>
                <c:pt idx="4">
                  <c:v>370</c:v>
                </c:pt>
                <c:pt idx="5">
                  <c:v>70</c:v>
                </c:pt>
                <c:pt idx="6">
                  <c:v>30</c:v>
                </c:pt>
                <c:pt idx="7">
                  <c:v>2467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C7-4253-9D83-B79B344D70A6}"/>
            </c:ext>
          </c:extLst>
        </c:ser>
        <c:ser>
          <c:idx val="1"/>
          <c:order val="1"/>
          <c:tx>
            <c:strRef>
              <c:f>'Hz waste gen'!$R$137</c:f>
              <c:strCache>
                <c:ptCount val="1"/>
                <c:pt idx="0">
                  <c:v>Dispose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8.3231333079779972E-3"/>
                  <c:y val="9.25925925925917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BC7-4253-9D83-B79B344D70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'Hz waste gen'!$S$135:$Z$135</c:f>
              <c:strCache>
                <c:ptCount val="8"/>
                <c:pt idx="0">
                  <c:v>Jan - May -25</c:v>
                </c:pt>
                <c:pt idx="1">
                  <c:v>Jun-25</c:v>
                </c:pt>
                <c:pt idx="2">
                  <c:v>Jul-25</c:v>
                </c:pt>
                <c:pt idx="3">
                  <c:v>Aug-25</c:v>
                </c:pt>
                <c:pt idx="4">
                  <c:v>Sep-25</c:v>
                </c:pt>
                <c:pt idx="5">
                  <c:v>Oct-25</c:v>
                </c:pt>
                <c:pt idx="6">
                  <c:v>Nov - Dec -25</c:v>
                </c:pt>
                <c:pt idx="7">
                  <c:v>total</c:v>
                </c:pt>
              </c:strCache>
            </c:strRef>
          </c:cat>
          <c:val>
            <c:numRef>
              <c:f>'Hz waste gen'!$S$137:$Z$137</c:f>
              <c:numCache>
                <c:formatCode>0</c:formatCode>
                <c:ptCount val="8"/>
                <c:pt idx="0" formatCode="General">
                  <c:v>537</c:v>
                </c:pt>
                <c:pt idx="1">
                  <c:v>419.85</c:v>
                </c:pt>
                <c:pt idx="2" formatCode="General">
                  <c:v>100</c:v>
                </c:pt>
                <c:pt idx="7">
                  <c:v>1056.8499999999999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C7-4253-9D83-B79B344D7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722528"/>
        <c:axId val="1775298560"/>
      </c:barChart>
      <c:catAx>
        <c:axId val="159772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775298560"/>
        <c:crosses val="autoZero"/>
        <c:auto val="1"/>
        <c:lblAlgn val="ctr"/>
        <c:lblOffset val="100"/>
        <c:noMultiLvlLbl val="0"/>
      </c:catAx>
      <c:valAx>
        <c:axId val="1775298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59772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800" b="1" i="0" baseline="0">
                <a:effectLst/>
              </a:rPr>
              <a:t>Waste directed to disposal (All SCGC)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1"/>
          <c:tx>
            <c:strRef>
              <c:f>'Waste disposal'!$C$148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'Waste disposal'!$E$148:$J$148</c:f>
              <c:numCache>
                <c:formatCode>_-* #,##0.00_-;\-* #,##0.00_-;_-* "-"??_-;_-@_-</c:formatCode>
                <c:ptCount val="6"/>
                <c:pt idx="0">
                  <c:v>1.0371532498570704</c:v>
                </c:pt>
                <c:pt idx="1">
                  <c:v>0.64391855660856101</c:v>
                </c:pt>
                <c:pt idx="2">
                  <c:v>0.69644023684470358</c:v>
                </c:pt>
                <c:pt idx="3">
                  <c:v>0.51939699718788701</c:v>
                </c:pt>
                <c:pt idx="4">
                  <c:v>0.56705783598151116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66-4D05-96D1-6AEE756AD0D5}"/>
            </c:ext>
          </c:extLst>
        </c:ser>
        <c:ser>
          <c:idx val="1"/>
          <c:order val="2"/>
          <c:tx>
            <c:strRef>
              <c:f>'Waste disposal'!$C$147</c:f>
              <c:strCache>
                <c:ptCount val="1"/>
                <c:pt idx="0">
                  <c:v>Special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'Waste disposal'!$E$147:$J$147</c:f>
              <c:numCache>
                <c:formatCode>_-* #,##0.00_-;\-* #,##0.00_-;_-* "-"??_-;_-@_-</c:formatCode>
                <c:ptCount val="6"/>
                <c:pt idx="0">
                  <c:v>0.29007378094127423</c:v>
                </c:pt>
                <c:pt idx="1">
                  <c:v>0.08</c:v>
                </c:pt>
                <c:pt idx="2">
                  <c:v>0.08</c:v>
                </c:pt>
                <c:pt idx="3">
                  <c:v>8.0603002812112967E-2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66-4D05-96D1-6AEE756AD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1514672"/>
        <c:axId val="1570670960"/>
      </c:barChart>
      <c:lineChart>
        <c:grouping val="standard"/>
        <c:varyColors val="0"/>
        <c:ser>
          <c:idx val="0"/>
          <c:order val="0"/>
          <c:tx>
            <c:strRef>
              <c:f>'Waste disposal'!$C$146</c:f>
              <c:strCache>
                <c:ptCount val="1"/>
                <c:pt idx="0">
                  <c:v>Normal + Special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'[3]Hz waste gen'!$E$99:$J$99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  <c:pt idx="5">
                  <c:v>Normalize 2023</c:v>
                </c:pt>
              </c:strCache>
            </c:strRef>
          </c:cat>
          <c:val>
            <c:numRef>
              <c:f>'Waste disposal'!$E$146:$J$146</c:f>
              <c:numCache>
                <c:formatCode>_-* #,##0.00_-;\-* #,##0.00_-;_-* "-"??_-;_-@_-</c:formatCode>
                <c:ptCount val="6"/>
                <c:pt idx="0">
                  <c:v>1.3272270307983445</c:v>
                </c:pt>
                <c:pt idx="1">
                  <c:v>0.64391855660856101</c:v>
                </c:pt>
                <c:pt idx="2">
                  <c:v>0.69644023684470358</c:v>
                </c:pt>
                <c:pt idx="3">
                  <c:v>0.6</c:v>
                </c:pt>
                <c:pt idx="4">
                  <c:v>0.56705783598151116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66-4D05-96D1-6AEE756AD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514672"/>
        <c:axId val="1570670960"/>
      </c:lineChart>
      <c:lineChart>
        <c:grouping val="standard"/>
        <c:varyColors val="0"/>
        <c:ser>
          <c:idx val="3"/>
          <c:order val="3"/>
          <c:tx>
            <c:strRef>
              <c:f>'Waste disposal'!$C$149</c:f>
              <c:strCache>
                <c:ptCount val="1"/>
                <c:pt idx="0">
                  <c:v>Production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'Waste disposal'!$E$149:$J$149</c:f>
              <c:numCache>
                <c:formatCode>_-* #,##0.00_-;\-* #,##0.00_-;_-* "-"??_-;_-@_-</c:formatCode>
                <c:ptCount val="6"/>
                <c:pt idx="0">
                  <c:v>9.0561442384612842</c:v>
                </c:pt>
                <c:pt idx="1">
                  <c:v>10.344745617753649</c:v>
                </c:pt>
                <c:pt idx="2">
                  <c:v>8.5988598636000013</c:v>
                </c:pt>
                <c:pt idx="3">
                  <c:v>9.1984955120831806</c:v>
                </c:pt>
                <c:pt idx="4">
                  <c:v>8280614.9300000016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66-4D05-96D1-6AEE756AD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935664"/>
        <c:axId val="1565656128"/>
      </c:lineChart>
      <c:catAx>
        <c:axId val="170151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70960"/>
        <c:crosses val="autoZero"/>
        <c:auto val="1"/>
        <c:lblAlgn val="ctr"/>
        <c:lblOffset val="100"/>
        <c:noMultiLvlLbl val="0"/>
      </c:catAx>
      <c:valAx>
        <c:axId val="157067096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14672"/>
        <c:crosses val="autoZero"/>
        <c:crossBetween val="between"/>
      </c:valAx>
      <c:valAx>
        <c:axId val="1565656128"/>
        <c:scaling>
          <c:orientation val="minMax"/>
          <c:max val="40"/>
        </c:scaling>
        <c:delete val="0"/>
        <c:axPos val="r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935664"/>
        <c:crosses val="max"/>
        <c:crossBetween val="between"/>
      </c:valAx>
      <c:catAx>
        <c:axId val="1766935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65656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800" b="1" i="0" baseline="0">
                <a:effectLst/>
              </a:rPr>
              <a:t>Waste directed to disposal (Subsidiary only)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1"/>
          <c:tx>
            <c:strRef>
              <c:f>'Waste disposal'!$C$152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'Waste disposal'!$E$152:$J$152</c:f>
              <c:numCache>
                <c:formatCode>_-* #,##0.00_-;\-* #,##0.00_-;_-* "-"??_-;_-@_-</c:formatCode>
                <c:ptCount val="6"/>
                <c:pt idx="0">
                  <c:v>0.84662155812571782</c:v>
                </c:pt>
                <c:pt idx="1">
                  <c:v>0.48961816609188996</c:v>
                </c:pt>
                <c:pt idx="2">
                  <c:v>0.54858757997339103</c:v>
                </c:pt>
                <c:pt idx="3">
                  <c:v>0.51939699718788701</c:v>
                </c:pt>
                <c:pt idx="4">
                  <c:v>0.52167514580747143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01-45AE-AC83-11ACA01F3689}"/>
            </c:ext>
          </c:extLst>
        </c:ser>
        <c:ser>
          <c:idx val="1"/>
          <c:order val="2"/>
          <c:tx>
            <c:strRef>
              <c:f>'Waste disposal'!$C$151</c:f>
              <c:strCache>
                <c:ptCount val="1"/>
                <c:pt idx="0">
                  <c:v>Special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'Waste disposal'!$E$151:$J$151</c:f>
              <c:numCache>
                <c:formatCode>_-* #,##0.00_-;\-* #,##0.00_-;_-* "-"??_-;_-@_-</c:formatCode>
                <c:ptCount val="6"/>
                <c:pt idx="0">
                  <c:v>0.30734105634614639</c:v>
                </c:pt>
                <c:pt idx="1">
                  <c:v>0.08</c:v>
                </c:pt>
                <c:pt idx="2">
                  <c:v>0.08</c:v>
                </c:pt>
                <c:pt idx="3">
                  <c:v>8.0603002812112967E-2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01-45AE-AC83-11ACA01F3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1514672"/>
        <c:axId val="1570670960"/>
      </c:barChart>
      <c:lineChart>
        <c:grouping val="standard"/>
        <c:varyColors val="0"/>
        <c:ser>
          <c:idx val="0"/>
          <c:order val="0"/>
          <c:tx>
            <c:strRef>
              <c:f>'Waste disposal'!$C$150</c:f>
              <c:strCache>
                <c:ptCount val="1"/>
                <c:pt idx="0">
                  <c:v>Normal + Special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'[3]Hz waste gen'!$E$99:$J$99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  <c:pt idx="5">
                  <c:v>Normalize 2023</c:v>
                </c:pt>
              </c:strCache>
            </c:strRef>
          </c:cat>
          <c:val>
            <c:numRef>
              <c:f>'Waste disposal'!$E$150:$J$150</c:f>
              <c:numCache>
                <c:formatCode>_-* #,##0.00_-;\-* #,##0.00_-;_-* "-"??_-;_-@_-</c:formatCode>
                <c:ptCount val="6"/>
                <c:pt idx="0">
                  <c:v>1.1539626144718642</c:v>
                </c:pt>
                <c:pt idx="1">
                  <c:v>0.48961816609188996</c:v>
                </c:pt>
                <c:pt idx="2">
                  <c:v>0.54858757997339114</c:v>
                </c:pt>
                <c:pt idx="3">
                  <c:v>0.6</c:v>
                </c:pt>
                <c:pt idx="4">
                  <c:v>0.52167514580747143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B01-45AE-AC83-11ACA01F3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514672"/>
        <c:axId val="1570670960"/>
      </c:lineChart>
      <c:lineChart>
        <c:grouping val="standard"/>
        <c:varyColors val="0"/>
        <c:ser>
          <c:idx val="3"/>
          <c:order val="3"/>
          <c:tx>
            <c:strRef>
              <c:f>'Waste disposal'!$C$153</c:f>
              <c:strCache>
                <c:ptCount val="1"/>
                <c:pt idx="0">
                  <c:v>Production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'Waste disposal'!$E$153:$J$153</c:f>
              <c:numCache>
                <c:formatCode>_-* #,##0.00_-;\-* #,##0.00_-;_-* "-"??_-;_-@_-</c:formatCode>
                <c:ptCount val="6"/>
                <c:pt idx="0">
                  <c:v>8.5473448657681743</c:v>
                </c:pt>
                <c:pt idx="1">
                  <c:v>9.7048037773794942</c:v>
                </c:pt>
                <c:pt idx="2">
                  <c:v>7.5174074896</c:v>
                </c:pt>
                <c:pt idx="3">
                  <c:v>8.6185785120831842</c:v>
                </c:pt>
                <c:pt idx="4">
                  <c:v>7.7716394509999995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B01-45AE-AC83-11ACA01F3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935664"/>
        <c:axId val="1565656128"/>
      </c:lineChart>
      <c:catAx>
        <c:axId val="170151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70960"/>
        <c:crosses val="autoZero"/>
        <c:auto val="1"/>
        <c:lblAlgn val="ctr"/>
        <c:lblOffset val="100"/>
        <c:noMultiLvlLbl val="0"/>
      </c:catAx>
      <c:valAx>
        <c:axId val="1570670960"/>
        <c:scaling>
          <c:orientation val="minMax"/>
          <c:max val="1.6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14672"/>
        <c:crosses val="autoZero"/>
        <c:crossBetween val="between"/>
      </c:valAx>
      <c:valAx>
        <c:axId val="1565656128"/>
        <c:scaling>
          <c:orientation val="minMax"/>
          <c:max val="40"/>
        </c:scaling>
        <c:delete val="0"/>
        <c:axPos val="r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935664"/>
        <c:crosses val="max"/>
        <c:crossBetween val="between"/>
      </c:valAx>
      <c:catAx>
        <c:axId val="1766935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65656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800" b="1" i="0" baseline="0">
                <a:effectLst/>
              </a:rPr>
              <a:t>Waste directed to disposal (All SCGC)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1"/>
          <c:tx>
            <c:strRef>
              <c:f>'Waste disposal'!$C$148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('Waste disposal'!$E$148:$G$148,'Waste disposal'!$I$148,'Waste disposal'!$K$148)</c:f>
              <c:numCache>
                <c:formatCode>_-* #,##0.00_-;\-* #,##0.00_-;_-* "-"??_-;_-@_-</c:formatCode>
                <c:ptCount val="5"/>
                <c:pt idx="0">
                  <c:v>1.0371532498570704</c:v>
                </c:pt>
                <c:pt idx="1">
                  <c:v>0.64391855660856101</c:v>
                </c:pt>
                <c:pt idx="2">
                  <c:v>0.69644023684470358</c:v>
                </c:pt>
                <c:pt idx="3">
                  <c:v>0.56705783598151116</c:v>
                </c:pt>
                <c:pt idx="4" formatCode="General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E-4D1B-B818-974A393BCD90}"/>
            </c:ext>
          </c:extLst>
        </c:ser>
        <c:ser>
          <c:idx val="1"/>
          <c:order val="2"/>
          <c:tx>
            <c:strRef>
              <c:f>'Waste disposal'!$C$147</c:f>
              <c:strCache>
                <c:ptCount val="1"/>
                <c:pt idx="0">
                  <c:v>Special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('Waste disposal'!$E$147:$G$147,'Waste disposal'!$I$147,'Waste disposal'!$K$147)</c:f>
              <c:numCache>
                <c:formatCode>_-* #,##0.00_-;\-* #,##0.00_-;_-* "-"??_-;_-@_-</c:formatCode>
                <c:ptCount val="5"/>
                <c:pt idx="0">
                  <c:v>0.29007378094127423</c:v>
                </c:pt>
                <c:pt idx="1">
                  <c:v>0.08</c:v>
                </c:pt>
                <c:pt idx="2">
                  <c:v>0.08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CE-4D1B-B818-974A393BC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1514672"/>
        <c:axId val="1570670960"/>
      </c:barChart>
      <c:lineChart>
        <c:grouping val="standard"/>
        <c:varyColors val="0"/>
        <c:ser>
          <c:idx val="0"/>
          <c:order val="0"/>
          <c:tx>
            <c:strRef>
              <c:f>'Waste disposal'!$C$146</c:f>
              <c:strCache>
                <c:ptCount val="1"/>
                <c:pt idx="0">
                  <c:v>Normal + Special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('Waste disposal'!$E$145:$G$145,'Waste disposal'!$I$145,'Waste disposal'!$K$145)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Actual 2023</c:v>
                </c:pt>
                <c:pt idx="4">
                  <c:v>Plan 2024</c:v>
                </c:pt>
              </c:strCache>
            </c:strRef>
          </c:cat>
          <c:val>
            <c:numRef>
              <c:f>('Waste disposal'!$E$146:$G$146,'Waste disposal'!$I$146,'Waste disposal'!$K$146)</c:f>
              <c:numCache>
                <c:formatCode>_-* #,##0.00_-;\-* #,##0.00_-;_-* "-"??_-;_-@_-</c:formatCode>
                <c:ptCount val="5"/>
                <c:pt idx="0">
                  <c:v>1.3272270307983445</c:v>
                </c:pt>
                <c:pt idx="1">
                  <c:v>0.64391855660856101</c:v>
                </c:pt>
                <c:pt idx="2">
                  <c:v>0.69644023684470358</c:v>
                </c:pt>
                <c:pt idx="3">
                  <c:v>0.56705783598151116</c:v>
                </c:pt>
                <c:pt idx="4" formatCode="General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CE-4D1B-B818-974A393BC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514672"/>
        <c:axId val="1570670960"/>
      </c:lineChart>
      <c:lineChart>
        <c:grouping val="standard"/>
        <c:varyColors val="0"/>
        <c:ser>
          <c:idx val="3"/>
          <c:order val="3"/>
          <c:tx>
            <c:strRef>
              <c:f>'Waste disposal'!$C$149</c:f>
              <c:strCache>
                <c:ptCount val="1"/>
                <c:pt idx="0">
                  <c:v>Production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('Waste disposal'!$E$149:$G$149,'Waste disposal'!$I$149,'Waste disposal'!$K$149)</c:f>
              <c:numCache>
                <c:formatCode>_-* #,##0.00_-;\-* #,##0.00_-;_-* "-"??_-;_-@_-</c:formatCode>
                <c:ptCount val="5"/>
                <c:pt idx="0">
                  <c:v>9.0561442384612842</c:v>
                </c:pt>
                <c:pt idx="1">
                  <c:v>10.344745617753649</c:v>
                </c:pt>
                <c:pt idx="2">
                  <c:v>8.5988598636000013</c:v>
                </c:pt>
                <c:pt idx="3">
                  <c:v>8280614.9300000016</c:v>
                </c:pt>
                <c:pt idx="4">
                  <c:v>8.5300867756288596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CE-4D1B-B818-974A393BC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935664"/>
        <c:axId val="1565656128"/>
      </c:lineChart>
      <c:catAx>
        <c:axId val="170151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70960"/>
        <c:crosses val="autoZero"/>
        <c:auto val="1"/>
        <c:lblAlgn val="ctr"/>
        <c:lblOffset val="100"/>
        <c:noMultiLvlLbl val="0"/>
      </c:catAx>
      <c:valAx>
        <c:axId val="157067096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14672"/>
        <c:crosses val="autoZero"/>
        <c:crossBetween val="between"/>
      </c:valAx>
      <c:valAx>
        <c:axId val="1565656128"/>
        <c:scaling>
          <c:orientation val="minMax"/>
          <c:max val="40"/>
        </c:scaling>
        <c:delete val="0"/>
        <c:axPos val="r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935664"/>
        <c:crosses val="max"/>
        <c:crossBetween val="between"/>
      </c:valAx>
      <c:catAx>
        <c:axId val="1766935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65656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800" b="1" i="0" baseline="0">
                <a:effectLst/>
              </a:rPr>
              <a:t>Waste directed to disposal (Subsidiary only)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1"/>
          <c:tx>
            <c:strRef>
              <c:f>'Waste disposal'!$C$152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('Waste disposal'!$E$152:$G$152,'Waste disposal'!$I$152,'Waste disposal'!$K$152)</c:f>
              <c:numCache>
                <c:formatCode>_-* #,##0.00_-;\-* #,##0.00_-;_-* "-"??_-;_-@_-</c:formatCode>
                <c:ptCount val="5"/>
                <c:pt idx="0">
                  <c:v>0.84662155812571782</c:v>
                </c:pt>
                <c:pt idx="1">
                  <c:v>0.48961816609188996</c:v>
                </c:pt>
                <c:pt idx="2">
                  <c:v>0.54858757997339103</c:v>
                </c:pt>
                <c:pt idx="3">
                  <c:v>0.52167514580747143</c:v>
                </c:pt>
                <c:pt idx="4" formatCode="General">
                  <c:v>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12-4DF6-84CB-340ECF502728}"/>
            </c:ext>
          </c:extLst>
        </c:ser>
        <c:ser>
          <c:idx val="1"/>
          <c:order val="2"/>
          <c:tx>
            <c:strRef>
              <c:f>'Waste disposal'!$C$151</c:f>
              <c:strCache>
                <c:ptCount val="1"/>
                <c:pt idx="0">
                  <c:v>Special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('Waste disposal'!$E$151:$G$151,'Waste disposal'!$I$151,'Waste disposal'!$K$151)</c:f>
              <c:numCache>
                <c:formatCode>_-* #,##0.00_-;\-* #,##0.00_-;_-* "-"??_-;_-@_-</c:formatCode>
                <c:ptCount val="5"/>
                <c:pt idx="0">
                  <c:v>0.30734105634614639</c:v>
                </c:pt>
                <c:pt idx="1">
                  <c:v>0.08</c:v>
                </c:pt>
                <c:pt idx="2">
                  <c:v>0.08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12-4DF6-84CB-340ECF502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1514672"/>
        <c:axId val="1570670960"/>
      </c:barChart>
      <c:lineChart>
        <c:grouping val="standard"/>
        <c:varyColors val="0"/>
        <c:ser>
          <c:idx val="0"/>
          <c:order val="0"/>
          <c:tx>
            <c:strRef>
              <c:f>'Waste disposal'!$C$150</c:f>
              <c:strCache>
                <c:ptCount val="1"/>
                <c:pt idx="0">
                  <c:v>Normal + Special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('[3]Hz waste gen'!$E$99:$G$99,'[3]Hz waste gen'!$I$99,'[3]Hz waste gen'!$K$99)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Actual 2023</c:v>
                </c:pt>
                <c:pt idx="4">
                  <c:v>Plan 2024</c:v>
                </c:pt>
              </c:strCache>
            </c:strRef>
          </c:cat>
          <c:val>
            <c:numRef>
              <c:f>('Waste disposal'!$E$150:$G$150,'Waste disposal'!$I$150,'Waste disposal'!$K$150)</c:f>
              <c:numCache>
                <c:formatCode>_-* #,##0.00_-;\-* #,##0.00_-;_-* "-"??_-;_-@_-</c:formatCode>
                <c:ptCount val="5"/>
                <c:pt idx="0">
                  <c:v>1.1539626144718642</c:v>
                </c:pt>
                <c:pt idx="1">
                  <c:v>0.48961816609188996</c:v>
                </c:pt>
                <c:pt idx="2">
                  <c:v>0.54858757997339114</c:v>
                </c:pt>
                <c:pt idx="3">
                  <c:v>0.52167514580747143</c:v>
                </c:pt>
                <c:pt idx="4" formatCode="General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12-4DF6-84CB-340ECF502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514672"/>
        <c:axId val="1570670960"/>
      </c:lineChart>
      <c:lineChart>
        <c:grouping val="standard"/>
        <c:varyColors val="0"/>
        <c:ser>
          <c:idx val="3"/>
          <c:order val="3"/>
          <c:tx>
            <c:strRef>
              <c:f>'Waste disposal'!$C$153</c:f>
              <c:strCache>
                <c:ptCount val="1"/>
                <c:pt idx="0">
                  <c:v>Production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('Waste disposal'!$E$153:$G$153,'Waste disposal'!$I$153,'Waste disposal'!$K$153)</c:f>
              <c:numCache>
                <c:formatCode>_-* #,##0.00_-;\-* #,##0.00_-;_-* "-"??_-;_-@_-</c:formatCode>
                <c:ptCount val="5"/>
                <c:pt idx="0">
                  <c:v>8.5473448657681743</c:v>
                </c:pt>
                <c:pt idx="1">
                  <c:v>9.7048037773794942</c:v>
                </c:pt>
                <c:pt idx="2">
                  <c:v>7.5174074896</c:v>
                </c:pt>
                <c:pt idx="3">
                  <c:v>7.7716394509999995</c:v>
                </c:pt>
                <c:pt idx="4">
                  <c:v>8.0037267756288593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12-4DF6-84CB-340ECF502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935664"/>
        <c:axId val="1565656128"/>
      </c:lineChart>
      <c:catAx>
        <c:axId val="170151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70960"/>
        <c:crosses val="autoZero"/>
        <c:auto val="1"/>
        <c:lblAlgn val="ctr"/>
        <c:lblOffset val="100"/>
        <c:noMultiLvlLbl val="0"/>
      </c:catAx>
      <c:valAx>
        <c:axId val="1570670960"/>
        <c:scaling>
          <c:orientation val="minMax"/>
          <c:max val="1.6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14672"/>
        <c:crosses val="autoZero"/>
        <c:crossBetween val="between"/>
      </c:valAx>
      <c:valAx>
        <c:axId val="1565656128"/>
        <c:scaling>
          <c:orientation val="minMax"/>
          <c:max val="40"/>
        </c:scaling>
        <c:delete val="0"/>
        <c:axPos val="r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935664"/>
        <c:crosses val="max"/>
        <c:crossBetween val="between"/>
      </c:valAx>
      <c:catAx>
        <c:axId val="1766935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65656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r>
              <a:rPr lang="en-US"/>
              <a:t>Waste directed</a:t>
            </a:r>
            <a:r>
              <a:rPr lang="en-US" baseline="0"/>
              <a:t> to disposal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('[3]Hz waste gen'!$E$99:$G$99,'[3]Hz waste gen'!$I$99:$K$99)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Actual 2023</c:v>
                </c:pt>
                <c:pt idx="4">
                  <c:v>Normalize 2023</c:v>
                </c:pt>
                <c:pt idx="5">
                  <c:v>Plan 2024</c:v>
                </c:pt>
              </c:strCache>
            </c:strRef>
          </c:cat>
          <c:val>
            <c:numRef>
              <c:f>('Waste disposal'!$E$146:$G$146,'Waste disposal'!$I$146:$K$146)</c:f>
              <c:numCache>
                <c:formatCode>_-* #,##0.00_-;\-* #,##0.00_-;_-* "-"??_-;_-@_-</c:formatCode>
                <c:ptCount val="6"/>
                <c:pt idx="0">
                  <c:v>1.3272270307983445</c:v>
                </c:pt>
                <c:pt idx="1">
                  <c:v>0.64391855660856101</c:v>
                </c:pt>
                <c:pt idx="2">
                  <c:v>0.69644023684470358</c:v>
                </c:pt>
                <c:pt idx="3">
                  <c:v>0.56705783598151116</c:v>
                </c:pt>
                <c:pt idx="4">
                  <c:v>0</c:v>
                </c:pt>
                <c:pt idx="5" formatCode="General">
                  <c:v>0.96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4-43D1-B570-9DBCA558F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1337168"/>
        <c:axId val="340366720"/>
      </c:barChart>
      <c:catAx>
        <c:axId val="27133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340366720"/>
        <c:crosses val="autoZero"/>
        <c:auto val="1"/>
        <c:lblAlgn val="ctr"/>
        <c:lblOffset val="100"/>
        <c:noMultiLvlLbl val="0"/>
      </c:catAx>
      <c:valAx>
        <c:axId val="340366720"/>
        <c:scaling>
          <c:orientation val="minMax"/>
          <c:max val="3.5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27133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r>
              <a:rPr lang="en-US" b="1"/>
              <a:t>Waste directed to disposal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'[3]Water withdrawal'!$B$153</c:f>
              <c:strCache>
                <c:ptCount val="1"/>
                <c:pt idx="0">
                  <c:v>Normalize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'[3]Water withdrawal'!$D$151:$H$151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Plan 2024</c:v>
                </c:pt>
              </c:strCache>
            </c:strRef>
          </c:cat>
          <c:val>
            <c:numRef>
              <c:f>'Waste disposal'!$E$223:$I$223</c:f>
              <c:numCache>
                <c:formatCode>General</c:formatCode>
                <c:ptCount val="5"/>
                <c:pt idx="3" formatCode="_-* #,##0.00_-;\-* #,##0.00_-;_-* &quot;-&quot;??_-;_-@_-">
                  <c:v>0</c:v>
                </c:pt>
                <c:pt idx="4" formatCode="_-* #,##0.00_-;\-* #,##0.00_-;_-* &quot;-&quot;??_-;_-@_-">
                  <c:v>0.79175532379936842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48-4EC2-861F-2EC0DEC2CA33}"/>
            </c:ext>
          </c:extLst>
        </c:ser>
        <c:ser>
          <c:idx val="0"/>
          <c:order val="1"/>
          <c:tx>
            <c:strRef>
              <c:f>'[3]Water withdrawal'!$B$152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'[3]Water withdrawal'!$D$151:$H$151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Plan 2024</c:v>
                </c:pt>
              </c:strCache>
            </c:strRef>
          </c:cat>
          <c:val>
            <c:numRef>
              <c:f>'Waste disposal'!$E$222:$I$222</c:f>
              <c:numCache>
                <c:formatCode>_-* #,##0.00_-;\-* #,##0.00_-;_-* "-"??_-;_-@_-</c:formatCode>
                <c:ptCount val="5"/>
                <c:pt idx="0">
                  <c:v>1.3272270307983445</c:v>
                </c:pt>
                <c:pt idx="1">
                  <c:v>0.64391855660856101</c:v>
                </c:pt>
                <c:pt idx="2">
                  <c:v>0.69644023684470358</c:v>
                </c:pt>
                <c:pt idx="3">
                  <c:v>0</c:v>
                </c:pt>
                <c:pt idx="4">
                  <c:v>0.16824467620063155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48-4EC2-861F-2EC0DEC2C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9564896"/>
        <c:axId val="1980037456"/>
      </c:barChart>
      <c:catAx>
        <c:axId val="198956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980037456"/>
        <c:crosses val="autoZero"/>
        <c:auto val="1"/>
        <c:lblAlgn val="ctr"/>
        <c:lblOffset val="100"/>
        <c:noMultiLvlLbl val="0"/>
      </c:catAx>
      <c:valAx>
        <c:axId val="1980037456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98956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Waste</a:t>
            </a:r>
            <a:r>
              <a:rPr lang="en-US" baseline="0"/>
              <a:t> directed to disposal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'[3]Hz waste gen'!$A$71</c:f>
              <c:strCache>
                <c:ptCount val="1"/>
                <c:pt idx="0">
                  <c:v>Normalize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'[3]Hz waste gen'!$B$68:$R$68</c:f>
              <c:strCache>
                <c:ptCount val="17"/>
                <c:pt idx="0">
                  <c:v>Actual 2020</c:v>
                </c:pt>
                <c:pt idx="1">
                  <c:v>Actual 2021</c:v>
                </c:pt>
                <c:pt idx="2">
                  <c:v>Actual 2022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  <c:pt idx="12">
                  <c:v>45200</c:v>
                </c:pt>
                <c:pt idx="13">
                  <c:v>45231</c:v>
                </c:pt>
                <c:pt idx="14">
                  <c:v>45261</c:v>
                </c:pt>
                <c:pt idx="15">
                  <c:v>Actual 2023</c:v>
                </c:pt>
                <c:pt idx="16">
                  <c:v>Plan 2024</c:v>
                </c:pt>
              </c:strCache>
            </c:strRef>
          </c:cat>
          <c:val>
            <c:numRef>
              <c:f>'Waste disposal'!$B$90:$R$90</c:f>
              <c:numCache>
                <c:formatCode>_-* #,##0.00_-;\-* #,##0.00_-;_-* "-"??_-;_-@_-</c:formatCode>
                <c:ptCount val="17"/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6">
                  <c:v>0.56705783598151116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A-4A87-99E9-A6D6A268471B}"/>
            </c:ext>
          </c:extLst>
        </c:ser>
        <c:ser>
          <c:idx val="0"/>
          <c:order val="1"/>
          <c:tx>
            <c:strRef>
              <c:f>'[3]Hz waste gen'!$A$70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'[3]Hz waste gen'!$B$68:$R$68</c:f>
              <c:strCache>
                <c:ptCount val="17"/>
                <c:pt idx="0">
                  <c:v>Actual 2020</c:v>
                </c:pt>
                <c:pt idx="1">
                  <c:v>Actual 2021</c:v>
                </c:pt>
                <c:pt idx="2">
                  <c:v>Actual 2022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  <c:pt idx="12">
                  <c:v>45200</c:v>
                </c:pt>
                <c:pt idx="13">
                  <c:v>45231</c:v>
                </c:pt>
                <c:pt idx="14">
                  <c:v>45261</c:v>
                </c:pt>
                <c:pt idx="15">
                  <c:v>Actual 2023</c:v>
                </c:pt>
                <c:pt idx="16">
                  <c:v>Plan 2024</c:v>
                </c:pt>
              </c:strCache>
            </c:strRef>
          </c:cat>
          <c:val>
            <c:numRef>
              <c:f>'Waste disposal'!$B$89:$R$89</c:f>
              <c:numCache>
                <c:formatCode>_-* #,##0.00_-;\-* #,##0.00_-;_-* "-"??_-;_-@_-</c:formatCode>
                <c:ptCount val="17"/>
                <c:pt idx="0">
                  <c:v>1.3272270307983445</c:v>
                </c:pt>
                <c:pt idx="1">
                  <c:v>0.64391855660856101</c:v>
                </c:pt>
                <c:pt idx="2">
                  <c:v>0.69644023684470358</c:v>
                </c:pt>
                <c:pt idx="3">
                  <c:v>0.58324098401228264</c:v>
                </c:pt>
                <c:pt idx="4">
                  <c:v>0.38927962714594744</c:v>
                </c:pt>
                <c:pt idx="5">
                  <c:v>0.6488593555848664</c:v>
                </c:pt>
                <c:pt idx="6">
                  <c:v>0.70501751836895055</c:v>
                </c:pt>
                <c:pt idx="7">
                  <c:v>0.54312830999868467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0.56705783598151116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CA-4A87-99E9-A6D6A2684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0516335"/>
        <c:axId val="1214396991"/>
      </c:barChart>
      <c:catAx>
        <c:axId val="9105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96991"/>
        <c:crosses val="autoZero"/>
        <c:auto val="1"/>
        <c:lblAlgn val="ctr"/>
        <c:lblOffset val="100"/>
        <c:noMultiLvlLbl val="0"/>
      </c:catAx>
      <c:valAx>
        <c:axId val="1214396991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1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r>
              <a:rPr lang="en-US" sz="1000" b="1"/>
              <a:t>Waste directed to disposal</a:t>
            </a:r>
          </a:p>
        </c:rich>
      </c:tx>
      <c:layout>
        <c:manualLayout>
          <c:xMode val="edge"/>
          <c:yMode val="edge"/>
          <c:x val="0.35041807286653265"/>
          <c:y val="1.9106493123543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471047394082855E-2"/>
          <c:y val="0.13671498202309679"/>
          <c:w val="0.88034627211876837"/>
          <c:h val="0.77667418138581246"/>
        </c:manualLayout>
      </c:layout>
      <c:barChart>
        <c:barDir val="col"/>
        <c:grouping val="stacked"/>
        <c:varyColors val="0"/>
        <c:ser>
          <c:idx val="0"/>
          <c:order val="1"/>
          <c:tx>
            <c:strRef>
              <c:f>'Waste disposal'!$A$89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016607317013547E-3"/>
                  <c:y val="-0.155800914353514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38-44E6-8BF3-378B81765618}"/>
                </c:ext>
              </c:extLst>
            </c:dLbl>
            <c:dLbl>
              <c:idx val="1"/>
              <c:layout>
                <c:manualLayout>
                  <c:x val="0"/>
                  <c:y val="-7.990902099783546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38-44E6-8BF3-378B81765618}"/>
                </c:ext>
              </c:extLst>
            </c:dLbl>
            <c:dLbl>
              <c:idx val="2"/>
              <c:layout>
                <c:manualLayout>
                  <c:x val="-7.3941414112970536E-17"/>
                  <c:y val="-9.137692873403435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338-44E6-8BF3-378B81765618}"/>
                </c:ext>
              </c:extLst>
            </c:dLbl>
            <c:dLbl>
              <c:idx val="5"/>
              <c:layout>
                <c:manualLayout>
                  <c:x val="0"/>
                  <c:y val="-7.974152575627999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975-4FE4-A807-30972AC1EE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('Waste disposal'!$B$87:$E$87,'Waste disposal'!$K$87,'Waste disposal'!$R$87)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Jun-26</c:v>
                </c:pt>
                <c:pt idx="5">
                  <c:v>YTD 2026</c:v>
                </c:pt>
              </c:strCache>
            </c:strRef>
          </c:cat>
          <c:val>
            <c:numRef>
              <c:f>('Waste disposal'!$B$89:$E$89,'Waste disposal'!$K$89,'Waste disposal'!$R$89)</c:f>
              <c:numCache>
                <c:formatCode>_-* #,##0.00_-;\-* #,##0.00_-;_-* "-"??_-;_-@_-</c:formatCode>
                <c:ptCount val="6"/>
                <c:pt idx="0">
                  <c:v>1.3272270307983445</c:v>
                </c:pt>
                <c:pt idx="1">
                  <c:v>0.64391855660856101</c:v>
                </c:pt>
                <c:pt idx="2">
                  <c:v>0.69644023684470358</c:v>
                </c:pt>
                <c:pt idx="3">
                  <c:v>0.58324098401228264</c:v>
                </c:pt>
                <c:pt idx="4">
                  <c:v>0</c:v>
                </c:pt>
                <c:pt idx="5">
                  <c:v>0.56705783598151116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38-44E6-8BF3-378B81765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0516335"/>
        <c:axId val="1214396991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'[3]Hz waste gen'!$A$71</c15:sqref>
                        </c15:formulaRef>
                      </c:ext>
                    </c:extLst>
                    <c:strCache>
                      <c:ptCount val="1"/>
                      <c:pt idx="0">
                        <c:v>Normalize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('Waste disposal'!$B$87:$E$87,'Waste disposal'!$K$87,'Waste disposal'!$R$87)</c15:sqref>
                        </c15:formulaRef>
                      </c:ext>
                    </c:extLst>
                    <c:strCach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Jun-26</c:v>
                      </c:pt>
                      <c:pt idx="5">
                        <c:v>YTD 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'Waste disposal'!$B$90:$R$90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7"/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6">
                        <c:v>0.56705783598151116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338-44E6-8BF3-378B8176561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'Waste disposal'!$A$88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('Waste disposal'!$B$87:$E$87,'Waste disposal'!$G$87,'Waste disposal'!$R$87)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Feb-26</c:v>
                </c:pt>
                <c:pt idx="5">
                  <c:v>YTD 2026</c:v>
                </c:pt>
              </c:strCache>
            </c:strRef>
          </c:cat>
          <c:val>
            <c:numRef>
              <c:f>('Waste disposal'!$B$88:$E$88,'Waste disposal'!$K$88,'Waste disposal'!$R$88)</c:f>
              <c:numCache>
                <c:formatCode>General</c:formatCode>
                <c:ptCount val="6"/>
                <c:pt idx="4" formatCode="_-* #,##0.00_-;\-* #,##0.00_-;_-* &quot;-&quot;??_-;_-@_-">
                  <c:v>0</c:v>
                </c:pt>
                <c:pt idx="5" formatCode="_-* #,##0.00_-;\-* #,##0.00_-;_-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338-44E6-8BF3-378B81765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516335"/>
        <c:axId val="1214396991"/>
      </c:lineChart>
      <c:catAx>
        <c:axId val="9105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214396991"/>
        <c:crosses val="autoZero"/>
        <c:auto val="1"/>
        <c:lblAlgn val="ctr"/>
        <c:lblOffset val="100"/>
        <c:noMultiLvlLbl val="0"/>
      </c:catAx>
      <c:valAx>
        <c:axId val="1214396991"/>
        <c:scaling>
          <c:orientation val="minMax"/>
          <c:max val="5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r>
                  <a:rPr lang="en-US"/>
                  <a:t>kg/ton</a:t>
                </a:r>
              </a:p>
            </c:rich>
          </c:tx>
          <c:layout>
            <c:manualLayout>
              <c:xMode val="edge"/>
              <c:yMode val="edge"/>
              <c:x val="2.4199287804162341E-2"/>
              <c:y val="1.77108666048338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CG" panose="02000503000000020004" pitchFamily="50" charset="-34"/>
                  <a:ea typeface="+mn-ea"/>
                  <a:cs typeface="SCG" panose="02000503000000020004" pitchFamily="50" charset="-34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91051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r>
              <a:rPr lang="en-US" sz="1000" b="1"/>
              <a:t>Waste directed to disposal</a:t>
            </a:r>
          </a:p>
        </c:rich>
      </c:tx>
      <c:layout>
        <c:manualLayout>
          <c:xMode val="edge"/>
          <c:yMode val="edge"/>
          <c:x val="0.35041807286653265"/>
          <c:y val="1.9106493123543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471047394082855E-2"/>
          <c:y val="0.13671498202309679"/>
          <c:w val="0.88034627211876837"/>
          <c:h val="0.77667418138581246"/>
        </c:manualLayout>
      </c:layout>
      <c:barChart>
        <c:barDir val="col"/>
        <c:grouping val="stacked"/>
        <c:varyColors val="0"/>
        <c:ser>
          <c:idx val="3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('Waste disposal'!$B$87:$E$87,'Waste disposal'!$K$87,'Waste disposal'!$R$87)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Jun-26</c:v>
                </c:pt>
                <c:pt idx="5">
                  <c:v>YTD 2026</c:v>
                </c:pt>
              </c:strCache>
            </c:strRef>
          </c:cat>
          <c:val>
            <c:numRef>
              <c:f>('Waste disposal'!$B$90:$E$90,'Waste disposal'!$K$90,'Waste disposal'!$R$90)</c:f>
              <c:numCache>
                <c:formatCode>_-* #,##0.00_-;\-* #,##0.00_-;_-* "-"??_-;_-@_-</c:formatCode>
                <c:ptCount val="6"/>
                <c:pt idx="4">
                  <c:v>0</c:v>
                </c:pt>
                <c:pt idx="5">
                  <c:v>0.56705783598151116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E4-4F50-8827-672D7F5EA60C}"/>
            </c:ext>
          </c:extLst>
        </c:ser>
        <c:ser>
          <c:idx val="0"/>
          <c:order val="2"/>
          <c:tx>
            <c:strRef>
              <c:f>'Waste disposal'!$A$89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0166722676612397E-3"/>
                  <c:y val="-6.026844873579957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E4-4F50-8827-672D7F5EA60C}"/>
                </c:ext>
              </c:extLst>
            </c:dLbl>
            <c:dLbl>
              <c:idx val="1"/>
              <c:layout>
                <c:manualLayout>
                  <c:x val="-1.9953052196398993E-3"/>
                  <c:y val="-5.4433696833111417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E4-4F50-8827-672D7F5EA60C}"/>
                </c:ext>
              </c:extLst>
            </c:dLbl>
            <c:dLbl>
              <c:idx val="2"/>
              <c:layout>
                <c:manualLayout>
                  <c:x val="-7.3160346232233621E-17"/>
                  <c:y val="-4.361069592517676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E4-4F50-8827-672D7F5EA60C}"/>
                </c:ext>
              </c:extLst>
            </c:dLbl>
            <c:dLbl>
              <c:idx val="5"/>
              <c:layout>
                <c:manualLayout>
                  <c:x val="0"/>
                  <c:y val="-7.974152575627999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71-4874-92C9-76D3890A13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('Waste disposal'!$B$87:$E$87,'Waste disposal'!$K$87,'Waste disposal'!$R$87)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Jun-26</c:v>
                </c:pt>
                <c:pt idx="5">
                  <c:v>YTD 2026</c:v>
                </c:pt>
              </c:strCache>
            </c:strRef>
          </c:cat>
          <c:val>
            <c:numRef>
              <c:f>('Waste disposal'!$B$89:$E$89,'Waste disposal'!$K$89,'Waste disposal'!$R$89)</c:f>
              <c:numCache>
                <c:formatCode>_-* #,##0.00_-;\-* #,##0.00_-;_-* "-"??_-;_-@_-</c:formatCode>
                <c:ptCount val="6"/>
                <c:pt idx="0">
                  <c:v>1.3272270307983445</c:v>
                </c:pt>
                <c:pt idx="1">
                  <c:v>0.64391855660856101</c:v>
                </c:pt>
                <c:pt idx="2">
                  <c:v>0.69644023684470358</c:v>
                </c:pt>
                <c:pt idx="3">
                  <c:v>0.58324098401228264</c:v>
                </c:pt>
                <c:pt idx="4">
                  <c:v>0</c:v>
                </c:pt>
                <c:pt idx="5">
                  <c:v>0.56705783598151116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E4-4F50-8827-672D7F5EA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0516335"/>
        <c:axId val="1214396991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'[3]Hz waste gen'!$A$71</c15:sqref>
                        </c15:formulaRef>
                      </c:ext>
                    </c:extLst>
                    <c:strCache>
                      <c:ptCount val="1"/>
                      <c:pt idx="0">
                        <c:v>Normalize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('Waste disposal'!$B$87:$E$87,'Waste disposal'!$K$87,'Waste disposal'!$R$87)</c15:sqref>
                        </c15:formulaRef>
                      </c:ext>
                    </c:extLst>
                    <c:strCach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Jun-26</c:v>
                      </c:pt>
                      <c:pt idx="5">
                        <c:v>YTD 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'[8]Waste disposal'!$B$76:$R$76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8">
                        <c:v>0.26624484781711893</c:v>
                      </c:pt>
                      <c:pt idx="16">
                        <c:v>0.38064880524467326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81E4-4F50-8827-672D7F5EA60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3"/>
          <c:tx>
            <c:strRef>
              <c:f>'Waste disposal'!$A$88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('[8]Waste disposal'!$B$73:$E$73,'[8]Waste disposal'!$J$73,'[8]Waste disposal'!$R$73)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45413</c:v>
                </c:pt>
                <c:pt idx="5">
                  <c:v>YTD 2024</c:v>
                </c:pt>
              </c:strCache>
            </c:strRef>
          </c:cat>
          <c:val>
            <c:numRef>
              <c:f>('Waste disposal'!$B$88:$E$88,'Waste disposal'!$K$88,'Waste disposal'!$R$88)</c:f>
              <c:numCache>
                <c:formatCode>General</c:formatCode>
                <c:ptCount val="6"/>
                <c:pt idx="4" formatCode="_-* #,##0.00_-;\-* #,##0.00_-;_-* &quot;-&quot;??_-;_-@_-">
                  <c:v>0</c:v>
                </c:pt>
                <c:pt idx="5" formatCode="_-* #,##0.00_-;\-* #,##0.00_-;_-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E4-4F50-8827-672D7F5EA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516335"/>
        <c:axId val="1214396991"/>
      </c:lineChart>
      <c:catAx>
        <c:axId val="9105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214396991"/>
        <c:crosses val="autoZero"/>
        <c:auto val="1"/>
        <c:lblAlgn val="ctr"/>
        <c:lblOffset val="100"/>
        <c:noMultiLvlLbl val="0"/>
      </c:catAx>
      <c:valAx>
        <c:axId val="1214396991"/>
        <c:scaling>
          <c:orientation val="minMax"/>
          <c:max val="20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r>
                  <a:rPr lang="en-US"/>
                  <a:t>kg/ton</a:t>
                </a:r>
              </a:p>
            </c:rich>
          </c:tx>
          <c:layout>
            <c:manualLayout>
              <c:xMode val="edge"/>
              <c:yMode val="edge"/>
              <c:x val="2.4199287804162341E-2"/>
              <c:y val="1.77108666048338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CG" panose="02000503000000020004" pitchFamily="50" charset="-34"/>
                  <a:ea typeface="+mn-ea"/>
                  <a:cs typeface="SCG" panose="02000503000000020004" pitchFamily="50" charset="-34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91051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Non-hz waste generated</a:t>
            </a:r>
            <a:r>
              <a:rPr lang="th-TH" b="1"/>
              <a:t> </a:t>
            </a:r>
            <a:r>
              <a:rPr lang="en-US" b="1"/>
              <a:t>(All SCGC)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1"/>
          <c:tx>
            <c:strRef>
              <c:f>'Non-hz waste gen'!$C$137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'Non-hz waste gen'!$E$137:$J$137</c:f>
              <c:numCache>
                <c:formatCode>_-* #,##0.00_-;\-* #,##0.00_-;_-* "-"??_-;_-@_-</c:formatCode>
                <c:ptCount val="6"/>
                <c:pt idx="0">
                  <c:v>2.8115072675407031</c:v>
                </c:pt>
                <c:pt idx="1">
                  <c:v>2.1726642991343463</c:v>
                </c:pt>
                <c:pt idx="2">
                  <c:v>2.3376835224680965</c:v>
                </c:pt>
                <c:pt idx="3">
                  <c:v>2.3836961389993312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15-4A51-9288-E9B7074D02A1}"/>
            </c:ext>
          </c:extLst>
        </c:ser>
        <c:ser>
          <c:idx val="1"/>
          <c:order val="2"/>
          <c:tx>
            <c:strRef>
              <c:f>'Non-hz waste gen'!$C$136</c:f>
              <c:strCache>
                <c:ptCount val="1"/>
                <c:pt idx="0">
                  <c:v>Special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'Non-hz waste gen'!$E$136:$J$136</c:f>
              <c:numCache>
                <c:formatCode>_-* #,##0.00_-;\-* #,##0.00_-;_-* "-"??_-;_-@_-</c:formatCode>
                <c:ptCount val="6"/>
                <c:pt idx="0">
                  <c:v>7.8968486054227238E-2</c:v>
                </c:pt>
                <c:pt idx="1">
                  <c:v>2.7909644821711765E-2</c:v>
                </c:pt>
                <c:pt idx="2">
                  <c:v>0.10989479118032897</c:v>
                </c:pt>
                <c:pt idx="3">
                  <c:v>0.50999104769778336</c:v>
                </c:pt>
                <c:pt idx="4">
                  <c:v>3.0196862558042681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15-4A51-9288-E9B7074D0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1514672"/>
        <c:axId val="1570670960"/>
      </c:barChart>
      <c:lineChart>
        <c:grouping val="standard"/>
        <c:varyColors val="0"/>
        <c:ser>
          <c:idx val="0"/>
          <c:order val="0"/>
          <c:tx>
            <c:strRef>
              <c:f>'Non-hz waste gen'!$C$135</c:f>
              <c:strCache>
                <c:ptCount val="1"/>
                <c:pt idx="0">
                  <c:v>Normal + Special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'[3]Hz waste gen'!$E$99:$J$99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  <c:pt idx="5">
                  <c:v>Normalize 2023</c:v>
                </c:pt>
              </c:strCache>
            </c:strRef>
          </c:cat>
          <c:val>
            <c:numRef>
              <c:f>'Non-hz waste gen'!$E$135:$J$135</c:f>
              <c:numCache>
                <c:formatCode>_-* #,##0.00_-;\-* #,##0.00_-;_-* "-"??_-;_-@_-</c:formatCode>
                <c:ptCount val="6"/>
                <c:pt idx="0">
                  <c:v>2.8904757535949304</c:v>
                </c:pt>
                <c:pt idx="1">
                  <c:v>2.2005739439560581</c:v>
                </c:pt>
                <c:pt idx="2">
                  <c:v>2.4475783136484255</c:v>
                </c:pt>
                <c:pt idx="3">
                  <c:v>2.8936871866971146</c:v>
                </c:pt>
                <c:pt idx="4">
                  <c:v>3.0196862558042681</c:v>
                </c:pt>
                <c:pt idx="5">
                  <c:v>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315-4A51-9288-E9B7074D0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514672"/>
        <c:axId val="1570670960"/>
      </c:lineChart>
      <c:lineChart>
        <c:grouping val="standard"/>
        <c:varyColors val="0"/>
        <c:ser>
          <c:idx val="3"/>
          <c:order val="3"/>
          <c:tx>
            <c:strRef>
              <c:f>'Non-hz waste gen'!$C$138</c:f>
              <c:strCache>
                <c:ptCount val="1"/>
                <c:pt idx="0">
                  <c:v>Production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'Non-hz waste gen'!$E$138:$J$138</c:f>
              <c:numCache>
                <c:formatCode>_-* #,##0.00_-;\-* #,##0.00_-;_-* "-"??_-;_-@_-</c:formatCode>
                <c:ptCount val="6"/>
                <c:pt idx="0">
                  <c:v>9.0561442384612842</c:v>
                </c:pt>
                <c:pt idx="1">
                  <c:v>10.344745617753649</c:v>
                </c:pt>
                <c:pt idx="2">
                  <c:v>8.5988598636000013</c:v>
                </c:pt>
                <c:pt idx="3">
                  <c:v>9.1984955120831806</c:v>
                </c:pt>
                <c:pt idx="4">
                  <c:v>8280614.9300000016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315-4A51-9288-E9B7074D0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935664"/>
        <c:axId val="1565656128"/>
      </c:lineChart>
      <c:catAx>
        <c:axId val="170151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70960"/>
        <c:crosses val="autoZero"/>
        <c:auto val="1"/>
        <c:lblAlgn val="ctr"/>
        <c:lblOffset val="100"/>
        <c:noMultiLvlLbl val="0"/>
      </c:catAx>
      <c:valAx>
        <c:axId val="157067096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14672"/>
        <c:crosses val="autoZero"/>
        <c:crossBetween val="between"/>
      </c:valAx>
      <c:valAx>
        <c:axId val="1565656128"/>
        <c:scaling>
          <c:orientation val="minMax"/>
          <c:max val="40"/>
        </c:scaling>
        <c:delete val="0"/>
        <c:axPos val="r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935664"/>
        <c:crosses val="max"/>
        <c:crossBetween val="between"/>
      </c:valAx>
      <c:catAx>
        <c:axId val="1766935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65656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Non-hz waste generated</a:t>
            </a:r>
            <a:r>
              <a:rPr lang="th-TH" b="1"/>
              <a:t> </a:t>
            </a:r>
            <a:r>
              <a:rPr lang="en-US" b="1"/>
              <a:t>(Subsidiary only)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1"/>
          <c:tx>
            <c:strRef>
              <c:f>'Non-hz waste gen'!$C$141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'Non-hz waste gen'!$E$141:$J$141</c:f>
              <c:numCache>
                <c:formatCode>_-* #,##0.00_-;\-* #,##0.00_-;_-* "-"??_-;_-@_-</c:formatCode>
                <c:ptCount val="6"/>
                <c:pt idx="0">
                  <c:v>2.6388363517029658</c:v>
                </c:pt>
                <c:pt idx="1">
                  <c:v>1.9333472183045413</c:v>
                </c:pt>
                <c:pt idx="2">
                  <c:v>2.0576743713537708</c:v>
                </c:pt>
                <c:pt idx="3">
                  <c:v>2.3836961389993312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DC-4AEC-B69D-3282D3F0895F}"/>
            </c:ext>
          </c:extLst>
        </c:ser>
        <c:ser>
          <c:idx val="1"/>
          <c:order val="2"/>
          <c:tx>
            <c:strRef>
              <c:f>'Non-hz waste gen'!$C$140</c:f>
              <c:strCache>
                <c:ptCount val="1"/>
                <c:pt idx="0">
                  <c:v>Special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'Non-hz waste gen'!$E$140:$J$140</c:f>
              <c:numCache>
                <c:formatCode>_-* #,##0.00_-;\-* #,##0.00_-;_-* "-"??_-;_-@_-</c:formatCode>
                <c:ptCount val="6"/>
                <c:pt idx="0">
                  <c:v>8.3669257673708586E-2</c:v>
                </c:pt>
                <c:pt idx="1">
                  <c:v>2.9709495962868981E-2</c:v>
                </c:pt>
                <c:pt idx="2">
                  <c:v>0.11540806228618461</c:v>
                </c:pt>
                <c:pt idx="3">
                  <c:v>0.50999104769778336</c:v>
                </c:pt>
                <c:pt idx="4">
                  <c:v>2.7432980494922736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DC-4AEC-B69D-3282D3F08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1514672"/>
        <c:axId val="1570670960"/>
      </c:barChart>
      <c:lineChart>
        <c:grouping val="standard"/>
        <c:varyColors val="0"/>
        <c:ser>
          <c:idx val="0"/>
          <c:order val="0"/>
          <c:tx>
            <c:strRef>
              <c:f>'Non-hz waste gen'!$C$139</c:f>
              <c:strCache>
                <c:ptCount val="1"/>
                <c:pt idx="0">
                  <c:v>Normal + Special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'[3]Hz waste gen'!$E$99:$J$99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  <c:pt idx="5">
                  <c:v>Normalize 2023</c:v>
                </c:pt>
              </c:strCache>
            </c:strRef>
          </c:cat>
          <c:val>
            <c:numRef>
              <c:f>'Non-hz waste gen'!$E$139:$J$139</c:f>
              <c:numCache>
                <c:formatCode>_-* #,##0.00_-;\-* #,##0.00_-;_-* "-"??_-;_-@_-</c:formatCode>
                <c:ptCount val="6"/>
                <c:pt idx="0">
                  <c:v>2.7225056093766744</c:v>
                </c:pt>
                <c:pt idx="1">
                  <c:v>1.9630567142674102</c:v>
                </c:pt>
                <c:pt idx="2">
                  <c:v>2.1730824336399555</c:v>
                </c:pt>
                <c:pt idx="3">
                  <c:v>2.8936871866971146</c:v>
                </c:pt>
                <c:pt idx="4">
                  <c:v>2.7432980494922736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DC-4AEC-B69D-3282D3F08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514672"/>
        <c:axId val="1570670960"/>
      </c:lineChart>
      <c:lineChart>
        <c:grouping val="standard"/>
        <c:varyColors val="0"/>
        <c:ser>
          <c:idx val="3"/>
          <c:order val="3"/>
          <c:tx>
            <c:strRef>
              <c:f>'Non-hz waste gen'!$C$142</c:f>
              <c:strCache>
                <c:ptCount val="1"/>
                <c:pt idx="0">
                  <c:v>Production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'Non-hz waste gen'!$E$142:$J$142</c:f>
              <c:numCache>
                <c:formatCode>_-* #,##0.00_-;\-* #,##0.00_-;_-* "-"??_-;_-@_-</c:formatCode>
                <c:ptCount val="6"/>
                <c:pt idx="0">
                  <c:v>8.5473448657681743</c:v>
                </c:pt>
                <c:pt idx="1">
                  <c:v>9.7048037773794942</c:v>
                </c:pt>
                <c:pt idx="2">
                  <c:v>7.5174074896</c:v>
                </c:pt>
                <c:pt idx="3">
                  <c:v>8.6185785120831842</c:v>
                </c:pt>
                <c:pt idx="4">
                  <c:v>7.7716394509999995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DC-4AEC-B69D-3282D3F08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935664"/>
        <c:axId val="1565656128"/>
      </c:lineChart>
      <c:catAx>
        <c:axId val="170151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70960"/>
        <c:crosses val="autoZero"/>
        <c:auto val="1"/>
        <c:lblAlgn val="ctr"/>
        <c:lblOffset val="100"/>
        <c:noMultiLvlLbl val="0"/>
      </c:catAx>
      <c:valAx>
        <c:axId val="1570670960"/>
        <c:scaling>
          <c:orientation val="minMax"/>
          <c:max val="3.5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14672"/>
        <c:crosses val="autoZero"/>
        <c:crossBetween val="between"/>
      </c:valAx>
      <c:valAx>
        <c:axId val="1565656128"/>
        <c:scaling>
          <c:orientation val="minMax"/>
          <c:max val="40"/>
        </c:scaling>
        <c:delete val="0"/>
        <c:axPos val="r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935664"/>
        <c:crosses val="max"/>
        <c:crossBetween val="between"/>
      </c:valAx>
      <c:catAx>
        <c:axId val="1766935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65656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Non-hz waste generated</a:t>
            </a:r>
            <a:r>
              <a:rPr lang="th-TH" b="1"/>
              <a:t> </a:t>
            </a:r>
            <a:r>
              <a:rPr lang="en-US" b="1"/>
              <a:t>(All SCGC)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1"/>
          <c:tx>
            <c:strRef>
              <c:f>'Non-hz waste gen'!$C$137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('Non-hz waste gen'!$E$137:$G$137,'Non-hz waste gen'!$I$137,'Non-hz waste gen'!$K$137)</c:f>
              <c:numCache>
                <c:formatCode>_-* #,##0.00_-;\-* #,##0.00_-;_-* "-"??_-;_-@_-</c:formatCode>
                <c:ptCount val="5"/>
                <c:pt idx="0">
                  <c:v>2.8115072675407031</c:v>
                </c:pt>
                <c:pt idx="1">
                  <c:v>2.1726642991343463</c:v>
                </c:pt>
                <c:pt idx="2">
                  <c:v>2.3376835224680965</c:v>
                </c:pt>
                <c:pt idx="3">
                  <c:v>0</c:v>
                </c:pt>
                <c:pt idx="4" formatCode="General">
                  <c:v>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05-4122-91B2-33B913A28217}"/>
            </c:ext>
          </c:extLst>
        </c:ser>
        <c:ser>
          <c:idx val="1"/>
          <c:order val="2"/>
          <c:tx>
            <c:strRef>
              <c:f>'Non-hz waste gen'!$C$136</c:f>
              <c:strCache>
                <c:ptCount val="1"/>
                <c:pt idx="0">
                  <c:v>Special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('Non-hz waste gen'!$E$136:$G$136,'Non-hz waste gen'!$I$136,'Non-hz waste gen'!$K$136)</c:f>
              <c:numCache>
                <c:formatCode>_-* #,##0.00_-;\-* #,##0.00_-;_-* "-"??_-;_-@_-</c:formatCode>
                <c:ptCount val="5"/>
                <c:pt idx="0">
                  <c:v>7.8968486054227238E-2</c:v>
                </c:pt>
                <c:pt idx="1">
                  <c:v>2.7909644821711765E-2</c:v>
                </c:pt>
                <c:pt idx="2">
                  <c:v>0.10989479118032897</c:v>
                </c:pt>
                <c:pt idx="3">
                  <c:v>3.0196862558042681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05-4122-91B2-33B913A28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1514672"/>
        <c:axId val="1570670960"/>
      </c:barChart>
      <c:lineChart>
        <c:grouping val="standard"/>
        <c:varyColors val="0"/>
        <c:ser>
          <c:idx val="0"/>
          <c:order val="0"/>
          <c:tx>
            <c:strRef>
              <c:f>'Non-hz waste gen'!$C$135</c:f>
              <c:strCache>
                <c:ptCount val="1"/>
                <c:pt idx="0">
                  <c:v>Normal + Special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('[3]Hz waste gen'!$E$99:$G$99,'[3]Hz waste gen'!$I$99,'[3]Hz waste gen'!$K$99)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Actual 2023</c:v>
                </c:pt>
                <c:pt idx="4">
                  <c:v>Plan 2024</c:v>
                </c:pt>
              </c:strCache>
            </c:strRef>
          </c:cat>
          <c:val>
            <c:numRef>
              <c:f>('Non-hz waste gen'!$E$135:$G$135,'Non-hz waste gen'!$I$135,'Non-hz waste gen'!$K$135)</c:f>
              <c:numCache>
                <c:formatCode>_-* #,##0.00_-;\-* #,##0.00_-;_-* "-"??_-;_-@_-</c:formatCode>
                <c:ptCount val="5"/>
                <c:pt idx="0">
                  <c:v>2.8904757535949304</c:v>
                </c:pt>
                <c:pt idx="1">
                  <c:v>2.2005739439560581</c:v>
                </c:pt>
                <c:pt idx="2">
                  <c:v>2.4475783136484255</c:v>
                </c:pt>
                <c:pt idx="3">
                  <c:v>3.0196862558042681</c:v>
                </c:pt>
                <c:pt idx="4" formatCode="General">
                  <c:v>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05-4122-91B2-33B913A28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514672"/>
        <c:axId val="1570670960"/>
      </c:lineChart>
      <c:lineChart>
        <c:grouping val="standard"/>
        <c:varyColors val="0"/>
        <c:ser>
          <c:idx val="3"/>
          <c:order val="3"/>
          <c:tx>
            <c:strRef>
              <c:f>'Non-hz waste gen'!$C$138</c:f>
              <c:strCache>
                <c:ptCount val="1"/>
                <c:pt idx="0">
                  <c:v>Production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('Non-hz waste gen'!$E$138:$G$138,'Non-hz waste gen'!$I$138,'Non-hz waste gen'!$K$138)</c:f>
              <c:numCache>
                <c:formatCode>_-* #,##0.00_-;\-* #,##0.00_-;_-* "-"??_-;_-@_-</c:formatCode>
                <c:ptCount val="5"/>
                <c:pt idx="0">
                  <c:v>9.0561442384612842</c:v>
                </c:pt>
                <c:pt idx="1">
                  <c:v>10.344745617753649</c:v>
                </c:pt>
                <c:pt idx="2">
                  <c:v>8.5988598636000013</c:v>
                </c:pt>
                <c:pt idx="3">
                  <c:v>8280614.9300000016</c:v>
                </c:pt>
                <c:pt idx="4">
                  <c:v>8.5300867756288596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05-4122-91B2-33B913A28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935664"/>
        <c:axId val="1565656128"/>
      </c:lineChart>
      <c:catAx>
        <c:axId val="170151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70960"/>
        <c:crosses val="autoZero"/>
        <c:auto val="1"/>
        <c:lblAlgn val="ctr"/>
        <c:lblOffset val="100"/>
        <c:noMultiLvlLbl val="0"/>
      </c:catAx>
      <c:valAx>
        <c:axId val="157067096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14672"/>
        <c:crosses val="autoZero"/>
        <c:crossBetween val="between"/>
      </c:valAx>
      <c:valAx>
        <c:axId val="1565656128"/>
        <c:scaling>
          <c:orientation val="minMax"/>
          <c:max val="40"/>
        </c:scaling>
        <c:delete val="0"/>
        <c:axPos val="r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935664"/>
        <c:crosses val="max"/>
        <c:crossBetween val="between"/>
      </c:valAx>
      <c:catAx>
        <c:axId val="1766935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65656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Non-hz waste generated</a:t>
            </a:r>
            <a:r>
              <a:rPr lang="th-TH" b="1"/>
              <a:t> </a:t>
            </a:r>
            <a:r>
              <a:rPr lang="en-US" b="1"/>
              <a:t>(Subsidiary only)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1"/>
          <c:tx>
            <c:strRef>
              <c:f>'Non-hz waste gen'!$C$141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('Non-hz waste gen'!$E$141:$G$141,'Non-hz waste gen'!$I$141,'Non-hz waste gen'!$K$141)</c:f>
              <c:numCache>
                <c:formatCode>_-* #,##0.00_-;\-* #,##0.00_-;_-* "-"??_-;_-@_-</c:formatCode>
                <c:ptCount val="5"/>
                <c:pt idx="0">
                  <c:v>2.6388363517029658</c:v>
                </c:pt>
                <c:pt idx="1">
                  <c:v>1.9333472183045413</c:v>
                </c:pt>
                <c:pt idx="2">
                  <c:v>2.0576743713537708</c:v>
                </c:pt>
                <c:pt idx="3">
                  <c:v>0</c:v>
                </c:pt>
                <c:pt idx="4" formatCode="General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B-4992-9210-8FF7E8F08815}"/>
            </c:ext>
          </c:extLst>
        </c:ser>
        <c:ser>
          <c:idx val="1"/>
          <c:order val="2"/>
          <c:tx>
            <c:strRef>
              <c:f>'Non-hz waste gen'!$C$140</c:f>
              <c:strCache>
                <c:ptCount val="1"/>
                <c:pt idx="0">
                  <c:v>Special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('Non-hz waste gen'!$E$140:$G$140,'Non-hz waste gen'!$I$140,'Non-hz waste gen'!$K$140)</c:f>
              <c:numCache>
                <c:formatCode>_-* #,##0.00_-;\-* #,##0.00_-;_-* "-"??_-;_-@_-</c:formatCode>
                <c:ptCount val="5"/>
                <c:pt idx="0">
                  <c:v>8.3669257673708586E-2</c:v>
                </c:pt>
                <c:pt idx="1">
                  <c:v>2.9709495962868981E-2</c:v>
                </c:pt>
                <c:pt idx="2">
                  <c:v>0.11540806228618461</c:v>
                </c:pt>
                <c:pt idx="3">
                  <c:v>2.7432980494922736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DB-4992-9210-8FF7E8F08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1514672"/>
        <c:axId val="1570670960"/>
      </c:barChart>
      <c:lineChart>
        <c:grouping val="standard"/>
        <c:varyColors val="0"/>
        <c:ser>
          <c:idx val="0"/>
          <c:order val="0"/>
          <c:tx>
            <c:strRef>
              <c:f>'Non-hz waste gen'!$C$139</c:f>
              <c:strCache>
                <c:ptCount val="1"/>
                <c:pt idx="0">
                  <c:v>Normal + Special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('Non-hz waste gen'!$E$134:$G$134,'Non-hz waste gen'!$I$134,'Non-hz waste gen'!$K$134)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Actual 2023</c:v>
                </c:pt>
                <c:pt idx="4">
                  <c:v>Plan 2024</c:v>
                </c:pt>
              </c:strCache>
            </c:strRef>
          </c:cat>
          <c:val>
            <c:numRef>
              <c:f>('Non-hz waste gen'!$E$139:$G$139,'Non-hz waste gen'!$I$139,'Non-hz waste gen'!$K$139)</c:f>
              <c:numCache>
                <c:formatCode>_-* #,##0.00_-;\-* #,##0.00_-;_-* "-"??_-;_-@_-</c:formatCode>
                <c:ptCount val="5"/>
                <c:pt idx="0">
                  <c:v>2.7225056093766744</c:v>
                </c:pt>
                <c:pt idx="1">
                  <c:v>1.9630567142674102</c:v>
                </c:pt>
                <c:pt idx="2">
                  <c:v>2.1730824336399555</c:v>
                </c:pt>
                <c:pt idx="3">
                  <c:v>2.7432980494922736</c:v>
                </c:pt>
                <c:pt idx="4" formatCode="General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DB-4992-9210-8FF7E8F08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1514672"/>
        <c:axId val="1570670960"/>
      </c:lineChart>
      <c:lineChart>
        <c:grouping val="standard"/>
        <c:varyColors val="0"/>
        <c:ser>
          <c:idx val="3"/>
          <c:order val="3"/>
          <c:tx>
            <c:strRef>
              <c:f>'Non-hz waste gen'!$C$142</c:f>
              <c:strCache>
                <c:ptCount val="1"/>
                <c:pt idx="0">
                  <c:v>Production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('Non-hz waste gen'!$E$142:$G$142,'Non-hz waste gen'!$I$142,'Non-hz waste gen'!$K$142)</c:f>
              <c:numCache>
                <c:formatCode>_-* #,##0.00_-;\-* #,##0.00_-;_-* "-"??_-;_-@_-</c:formatCode>
                <c:ptCount val="5"/>
                <c:pt idx="0">
                  <c:v>8.5473448657681743</c:v>
                </c:pt>
                <c:pt idx="1">
                  <c:v>9.7048037773794942</c:v>
                </c:pt>
                <c:pt idx="2">
                  <c:v>7.5174074896</c:v>
                </c:pt>
                <c:pt idx="3">
                  <c:v>7.7716394509999995</c:v>
                </c:pt>
                <c:pt idx="4">
                  <c:v>8.0037267756288593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DB-4992-9210-8FF7E8F08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6935664"/>
        <c:axId val="1565656128"/>
      </c:lineChart>
      <c:catAx>
        <c:axId val="170151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70960"/>
        <c:crosses val="autoZero"/>
        <c:auto val="1"/>
        <c:lblAlgn val="ctr"/>
        <c:lblOffset val="100"/>
        <c:noMultiLvlLbl val="0"/>
      </c:catAx>
      <c:valAx>
        <c:axId val="1570670960"/>
        <c:scaling>
          <c:orientation val="minMax"/>
          <c:max val="3.5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14672"/>
        <c:crosses val="autoZero"/>
        <c:crossBetween val="between"/>
      </c:valAx>
      <c:valAx>
        <c:axId val="1565656128"/>
        <c:scaling>
          <c:orientation val="minMax"/>
          <c:max val="40"/>
        </c:scaling>
        <c:delete val="0"/>
        <c:axPos val="r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935664"/>
        <c:crosses val="max"/>
        <c:crossBetween val="between"/>
      </c:valAx>
      <c:catAx>
        <c:axId val="1766935664"/>
        <c:scaling>
          <c:orientation val="minMax"/>
        </c:scaling>
        <c:delete val="1"/>
        <c:axPos val="b"/>
        <c:majorTickMark val="out"/>
        <c:minorTickMark val="none"/>
        <c:tickLblPos val="nextTo"/>
        <c:crossAx val="1565656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r>
              <a:rPr lang="en-US"/>
              <a:t>Non - hz waste generated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('[3]Hz waste gen'!$E$99:$G$99,'[3]Hz waste gen'!$I$99:$K$99)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Actual 2023</c:v>
                </c:pt>
                <c:pt idx="4">
                  <c:v>Normalize 2023</c:v>
                </c:pt>
                <c:pt idx="5">
                  <c:v>Plan 2024</c:v>
                </c:pt>
              </c:strCache>
            </c:strRef>
          </c:cat>
          <c:val>
            <c:numRef>
              <c:f>('Non-hz waste gen'!$E$135:$G$135,'Non-hz waste gen'!$I$135:$K$135)</c:f>
              <c:numCache>
                <c:formatCode>_-* #,##0.00_-;\-* #,##0.00_-;_-* "-"??_-;_-@_-</c:formatCode>
                <c:ptCount val="6"/>
                <c:pt idx="0">
                  <c:v>2.8904757535949304</c:v>
                </c:pt>
                <c:pt idx="1">
                  <c:v>2.2005739439560581</c:v>
                </c:pt>
                <c:pt idx="2">
                  <c:v>2.4475783136484255</c:v>
                </c:pt>
                <c:pt idx="3">
                  <c:v>3.0196862558042681</c:v>
                </c:pt>
                <c:pt idx="4">
                  <c:v>2.14</c:v>
                </c:pt>
                <c:pt idx="5" formatCode="General">
                  <c:v>3.08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E-48AB-9A99-F6BCE13FD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1337168"/>
        <c:axId val="340366720"/>
      </c:barChart>
      <c:catAx>
        <c:axId val="27133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340366720"/>
        <c:crosses val="autoZero"/>
        <c:auto val="1"/>
        <c:lblAlgn val="ctr"/>
        <c:lblOffset val="100"/>
        <c:noMultiLvlLbl val="0"/>
      </c:catAx>
      <c:valAx>
        <c:axId val="34036672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27133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r>
              <a:rPr lang="en-US"/>
              <a:t>Non-hz waste generated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'[3]Water withdrawal'!$B$153</c:f>
              <c:strCache>
                <c:ptCount val="1"/>
                <c:pt idx="0">
                  <c:v>Normalize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'[3]Water withdrawal'!$D$151:$H$151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Plan 2024</c:v>
                </c:pt>
              </c:strCache>
            </c:strRef>
          </c:cat>
          <c:val>
            <c:numRef>
              <c:f>'Non-hz waste gen'!$E$213:$I$213</c:f>
              <c:numCache>
                <c:formatCode>General</c:formatCode>
                <c:ptCount val="5"/>
                <c:pt idx="3" formatCode="_-* #,##0.00_-;\-* #,##0.00_-;_-* &quot;-&quot;??_-;_-@_-">
                  <c:v>2.14</c:v>
                </c:pt>
                <c:pt idx="4" formatCode="_-* #,##0.00_-;\-* #,##0.00_-;_-* &quot;-&quot;??_-;_-@_-">
                  <c:v>2.5515156652730946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B2-40AE-8E1C-F6807591A512}"/>
            </c:ext>
          </c:extLst>
        </c:ser>
        <c:ser>
          <c:idx val="0"/>
          <c:order val="1"/>
          <c:tx>
            <c:strRef>
              <c:f>'[3]Water withdrawal'!$B$152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'[3]Water withdrawal'!$D$151:$H$151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Plan 2024</c:v>
                </c:pt>
              </c:strCache>
            </c:strRef>
          </c:cat>
          <c:val>
            <c:numRef>
              <c:f>'Non-hz waste gen'!$E$212:$I$212</c:f>
              <c:numCache>
                <c:formatCode>_-* #,##0.00_-;\-* #,##0.00_-;_-* "-"??_-;_-@_-</c:formatCode>
                <c:ptCount val="5"/>
                <c:pt idx="0">
                  <c:v>2.8904757535949304</c:v>
                </c:pt>
                <c:pt idx="1">
                  <c:v>2.2005739439560581</c:v>
                </c:pt>
                <c:pt idx="2">
                  <c:v>2.4475783136484255</c:v>
                </c:pt>
                <c:pt idx="3">
                  <c:v>0.87968625580426796</c:v>
                </c:pt>
                <c:pt idx="4">
                  <c:v>0.52848433472690548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5B2-40AE-8E1C-F6807591A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9564896"/>
        <c:axId val="1980037456"/>
      </c:barChart>
      <c:catAx>
        <c:axId val="198956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980037456"/>
        <c:crosses val="autoZero"/>
        <c:auto val="1"/>
        <c:lblAlgn val="ctr"/>
        <c:lblOffset val="100"/>
        <c:noMultiLvlLbl val="0"/>
      </c:catAx>
      <c:valAx>
        <c:axId val="1980037456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98956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Non-hz waste generated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'[3]Hz waste gen'!$A$71</c:f>
              <c:strCache>
                <c:ptCount val="1"/>
                <c:pt idx="0">
                  <c:v>Normalize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6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EB0-4CB1-B4BF-6CC69E5311F3}"/>
              </c:ext>
            </c:extLst>
          </c:dPt>
          <c:dLbls>
            <c:dLbl>
              <c:idx val="16"/>
              <c:layout>
                <c:manualLayout>
                  <c:x val="0"/>
                  <c:y val="-5.73194793706291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B0-4CB1-B4BF-6CC69E531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'[3]Hz waste gen'!$B$68:$R$68</c:f>
              <c:strCache>
                <c:ptCount val="17"/>
                <c:pt idx="0">
                  <c:v>Actual 2020</c:v>
                </c:pt>
                <c:pt idx="1">
                  <c:v>Actual 2021</c:v>
                </c:pt>
                <c:pt idx="2">
                  <c:v>Actual 2022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  <c:pt idx="12">
                  <c:v>45200</c:v>
                </c:pt>
                <c:pt idx="13">
                  <c:v>45231</c:v>
                </c:pt>
                <c:pt idx="14">
                  <c:v>45261</c:v>
                </c:pt>
                <c:pt idx="15">
                  <c:v>Actual 2023</c:v>
                </c:pt>
                <c:pt idx="16">
                  <c:v>Plan 2024</c:v>
                </c:pt>
              </c:strCache>
            </c:strRef>
          </c:cat>
          <c:val>
            <c:numRef>
              <c:f>'Non-hz waste gen'!$B$89:$R$89</c:f>
              <c:numCache>
                <c:formatCode>General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2-BD6B-4F1E-9853-CA783D45305B}"/>
            </c:ext>
          </c:extLst>
        </c:ser>
        <c:ser>
          <c:idx val="0"/>
          <c:order val="1"/>
          <c:tx>
            <c:strRef>
              <c:f>'[3]Hz waste gen'!$A$70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16"/>
              <c:layout>
                <c:manualLayout>
                  <c:x val="0"/>
                  <c:y val="-3.8157572402200204E-2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ysClr val="windowText" lastClr="000000"/>
                        </a:solidFill>
                      </a:rPr>
                      <a:t>1.57</a:t>
                    </a:r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EB0-4CB1-B4BF-6CC69E531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'[3]Hz waste gen'!$B$68:$R$68</c:f>
              <c:strCache>
                <c:ptCount val="17"/>
                <c:pt idx="0">
                  <c:v>Actual 2020</c:v>
                </c:pt>
                <c:pt idx="1">
                  <c:v>Actual 2021</c:v>
                </c:pt>
                <c:pt idx="2">
                  <c:v>Actual 2022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  <c:pt idx="12">
                  <c:v>45200</c:v>
                </c:pt>
                <c:pt idx="13">
                  <c:v>45231</c:v>
                </c:pt>
                <c:pt idx="14">
                  <c:v>45261</c:v>
                </c:pt>
                <c:pt idx="15">
                  <c:v>Actual 2023</c:v>
                </c:pt>
                <c:pt idx="16">
                  <c:v>Plan 2024</c:v>
                </c:pt>
              </c:strCache>
            </c:strRef>
          </c:cat>
          <c:val>
            <c:numRef>
              <c:f>'Non-hz waste gen'!$B$88:$R$88</c:f>
              <c:numCache>
                <c:formatCode>_-* #,##0.00_-;\-* #,##0.00_-;_-* "-"??_-;_-@_-</c:formatCode>
                <c:ptCount val="17"/>
                <c:pt idx="0">
                  <c:v>2.8904757535949304</c:v>
                </c:pt>
                <c:pt idx="1">
                  <c:v>2.2005739439560581</c:v>
                </c:pt>
                <c:pt idx="2">
                  <c:v>2.4475783136484255</c:v>
                </c:pt>
                <c:pt idx="3">
                  <c:v>2.5242002367409522</c:v>
                </c:pt>
                <c:pt idx="4">
                  <c:v>2.5595830747472106</c:v>
                </c:pt>
                <c:pt idx="5">
                  <c:v>2.5462089883783112</c:v>
                </c:pt>
                <c:pt idx="6">
                  <c:v>3.4569115581928993</c:v>
                </c:pt>
                <c:pt idx="7">
                  <c:v>3.4617190377270606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3.0196862558042681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6B-4F1E-9853-CA783D453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0516335"/>
        <c:axId val="1214396991"/>
      </c:barChart>
      <c:catAx>
        <c:axId val="9105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96991"/>
        <c:crosses val="autoZero"/>
        <c:auto val="1"/>
        <c:lblAlgn val="ctr"/>
        <c:lblOffset val="100"/>
        <c:noMultiLvlLbl val="0"/>
      </c:catAx>
      <c:valAx>
        <c:axId val="1214396991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1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r>
              <a:rPr lang="en-US"/>
              <a:t>Non-hz waste generated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79393815831651"/>
          <c:y val="0.15017547551357779"/>
          <c:w val="0.87455014385744545"/>
          <c:h val="0.7546862786466324"/>
        </c:manualLayout>
      </c:layout>
      <c:barChart>
        <c:barDir val="col"/>
        <c:grouping val="stacked"/>
        <c:varyColors val="0"/>
        <c:ser>
          <c:idx val="0"/>
          <c:order val="1"/>
          <c:tx>
            <c:strRef>
              <c:f>'Non-hz waste gen'!$A$88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3171208972128340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D2-4F0F-A252-4CC337260A24}"/>
                </c:ext>
              </c:extLst>
            </c:dLbl>
            <c:dLbl>
              <c:idx val="1"/>
              <c:layout>
                <c:manualLayout>
                  <c:x val="-3.8054103206513852E-17"/>
                  <c:y val="-0.25014235841825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CD2-4F0F-A252-4CC337260A24}"/>
                </c:ext>
              </c:extLst>
            </c:dLbl>
            <c:dLbl>
              <c:idx val="2"/>
              <c:layout>
                <c:manualLayout>
                  <c:x val="0"/>
                  <c:y val="-0.2709380962159866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D2-4F0F-A252-4CC337260A24}"/>
                </c:ext>
              </c:extLst>
            </c:dLbl>
            <c:dLbl>
              <c:idx val="5"/>
              <c:layout>
                <c:manualLayout>
                  <c:x val="0"/>
                  <c:y val="-0.2878456696851796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4A-4368-BF7A-166F44AA78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('Non-hz waste gen'!$B$86:$E$86,'Non-hz waste gen'!$K$86,'Non-hz waste gen'!$R$86)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Jun-26</c:v>
                </c:pt>
                <c:pt idx="5">
                  <c:v>YTD 2026</c:v>
                </c:pt>
              </c:strCache>
            </c:strRef>
          </c:cat>
          <c:val>
            <c:numRef>
              <c:f>('Non-hz waste gen'!$B$88:$E$88,'Non-hz waste gen'!$K$88,'Non-hz waste gen'!$R$88)</c:f>
              <c:numCache>
                <c:formatCode>_-* #,##0.00_-;\-* #,##0.00_-;_-* "-"??_-;_-@_-</c:formatCode>
                <c:ptCount val="6"/>
                <c:pt idx="0">
                  <c:v>2.8904757535949304</c:v>
                </c:pt>
                <c:pt idx="1">
                  <c:v>2.2005739439560581</c:v>
                </c:pt>
                <c:pt idx="2">
                  <c:v>2.4475783136484255</c:v>
                </c:pt>
                <c:pt idx="3">
                  <c:v>2.5242002367409522</c:v>
                </c:pt>
                <c:pt idx="4">
                  <c:v>0</c:v>
                </c:pt>
                <c:pt idx="5">
                  <c:v>3.0196862558042681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D2-4F0F-A252-4CC337260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0516335"/>
        <c:axId val="1214396991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'[3]Hz waste gen'!$A$71</c15:sqref>
                        </c15:formulaRef>
                      </c:ext>
                    </c:extLst>
                    <c:strCache>
                      <c:ptCount val="1"/>
                      <c:pt idx="0">
                        <c:v>Normalize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Pt>
                  <c:idx val="16"/>
                  <c:invertIfNegative val="0"/>
                  <c:bubble3D val="0"/>
                  <c:spPr>
                    <a:solidFill>
                      <a:schemeClr val="tx1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2-F54A-4368-BF7A-166F44AA788C}"/>
                    </c:ext>
                  </c:extLst>
                </c:dPt>
                <c:dLbls>
                  <c:dLbl>
                    <c:idx val="16"/>
                    <c:layout>
                      <c:manualLayout>
                        <c:x val="0"/>
                        <c:y val="-5.731947937062911E-2"/>
                      </c:manualLayout>
                    </c:layout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900" b="0" i="0" u="none" strike="noStrike" kern="1200" baseline="0">
                            <a:solidFill>
                              <a:schemeClr val="bg1"/>
                            </a:solidFill>
                            <a:latin typeface="SCG" panose="02000503000000020004" pitchFamily="50" charset="-34"/>
                            <a:ea typeface="+mn-ea"/>
                            <a:cs typeface="SCG" panose="02000503000000020004" pitchFamily="50" charset="-34"/>
                          </a:defRPr>
                        </a:pPr>
                        <a:endParaRPr lang="en-US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F54A-4368-BF7A-166F44AA788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SCG" panose="02000503000000020004" pitchFamily="50" charset="-34"/>
                          <a:ea typeface="+mn-ea"/>
                          <a:cs typeface="SCG" panose="02000503000000020004" pitchFamily="50" charset="-34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('Non-hz waste gen'!$B$86:$E$86,'Non-hz waste gen'!$K$86,'Non-hz waste gen'!$R$86)</c15:sqref>
                        </c15:formulaRef>
                      </c:ext>
                    </c:extLst>
                    <c:strCach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Jun-26</c:v>
                      </c:pt>
                      <c:pt idx="5">
                        <c:v>YTD 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'Non-hz waste gen'!$B$89:$R$89</c15:sqref>
                        </c15:formulaRef>
                      </c:ext>
                    </c:extLst>
                    <c:numCache>
                      <c:formatCode>General</c:formatCode>
                      <c:ptCount val="1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CD2-4F0F-A252-4CC337260A2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'Non-hz waste gen'!$A$87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('Non-hz waste gen'!$B$86:$E$86,'Non-hz waste gen'!$F$86,'Non-hz waste gen'!$R$86)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Jan-26</c:v>
                </c:pt>
                <c:pt idx="5">
                  <c:v>YTD 2026</c:v>
                </c:pt>
              </c:strCache>
            </c:strRef>
          </c:cat>
          <c:val>
            <c:numRef>
              <c:f>('Non-hz waste gen'!$B$87:$E$87,'Non-hz waste gen'!$K$87,'Non-hz waste gen'!$R$87)</c:f>
              <c:numCache>
                <c:formatCode>General</c:formatCode>
                <c:ptCount val="6"/>
                <c:pt idx="4" formatCode="_-* #,##0.00_-;\-* #,##0.00_-;_-* &quot;-&quot;??_-;_-@_-">
                  <c:v>0</c:v>
                </c:pt>
                <c:pt idx="5" formatCode="_-* #,##0.00_-;\-* #,##0.00_-;_-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CD2-4F0F-A252-4CC337260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516335"/>
        <c:axId val="1214396991"/>
      </c:lineChart>
      <c:catAx>
        <c:axId val="9105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214396991"/>
        <c:crosses val="autoZero"/>
        <c:auto val="1"/>
        <c:lblAlgn val="ctr"/>
        <c:lblOffset val="100"/>
        <c:noMultiLvlLbl val="0"/>
      </c:catAx>
      <c:valAx>
        <c:axId val="121439699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r>
                  <a:rPr lang="en-US"/>
                  <a:t>kg/ton</a:t>
                </a:r>
              </a:p>
            </c:rich>
          </c:tx>
          <c:layout>
            <c:manualLayout>
              <c:xMode val="edge"/>
              <c:yMode val="edge"/>
              <c:x val="1.7204303988536784E-2"/>
              <c:y val="4.0185297294796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CG" panose="02000503000000020004" pitchFamily="50" charset="-34"/>
                  <a:ea typeface="+mn-ea"/>
                  <a:cs typeface="SCG" panose="02000503000000020004" pitchFamily="50" charset="-34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91051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NOx Emission (All SCGC)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94504738442417"/>
          <c:y val="0.16946848822522026"/>
          <c:w val="0.7779799291268098"/>
          <c:h val="0.588844684494796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NOx!$C$144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'[3]Water withdrawal'!$E$99:$J$99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  <c:pt idx="5">
                  <c:v>Normalize 2023</c:v>
                </c:pt>
              </c:strCache>
            </c:strRef>
          </c:cat>
          <c:val>
            <c:numRef>
              <c:f>NOx!$E$144:$J$144</c:f>
              <c:numCache>
                <c:formatCode>_-* #,##0_-;\-* #,##0_-;_-* "-"??_-;_-@_-</c:formatCode>
                <c:ptCount val="6"/>
                <c:pt idx="0">
                  <c:v>147.59179858565309</c:v>
                </c:pt>
                <c:pt idx="1">
                  <c:v>152.33294643310171</c:v>
                </c:pt>
                <c:pt idx="2">
                  <c:v>172.39589306617907</c:v>
                </c:pt>
                <c:pt idx="3">
                  <c:v>0</c:v>
                </c:pt>
                <c:pt idx="4">
                  <c:v>170.50493295902749</c:v>
                </c:pt>
                <c:pt idx="5">
                  <c:v>99.75880162077307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C8-40A4-89A8-9526CB3BD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241957072"/>
        <c:axId val="1284199024"/>
      </c:barChart>
      <c:lineChart>
        <c:grouping val="standard"/>
        <c:varyColors val="0"/>
        <c:ser>
          <c:idx val="1"/>
          <c:order val="1"/>
          <c:tx>
            <c:strRef>
              <c:f>NOx!$C$145</c:f>
              <c:strCache>
                <c:ptCount val="1"/>
                <c:pt idx="0">
                  <c:v>Production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'[3]Water withdrawal'!$E$99:$J$99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  <c:pt idx="5">
                  <c:v>Normalize 2023</c:v>
                </c:pt>
              </c:strCache>
            </c:strRef>
          </c:cat>
          <c:val>
            <c:numRef>
              <c:f>NOx!$E$145:$J$145</c:f>
              <c:numCache>
                <c:formatCode>_-* #,##0.00_-;\-* #,##0.00_-;_-* "-"??_-;_-@_-</c:formatCode>
                <c:ptCount val="6"/>
                <c:pt idx="0">
                  <c:v>9.0561442384612842</c:v>
                </c:pt>
                <c:pt idx="1">
                  <c:v>10.344745617753649</c:v>
                </c:pt>
                <c:pt idx="2">
                  <c:v>8.5988598636000013</c:v>
                </c:pt>
                <c:pt idx="3">
                  <c:v>9.1984955120831806</c:v>
                </c:pt>
                <c:pt idx="4">
                  <c:v>8280614.9300000016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C8-40A4-89A8-9526CB3BD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368784"/>
        <c:axId val="1241185936"/>
      </c:lineChart>
      <c:catAx>
        <c:axId val="124195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199024"/>
        <c:crosses val="autoZero"/>
        <c:auto val="1"/>
        <c:lblAlgn val="ctr"/>
        <c:lblOffset val="100"/>
        <c:noMultiLvlLbl val="0"/>
      </c:catAx>
      <c:valAx>
        <c:axId val="1284199024"/>
        <c:scaling>
          <c:orientation val="minMax"/>
          <c:min val="0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57072"/>
        <c:crosses val="autoZero"/>
        <c:crossBetween val="between"/>
      </c:valAx>
      <c:valAx>
        <c:axId val="1241185936"/>
        <c:scaling>
          <c:orientation val="minMax"/>
          <c:max val="40"/>
        </c:scaling>
        <c:delete val="0"/>
        <c:axPos val="r"/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368784"/>
        <c:crosses val="max"/>
        <c:crossBetween val="between"/>
      </c:valAx>
      <c:catAx>
        <c:axId val="704368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1185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NOx Emission (Subsidiary</a:t>
            </a:r>
            <a:r>
              <a:rPr lang="en-US" b="1" baseline="0"/>
              <a:t> only)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94504738442417"/>
          <c:y val="0.16946848822522026"/>
          <c:w val="0.7779799291268098"/>
          <c:h val="0.58884468449479643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NOx!$C$146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'[3]Water withdrawal'!$E$99:$J$99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  <c:pt idx="5">
                  <c:v>Normalize 2023</c:v>
                </c:pt>
              </c:strCache>
            </c:strRef>
          </c:cat>
          <c:val>
            <c:numRef>
              <c:f>NOx!$E$146:$J$146</c:f>
              <c:numCache>
                <c:formatCode>_-* #,##0_-;\-* #,##0_-;_-* "-"??_-;_-@_-</c:formatCode>
                <c:ptCount val="6"/>
                <c:pt idx="0">
                  <c:v>154.26721480333018</c:v>
                </c:pt>
                <c:pt idx="1">
                  <c:v>159.94763246219324</c:v>
                </c:pt>
                <c:pt idx="2">
                  <c:v>182.49071993342162</c:v>
                </c:pt>
                <c:pt idx="3">
                  <c:v>210</c:v>
                </c:pt>
                <c:pt idx="4">
                  <c:v>176.57002480853754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E9-43CE-9A26-276715A5D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241957072"/>
        <c:axId val="1284199024"/>
      </c:barChart>
      <c:lineChart>
        <c:grouping val="standard"/>
        <c:varyColors val="0"/>
        <c:ser>
          <c:idx val="1"/>
          <c:order val="0"/>
          <c:tx>
            <c:strRef>
              <c:f>NOx!$C$145</c:f>
              <c:strCache>
                <c:ptCount val="1"/>
                <c:pt idx="0">
                  <c:v>Production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'[3]Water withdrawal'!$E$99:$J$99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  <c:pt idx="5">
                  <c:v>Normalize 2023</c:v>
                </c:pt>
              </c:strCache>
            </c:strRef>
          </c:cat>
          <c:val>
            <c:numRef>
              <c:f>NOx!$E$147:$J$147</c:f>
              <c:numCache>
                <c:formatCode>_-* #,##0.00_-;\-* #,##0.00_-;_-* "-"??_-;_-@_-</c:formatCode>
                <c:ptCount val="6"/>
                <c:pt idx="0">
                  <c:v>8.5473448657681743</c:v>
                </c:pt>
                <c:pt idx="1">
                  <c:v>9.7048037773794942</c:v>
                </c:pt>
                <c:pt idx="2">
                  <c:v>7.5174074896</c:v>
                </c:pt>
                <c:pt idx="3">
                  <c:v>8.6185785120831842</c:v>
                </c:pt>
                <c:pt idx="4">
                  <c:v>7.7716394509999995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E9-43CE-9A26-276715A5D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368784"/>
        <c:axId val="1241185936"/>
      </c:lineChart>
      <c:catAx>
        <c:axId val="124195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199024"/>
        <c:crosses val="autoZero"/>
        <c:auto val="1"/>
        <c:lblAlgn val="ctr"/>
        <c:lblOffset val="100"/>
        <c:noMultiLvlLbl val="0"/>
      </c:catAx>
      <c:valAx>
        <c:axId val="1284199024"/>
        <c:scaling>
          <c:orientation val="minMax"/>
          <c:min val="0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57072"/>
        <c:crosses val="autoZero"/>
        <c:crossBetween val="between"/>
      </c:valAx>
      <c:valAx>
        <c:axId val="1241185936"/>
        <c:scaling>
          <c:orientation val="minMax"/>
          <c:max val="40"/>
        </c:scaling>
        <c:delete val="0"/>
        <c:axPos val="r"/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368784"/>
        <c:crosses val="max"/>
        <c:crossBetween val="between"/>
      </c:valAx>
      <c:catAx>
        <c:axId val="704368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1185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NOx Emission (All SCGC)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94504738442417"/>
          <c:y val="0.16946848822522026"/>
          <c:w val="0.7779799291268098"/>
          <c:h val="0.588844684494796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NOx!$C$144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(NOx!$E$143:$G$143,NOx!$I$143,NOx!$K$143)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Actual 2023</c:v>
                </c:pt>
                <c:pt idx="4">
                  <c:v>Plan 2024</c:v>
                </c:pt>
              </c:strCache>
            </c:strRef>
          </c:cat>
          <c:val>
            <c:numRef>
              <c:f>(NOx!$E$144:$G$144,NOx!$I$144,NOx!$K$144)</c:f>
              <c:numCache>
                <c:formatCode>_-* #,##0_-;\-* #,##0_-;_-* "-"??_-;_-@_-</c:formatCode>
                <c:ptCount val="5"/>
                <c:pt idx="0">
                  <c:v>147.59179858565309</c:v>
                </c:pt>
                <c:pt idx="1">
                  <c:v>152.33294643310171</c:v>
                </c:pt>
                <c:pt idx="2">
                  <c:v>172.39589306617907</c:v>
                </c:pt>
                <c:pt idx="3">
                  <c:v>170.50493295902749</c:v>
                </c:pt>
                <c:pt idx="4" formatCode="General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2A-4B87-A497-0BC5D19D2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241957072"/>
        <c:axId val="1284199024"/>
      </c:barChart>
      <c:lineChart>
        <c:grouping val="standard"/>
        <c:varyColors val="0"/>
        <c:ser>
          <c:idx val="1"/>
          <c:order val="1"/>
          <c:tx>
            <c:strRef>
              <c:f>NOx!$C$145</c:f>
              <c:strCache>
                <c:ptCount val="1"/>
                <c:pt idx="0">
                  <c:v>Production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'[3]Water withdrawal'!$E$99:$J$99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  <c:pt idx="5">
                  <c:v>Normalize 2023</c:v>
                </c:pt>
              </c:strCache>
            </c:strRef>
          </c:cat>
          <c:val>
            <c:numRef>
              <c:f>(NOx!$E$145:$G$145,NOx!$I$145,NOx!$K$145)</c:f>
              <c:numCache>
                <c:formatCode>_-* #,##0.00_-;\-* #,##0.00_-;_-* "-"??_-;_-@_-</c:formatCode>
                <c:ptCount val="5"/>
                <c:pt idx="0">
                  <c:v>9.0561442384612842</c:v>
                </c:pt>
                <c:pt idx="1">
                  <c:v>10.344745617753649</c:v>
                </c:pt>
                <c:pt idx="2">
                  <c:v>8.5988598636000013</c:v>
                </c:pt>
                <c:pt idx="3">
                  <c:v>8280614.9300000016</c:v>
                </c:pt>
                <c:pt idx="4">
                  <c:v>8.5300867756288596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2A-4B87-A497-0BC5D19D2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368784"/>
        <c:axId val="1241185936"/>
      </c:lineChart>
      <c:catAx>
        <c:axId val="124195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199024"/>
        <c:crosses val="autoZero"/>
        <c:auto val="1"/>
        <c:lblAlgn val="ctr"/>
        <c:lblOffset val="100"/>
        <c:noMultiLvlLbl val="0"/>
      </c:catAx>
      <c:valAx>
        <c:axId val="1284199024"/>
        <c:scaling>
          <c:orientation val="minMax"/>
          <c:min val="0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57072"/>
        <c:crosses val="autoZero"/>
        <c:crossBetween val="between"/>
      </c:valAx>
      <c:valAx>
        <c:axId val="1241185936"/>
        <c:scaling>
          <c:orientation val="minMax"/>
          <c:max val="40"/>
        </c:scaling>
        <c:delete val="0"/>
        <c:axPos val="r"/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368784"/>
        <c:crosses val="max"/>
        <c:crossBetween val="between"/>
      </c:valAx>
      <c:catAx>
        <c:axId val="704368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1185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NOx Emission (Subsidiary</a:t>
            </a:r>
            <a:r>
              <a:rPr lang="en-US" b="1" baseline="0"/>
              <a:t> only)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94504738442417"/>
          <c:y val="0.16946848822522026"/>
          <c:w val="0.7779799291268098"/>
          <c:h val="0.58884468449479643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NOx!$C$146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'[3]Water withdrawal'!$E$99:$J$99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  <c:pt idx="5">
                  <c:v>Normalize 2023</c:v>
                </c:pt>
              </c:strCache>
            </c:strRef>
          </c:cat>
          <c:val>
            <c:numRef>
              <c:f>(NOx!$E$146:$G$146,NOx!$I$146,NOx!$K$146)</c:f>
              <c:numCache>
                <c:formatCode>_-* #,##0_-;\-* #,##0_-;_-* "-"??_-;_-@_-</c:formatCode>
                <c:ptCount val="5"/>
                <c:pt idx="0">
                  <c:v>154.26721480333018</c:v>
                </c:pt>
                <c:pt idx="1">
                  <c:v>159.94763246219324</c:v>
                </c:pt>
                <c:pt idx="2">
                  <c:v>182.49071993342162</c:v>
                </c:pt>
                <c:pt idx="3">
                  <c:v>176.57002480853754</c:v>
                </c:pt>
                <c:pt idx="4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B3-4BE9-AEF0-7CA78552B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241957072"/>
        <c:axId val="1284199024"/>
      </c:barChart>
      <c:lineChart>
        <c:grouping val="standard"/>
        <c:varyColors val="0"/>
        <c:ser>
          <c:idx val="1"/>
          <c:order val="0"/>
          <c:tx>
            <c:strRef>
              <c:f>NOx!$C$145</c:f>
              <c:strCache>
                <c:ptCount val="1"/>
                <c:pt idx="0">
                  <c:v>Production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('[3]Water withdrawal'!$E$99:$G$99,'[3]Water withdrawal'!$I$99,'[3]Water withdrawal'!$K$99)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Actual 2023</c:v>
                </c:pt>
                <c:pt idx="4">
                  <c:v>Plan 2024</c:v>
                </c:pt>
              </c:strCache>
            </c:strRef>
          </c:cat>
          <c:val>
            <c:numRef>
              <c:f>(NOx!$E$147:$G$147,NOx!$I$147,NOx!$K$147)</c:f>
              <c:numCache>
                <c:formatCode>_-* #,##0.00_-;\-* #,##0.00_-;_-* "-"??_-;_-@_-</c:formatCode>
                <c:ptCount val="5"/>
                <c:pt idx="0">
                  <c:v>8.5473448657681743</c:v>
                </c:pt>
                <c:pt idx="1">
                  <c:v>9.7048037773794942</c:v>
                </c:pt>
                <c:pt idx="2">
                  <c:v>7.5174074896</c:v>
                </c:pt>
                <c:pt idx="3">
                  <c:v>7.7716394509999995</c:v>
                </c:pt>
                <c:pt idx="4">
                  <c:v>8.0037267756288593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B3-4BE9-AEF0-7CA78552B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368784"/>
        <c:axId val="1241185936"/>
      </c:lineChart>
      <c:catAx>
        <c:axId val="124195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199024"/>
        <c:crosses val="autoZero"/>
        <c:auto val="1"/>
        <c:lblAlgn val="ctr"/>
        <c:lblOffset val="100"/>
        <c:noMultiLvlLbl val="0"/>
      </c:catAx>
      <c:valAx>
        <c:axId val="1284199024"/>
        <c:scaling>
          <c:orientation val="minMax"/>
          <c:min val="0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57072"/>
        <c:crosses val="autoZero"/>
        <c:crossBetween val="between"/>
      </c:valAx>
      <c:valAx>
        <c:axId val="1241185936"/>
        <c:scaling>
          <c:orientation val="minMax"/>
          <c:max val="40"/>
        </c:scaling>
        <c:delete val="0"/>
        <c:axPos val="r"/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368784"/>
        <c:crosses val="max"/>
        <c:crossBetween val="between"/>
      </c:valAx>
      <c:catAx>
        <c:axId val="704368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1185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r>
              <a:rPr lang="en-US"/>
              <a:t>NOx Emission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('[3]Hz waste gen'!$E$99:$G$99,'[3]Hz waste gen'!$I$99:$K$99)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Actual 2023</c:v>
                </c:pt>
                <c:pt idx="4">
                  <c:v>Normalize 2023</c:v>
                </c:pt>
                <c:pt idx="5">
                  <c:v>Plan 2024</c:v>
                </c:pt>
              </c:strCache>
            </c:strRef>
          </c:cat>
          <c:val>
            <c:numRef>
              <c:f>(NOx!$E$144:$G$144,NOx!$I$144:$K$144)</c:f>
              <c:numCache>
                <c:formatCode>_-* #,##0_-;\-* #,##0_-;_-* "-"??_-;_-@_-</c:formatCode>
                <c:ptCount val="6"/>
                <c:pt idx="0">
                  <c:v>147.59179858565309</c:v>
                </c:pt>
                <c:pt idx="1">
                  <c:v>152.33294643310171</c:v>
                </c:pt>
                <c:pt idx="2">
                  <c:v>172.39589306617907</c:v>
                </c:pt>
                <c:pt idx="3">
                  <c:v>170.50493295902749</c:v>
                </c:pt>
                <c:pt idx="4">
                  <c:v>99.75880162077307</c:v>
                </c:pt>
                <c:pt idx="5" formatCode="General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2-499E-91BC-7B93D8A30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1337168"/>
        <c:axId val="340366720"/>
      </c:barChart>
      <c:catAx>
        <c:axId val="27133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340366720"/>
        <c:crosses val="autoZero"/>
        <c:auto val="1"/>
        <c:lblAlgn val="ctr"/>
        <c:lblOffset val="100"/>
        <c:noMultiLvlLbl val="0"/>
      </c:catAx>
      <c:valAx>
        <c:axId val="340366720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27133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r>
              <a:rPr lang="en-US"/>
              <a:t>NOx Emission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'[3]Water withdrawal'!$B$153</c:f>
              <c:strCache>
                <c:ptCount val="1"/>
                <c:pt idx="0">
                  <c:v>Normalize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'[3]Water withdrawal'!$D$151:$H$151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Plan 2024</c:v>
                </c:pt>
              </c:strCache>
            </c:strRef>
          </c:cat>
          <c:val>
            <c:numRef>
              <c:f>NOx!$F$216:$J$216</c:f>
              <c:numCache>
                <c:formatCode>_-* #,##0_-;\-* #,##0_-;_-* "-"??_-;_-@_-</c:formatCode>
                <c:ptCount val="5"/>
                <c:pt idx="3">
                  <c:v>99.75880162077307</c:v>
                </c:pt>
                <c:pt idx="4">
                  <c:v>164.23629194479824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6-425F-8018-2F8730FBC9B6}"/>
            </c:ext>
          </c:extLst>
        </c:ser>
        <c:ser>
          <c:idx val="0"/>
          <c:order val="1"/>
          <c:tx>
            <c:strRef>
              <c:f>'[3]Water withdrawal'!$B$152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'[3]Water withdrawal'!$D$151:$H$151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Plan 2024</c:v>
                </c:pt>
              </c:strCache>
            </c:strRef>
          </c:cat>
          <c:val>
            <c:numRef>
              <c:f>NOx!$F$215:$J$215</c:f>
              <c:numCache>
                <c:formatCode>_-* #,##0_-;\-* #,##0_-;_-* "-"??_-;_-@_-</c:formatCode>
                <c:ptCount val="5"/>
                <c:pt idx="0">
                  <c:v>147.59179858565309</c:v>
                </c:pt>
                <c:pt idx="1">
                  <c:v>152.33294643310171</c:v>
                </c:pt>
                <c:pt idx="2">
                  <c:v>172.39589306617907</c:v>
                </c:pt>
                <c:pt idx="3">
                  <c:v>70.746131338254415</c:v>
                </c:pt>
                <c:pt idx="4">
                  <c:v>34.763708055201761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A6-425F-8018-2F8730FBC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9564896"/>
        <c:axId val="1980037456"/>
      </c:barChart>
      <c:catAx>
        <c:axId val="198956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980037456"/>
        <c:crosses val="autoZero"/>
        <c:auto val="1"/>
        <c:lblAlgn val="ctr"/>
        <c:lblOffset val="100"/>
        <c:noMultiLvlLbl val="0"/>
      </c:catAx>
      <c:valAx>
        <c:axId val="1980037456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98956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NOx Emission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'[3]Hz waste gen'!$A$71</c:f>
              <c:strCache>
                <c:ptCount val="1"/>
                <c:pt idx="0">
                  <c:v>Normalize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'[3]Hz waste gen'!$B$68:$R$68</c:f>
              <c:strCache>
                <c:ptCount val="17"/>
                <c:pt idx="0">
                  <c:v>Actual 2020</c:v>
                </c:pt>
                <c:pt idx="1">
                  <c:v>Actual 2021</c:v>
                </c:pt>
                <c:pt idx="2">
                  <c:v>Actual 2022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  <c:pt idx="12">
                  <c:v>45200</c:v>
                </c:pt>
                <c:pt idx="13">
                  <c:v>45231</c:v>
                </c:pt>
                <c:pt idx="14">
                  <c:v>45261</c:v>
                </c:pt>
                <c:pt idx="15">
                  <c:v>Actual 2023</c:v>
                </c:pt>
                <c:pt idx="16">
                  <c:v>Plan 2024</c:v>
                </c:pt>
              </c:strCache>
            </c:strRef>
          </c:cat>
          <c:val>
            <c:numRef>
              <c:f>NOx!$B$86:$R$86</c:f>
              <c:numCache>
                <c:formatCode>General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0-DFF2-49F5-A3FC-C1E23390E14B}"/>
            </c:ext>
          </c:extLst>
        </c:ser>
        <c:ser>
          <c:idx val="0"/>
          <c:order val="1"/>
          <c:tx>
            <c:strRef>
              <c:f>'[3]Hz waste gen'!$A$70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'[3]Hz waste gen'!$B$68:$R$68</c:f>
              <c:strCache>
                <c:ptCount val="17"/>
                <c:pt idx="0">
                  <c:v>Actual 2020</c:v>
                </c:pt>
                <c:pt idx="1">
                  <c:v>Actual 2021</c:v>
                </c:pt>
                <c:pt idx="2">
                  <c:v>Actual 2022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  <c:pt idx="12">
                  <c:v>45200</c:v>
                </c:pt>
                <c:pt idx="13">
                  <c:v>45231</c:v>
                </c:pt>
                <c:pt idx="14">
                  <c:v>45261</c:v>
                </c:pt>
                <c:pt idx="15">
                  <c:v>Actual 2023</c:v>
                </c:pt>
                <c:pt idx="16">
                  <c:v>Plan 2024</c:v>
                </c:pt>
              </c:strCache>
            </c:strRef>
          </c:cat>
          <c:val>
            <c:numRef>
              <c:f>NOx!$B$85:$R$85</c:f>
              <c:numCache>
                <c:formatCode>_-* #,##0_-;\-* #,##0_-;_-* "-"??_-;_-@_-</c:formatCode>
                <c:ptCount val="17"/>
                <c:pt idx="0">
                  <c:v>147.59179858565309</c:v>
                </c:pt>
                <c:pt idx="1">
                  <c:v>152.33294643310171</c:v>
                </c:pt>
                <c:pt idx="2">
                  <c:v>172.39589306617907</c:v>
                </c:pt>
                <c:pt idx="3">
                  <c:v>176.58771462745756</c:v>
                </c:pt>
                <c:pt idx="4">
                  <c:v>178.00080804285281</c:v>
                </c:pt>
                <c:pt idx="5">
                  <c:v>167.00524780689466</c:v>
                </c:pt>
                <c:pt idx="6">
                  <c:v>170.53765244389069</c:v>
                </c:pt>
                <c:pt idx="7">
                  <c:v>164.98575151978312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170.50493295902749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F2-49F5-A3FC-C1E23390E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0516335"/>
        <c:axId val="1214396991"/>
      </c:barChart>
      <c:catAx>
        <c:axId val="9105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96991"/>
        <c:crosses val="autoZero"/>
        <c:auto val="1"/>
        <c:lblAlgn val="ctr"/>
        <c:lblOffset val="100"/>
        <c:noMultiLvlLbl val="0"/>
      </c:catAx>
      <c:valAx>
        <c:axId val="1214396991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1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r>
              <a:rPr lang="en-US" sz="1000" b="1"/>
              <a:t>NOx Emission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85529874598171"/>
          <c:y val="0.1104275065299324"/>
          <c:w val="0.86733379634068986"/>
          <c:h val="0.79659282583779589"/>
        </c:manualLayout>
      </c:layout>
      <c:barChart>
        <c:barDir val="col"/>
        <c:grouping val="stacked"/>
        <c:varyColors val="0"/>
        <c:ser>
          <c:idx val="0"/>
          <c:order val="1"/>
          <c:tx>
            <c:strRef>
              <c:f>NOx!$A$85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1508838955830616E-17"/>
                  <c:y val="-0.2500440677974601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CE-4834-A5FC-1AFB5DBCAD2E}"/>
                </c:ext>
              </c:extLst>
            </c:dLbl>
            <c:dLbl>
              <c:idx val="1"/>
              <c:layout>
                <c:manualLayout>
                  <c:x val="0"/>
                  <c:y val="-0.2607820673777191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CE-4834-A5FC-1AFB5DBCAD2E}"/>
                </c:ext>
              </c:extLst>
            </c:dLbl>
            <c:dLbl>
              <c:idx val="2"/>
              <c:layout>
                <c:manualLayout>
                  <c:x val="0"/>
                  <c:y val="-0.2959304924836510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CE-4834-A5FC-1AFB5DBCAD2E}"/>
                </c:ext>
              </c:extLst>
            </c:dLbl>
            <c:dLbl>
              <c:idx val="5"/>
              <c:layout>
                <c:manualLayout>
                  <c:x val="0"/>
                  <c:y val="-0.2970771328124431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57F-4359-925A-5537A6A23C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(NOx!$B$83:$E$83,NOx!$G$83,NOx!$R$83)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Feb-26</c:v>
                </c:pt>
                <c:pt idx="5">
                  <c:v>YTD 2026</c:v>
                </c:pt>
              </c:strCache>
            </c:strRef>
          </c:cat>
          <c:val>
            <c:numRef>
              <c:f>(NOx!$B$85:$E$85,NOx!$G$85,NOx!$R$85)</c:f>
              <c:numCache>
                <c:formatCode>_-* #,##0_-;\-* #,##0_-;_-* "-"??_-;_-@_-</c:formatCode>
                <c:ptCount val="6"/>
                <c:pt idx="0">
                  <c:v>147.59179858565309</c:v>
                </c:pt>
                <c:pt idx="1">
                  <c:v>152.33294643310171</c:v>
                </c:pt>
                <c:pt idx="2">
                  <c:v>172.39589306617907</c:v>
                </c:pt>
                <c:pt idx="3">
                  <c:v>176.58771462745756</c:v>
                </c:pt>
                <c:pt idx="4">
                  <c:v>167.00524780689466</c:v>
                </c:pt>
                <c:pt idx="5">
                  <c:v>170.50493295902749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CE-4834-A5FC-1AFB5DBCA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0516335"/>
        <c:axId val="1214396991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'[3]Hz waste gen'!$A$71</c15:sqref>
                        </c15:formulaRef>
                      </c:ext>
                    </c:extLst>
                    <c:strCache>
                      <c:ptCount val="1"/>
                      <c:pt idx="0">
                        <c:v>Normalize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(NOx!$B$83:$E$83,NOx!$G$83,NOx!$R$83)</c15:sqref>
                        </c15:formulaRef>
                      </c:ext>
                    </c:extLst>
                    <c:strCach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Feb-26</c:v>
                      </c:pt>
                      <c:pt idx="5">
                        <c:v>YTD 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NOx!$B$86:$R$86</c15:sqref>
                        </c15:formulaRef>
                      </c:ext>
                    </c:extLst>
                    <c:numCache>
                      <c:formatCode>General</c:formatCode>
                      <c:ptCount val="1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4CE-4834-A5FC-1AFB5DBCAD2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NOx!$A$84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(NOx!$B$83:$E$83,NOx!$G$83,NOx!$R$83)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Feb-26</c:v>
                </c:pt>
                <c:pt idx="5">
                  <c:v>YTD 2026</c:v>
                </c:pt>
              </c:strCache>
            </c:strRef>
          </c:cat>
          <c:val>
            <c:numRef>
              <c:f>(NOx!$B$84:$E$84,NOx!$F$84,NOx!$R$84)</c:f>
              <c:numCache>
                <c:formatCode>General</c:formatCode>
                <c:ptCount val="6"/>
                <c:pt idx="4" formatCode="_-* #,##0_-;\-* #,##0_-;_-* &quot;-&quot;??_-;_-@_-">
                  <c:v>0</c:v>
                </c:pt>
                <c:pt idx="5" formatCode="_-* #,##0_-;\-* #,##0_-;_-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CE-4834-A5FC-1AFB5DBCA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516335"/>
        <c:axId val="1214396991"/>
      </c:lineChart>
      <c:catAx>
        <c:axId val="9105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214396991"/>
        <c:crosses val="autoZero"/>
        <c:auto val="1"/>
        <c:lblAlgn val="ctr"/>
        <c:lblOffset val="100"/>
        <c:noMultiLvlLbl val="0"/>
      </c:catAx>
      <c:valAx>
        <c:axId val="121439699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r>
                  <a:rPr lang="en-US"/>
                  <a:t>g/ton</a:t>
                </a:r>
              </a:p>
            </c:rich>
          </c:tx>
          <c:layout>
            <c:manualLayout>
              <c:xMode val="edge"/>
              <c:yMode val="edge"/>
              <c:x val="4.6928918024233424E-3"/>
              <c:y val="2.048933183189393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CG" panose="02000503000000020004" pitchFamily="50" charset="-34"/>
                  <a:ea typeface="+mn-ea"/>
                  <a:cs typeface="SCG" panose="02000503000000020004" pitchFamily="50" charset="-34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91051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r>
              <a:rPr lang="en-US" sz="1000" b="1"/>
              <a:t>NOx Emission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85529874598171"/>
          <c:y val="0.1104275065299324"/>
          <c:w val="0.86733379634068986"/>
          <c:h val="0.79659282583779589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NOx!$A$85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(NOx!$B$83:$E$83,NOx!$F$83,NOx!$R$83)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Jan-26</c:v>
                </c:pt>
                <c:pt idx="5">
                  <c:v>YTD 2026</c:v>
                </c:pt>
              </c:strCache>
            </c:strRef>
          </c:cat>
          <c:val>
            <c:numRef>
              <c:f>NOx!$B$89:$E$89</c:f>
              <c:numCache>
                <c:formatCode>_-* #,##0_-;\-* #,##0_-;_-* "-"??_-;_-@_-</c:formatCode>
                <c:ptCount val="4"/>
                <c:pt idx="0">
                  <c:v>154.26721480333018</c:v>
                </c:pt>
                <c:pt idx="1">
                  <c:v>159.72972109573683</c:v>
                </c:pt>
                <c:pt idx="2">
                  <c:v>170.06309624406882</c:v>
                </c:pt>
                <c:pt idx="3">
                  <c:v>185.53273442935387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3E-4CCE-A154-D8F886EEA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0516335"/>
        <c:axId val="1214396991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'[3]Hz waste gen'!$A$71</c15:sqref>
                        </c15:formulaRef>
                      </c:ext>
                    </c:extLst>
                    <c:strCache>
                      <c:ptCount val="1"/>
                      <c:pt idx="0">
                        <c:v>Normalize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(NOx!$B$83:$E$83,NOx!$F$83,NOx!$R$83)</c15:sqref>
                        </c15:formulaRef>
                      </c:ext>
                    </c:extLst>
                    <c:strCach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Jan-26</c:v>
                      </c:pt>
                      <c:pt idx="5">
                        <c:v>YTD 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NOx!$B$86:$R$86</c15:sqref>
                        </c15:formulaRef>
                      </c:ext>
                    </c:extLst>
                    <c:numCache>
                      <c:formatCode>General</c:formatCode>
                      <c:ptCount val="1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2D3E-4CCE-A154-D8F886EEACD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NOx!$A$84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(NOx!$B$83:$E$83,NOx!$F$83,NOx!$R$83)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Jan-26</c:v>
                </c:pt>
                <c:pt idx="5">
                  <c:v>YTD 2026</c:v>
                </c:pt>
              </c:strCache>
            </c:strRef>
          </c:cat>
          <c:val>
            <c:numRef>
              <c:f>(NOx!$B$84:$E$84,NOx!$F$84,NOx!$R$84)</c:f>
              <c:numCache>
                <c:formatCode>General</c:formatCode>
                <c:ptCount val="6"/>
                <c:pt idx="4" formatCode="_-* #,##0_-;\-* #,##0_-;_-* &quot;-&quot;??_-;_-@_-">
                  <c:v>0</c:v>
                </c:pt>
                <c:pt idx="5" formatCode="_-* #,##0_-;\-* #,##0_-;_-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3E-4CCE-A154-D8F886EEA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516335"/>
        <c:axId val="1214396991"/>
      </c:lineChart>
      <c:catAx>
        <c:axId val="9105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214396991"/>
        <c:crosses val="autoZero"/>
        <c:auto val="1"/>
        <c:lblAlgn val="ctr"/>
        <c:lblOffset val="100"/>
        <c:noMultiLvlLbl val="0"/>
      </c:catAx>
      <c:valAx>
        <c:axId val="1214396991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r>
                  <a:rPr lang="en-US"/>
                  <a:t>g/ton</a:t>
                </a:r>
              </a:p>
            </c:rich>
          </c:tx>
          <c:layout>
            <c:manualLayout>
              <c:xMode val="edge"/>
              <c:yMode val="edge"/>
              <c:x val="4.6928918024233424E-3"/>
              <c:y val="2.048933183189393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CG" panose="02000503000000020004" pitchFamily="50" charset="-34"/>
                  <a:ea typeface="+mn-ea"/>
                  <a:cs typeface="SCG" panose="02000503000000020004" pitchFamily="50" charset="-34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91051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SOx Emission (Subsidiary only)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94504738442417"/>
          <c:y val="0.16946848822522026"/>
          <c:w val="0.7779799291268098"/>
          <c:h val="0.58884468449479643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SOx!$C$146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6633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wdUpDiag">
                <a:fgClr>
                  <a:schemeClr val="bg2">
                    <a:lumMod val="7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C3-451B-8277-9C7B7972F8E5}"/>
              </c:ext>
            </c:extLst>
          </c:dPt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0C3-451B-8277-9C7B7972F8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'[3]Water withdrawal'!$E$99:$J$99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  <c:pt idx="5">
                  <c:v>Normalize 2023</c:v>
                </c:pt>
              </c:strCache>
            </c:strRef>
          </c:cat>
          <c:val>
            <c:numRef>
              <c:f>SOx!$E$146:$J$146</c:f>
              <c:numCache>
                <c:formatCode>_-* #,##0.00_-;\-* #,##0.00_-;_-* "-"??_-;_-@_-</c:formatCode>
                <c:ptCount val="6"/>
                <c:pt idx="0">
                  <c:v>3.1844209507102832</c:v>
                </c:pt>
                <c:pt idx="1">
                  <c:v>2.8820065510948911</c:v>
                </c:pt>
                <c:pt idx="2">
                  <c:v>3.4715997551156614</c:v>
                </c:pt>
                <c:pt idx="3">
                  <c:v>3.04</c:v>
                </c:pt>
                <c:pt idx="4">
                  <c:v>13.342578400496004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C3-451B-8277-9C7B7972F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241957072"/>
        <c:axId val="1284199024"/>
      </c:barChart>
      <c:lineChart>
        <c:grouping val="standard"/>
        <c:varyColors val="0"/>
        <c:ser>
          <c:idx val="1"/>
          <c:order val="0"/>
          <c:tx>
            <c:strRef>
              <c:f>SOx!$C$145</c:f>
              <c:strCache>
                <c:ptCount val="1"/>
                <c:pt idx="0">
                  <c:v>Production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'[3]Water withdrawal'!$E$99:$J$99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  <c:pt idx="5">
                  <c:v>Normalize 2023</c:v>
                </c:pt>
              </c:strCache>
            </c:strRef>
          </c:cat>
          <c:val>
            <c:numRef>
              <c:f>SOx!$E$147:$J$147</c:f>
              <c:numCache>
                <c:formatCode>_-* #,##0.00_-;\-* #,##0.00_-;_-* "-"??_-;_-@_-</c:formatCode>
                <c:ptCount val="6"/>
                <c:pt idx="0">
                  <c:v>8.5473448657681743</c:v>
                </c:pt>
                <c:pt idx="1">
                  <c:v>9.7048037773794942</c:v>
                </c:pt>
                <c:pt idx="2">
                  <c:v>7.5174074896</c:v>
                </c:pt>
                <c:pt idx="3">
                  <c:v>8.6185785120831842</c:v>
                </c:pt>
                <c:pt idx="4">
                  <c:v>7.7716394509999995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C3-451B-8277-9C7B7972F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368784"/>
        <c:axId val="1241185936"/>
      </c:lineChart>
      <c:catAx>
        <c:axId val="124195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199024"/>
        <c:crosses val="autoZero"/>
        <c:auto val="1"/>
        <c:lblAlgn val="ctr"/>
        <c:lblOffset val="100"/>
        <c:noMultiLvlLbl val="0"/>
      </c:catAx>
      <c:valAx>
        <c:axId val="1284199024"/>
        <c:scaling>
          <c:orientation val="minMax"/>
          <c:min val="0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57072"/>
        <c:crosses val="autoZero"/>
        <c:crossBetween val="between"/>
      </c:valAx>
      <c:valAx>
        <c:axId val="1241185936"/>
        <c:scaling>
          <c:orientation val="minMax"/>
          <c:max val="40"/>
        </c:scaling>
        <c:delete val="0"/>
        <c:axPos val="r"/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368784"/>
        <c:crosses val="max"/>
        <c:crossBetween val="between"/>
      </c:valAx>
      <c:catAx>
        <c:axId val="704368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1185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SOx Emission (All SCGC</a:t>
            </a:r>
            <a:r>
              <a:rPr lang="en-US" b="1" baseline="0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94504738442417"/>
          <c:y val="0.16946848822522026"/>
          <c:w val="0.7779799291268098"/>
          <c:h val="0.588844684494796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SOx!$C$144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663300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wdUpDiag">
                <a:fgClr>
                  <a:schemeClr val="bg2">
                    <a:lumMod val="90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936-4ACC-89E9-664B614AE2FF}"/>
              </c:ext>
            </c:extLst>
          </c:dPt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bg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936-4ACC-89E9-664B614AE2F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936-4ACC-89E9-664B614AE2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'[3]Water withdrawal'!$E$99:$J$99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  <c:pt idx="5">
                  <c:v>Normalize 2023</c:v>
                </c:pt>
              </c:strCache>
            </c:strRef>
          </c:cat>
          <c:val>
            <c:numRef>
              <c:f>SOx!$E$144:$J$144</c:f>
              <c:numCache>
                <c:formatCode>_-* #,##0.00_-;\-* #,##0.00_-;_-* "-"??_-;_-@_-</c:formatCode>
                <c:ptCount val="6"/>
                <c:pt idx="0">
                  <c:v>3.0121366605058597</c:v>
                </c:pt>
                <c:pt idx="1">
                  <c:v>2.7129934895566494</c:v>
                </c:pt>
                <c:pt idx="2">
                  <c:v>3.2481650720010817</c:v>
                </c:pt>
                <c:pt idx="3">
                  <c:v>0</c:v>
                </c:pt>
                <c:pt idx="4">
                  <c:v>12.769535507639288</c:v>
                </c:pt>
                <c:pt idx="5">
                  <c:v>1.6446132476581408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36-4ACC-89E9-664B614AE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241957072"/>
        <c:axId val="1284199024"/>
      </c:barChart>
      <c:lineChart>
        <c:grouping val="standard"/>
        <c:varyColors val="0"/>
        <c:ser>
          <c:idx val="1"/>
          <c:order val="1"/>
          <c:tx>
            <c:strRef>
              <c:f>SOx!$C$145</c:f>
              <c:strCache>
                <c:ptCount val="1"/>
                <c:pt idx="0">
                  <c:v>Production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218641534071107E-2"/>
                  <c:y val="-1.59689775865238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936-4ACC-89E9-664B614AE2FF}"/>
                </c:ext>
              </c:extLst>
            </c:dLbl>
            <c:dLbl>
              <c:idx val="1"/>
              <c:layout>
                <c:manualLayout>
                  <c:x val="-3.3027041004083282E-2"/>
                  <c:y val="-1.59689775865238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936-4ACC-89E9-664B614AE2FF}"/>
                </c:ext>
              </c:extLst>
            </c:dLbl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'[3]Water withdrawal'!$E$99:$J$99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  <c:pt idx="5">
                  <c:v>Normalize 2023</c:v>
                </c:pt>
              </c:strCache>
            </c:strRef>
          </c:cat>
          <c:val>
            <c:numRef>
              <c:f>SOx!$E$145:$J$145</c:f>
              <c:numCache>
                <c:formatCode>_-* #,##0.00_-;\-* #,##0.00_-;_-* "-"??_-;_-@_-</c:formatCode>
                <c:ptCount val="6"/>
                <c:pt idx="0">
                  <c:v>9.0561442384612842</c:v>
                </c:pt>
                <c:pt idx="1">
                  <c:v>10.344745617753649</c:v>
                </c:pt>
                <c:pt idx="2">
                  <c:v>8.5988598636000013</c:v>
                </c:pt>
                <c:pt idx="3">
                  <c:v>9.1984955120831806</c:v>
                </c:pt>
                <c:pt idx="4">
                  <c:v>8280614.9300000016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36-4ACC-89E9-664B614AE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368784"/>
        <c:axId val="1241185936"/>
      </c:lineChart>
      <c:catAx>
        <c:axId val="124195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199024"/>
        <c:crosses val="autoZero"/>
        <c:auto val="1"/>
        <c:lblAlgn val="ctr"/>
        <c:lblOffset val="100"/>
        <c:noMultiLvlLbl val="0"/>
      </c:catAx>
      <c:valAx>
        <c:axId val="1284199024"/>
        <c:scaling>
          <c:orientation val="minMax"/>
          <c:max val="4"/>
          <c:min val="0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57072"/>
        <c:crosses val="autoZero"/>
        <c:crossBetween val="between"/>
      </c:valAx>
      <c:valAx>
        <c:axId val="1241185936"/>
        <c:scaling>
          <c:orientation val="minMax"/>
          <c:max val="40"/>
        </c:scaling>
        <c:delete val="0"/>
        <c:axPos val="r"/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368784"/>
        <c:crosses val="max"/>
        <c:crossBetween val="between"/>
      </c:valAx>
      <c:catAx>
        <c:axId val="704368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1185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SOx Emission (All SCGC</a:t>
            </a:r>
            <a:r>
              <a:rPr lang="en-US" b="1" baseline="0"/>
              <a:t>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94504738442417"/>
          <c:y val="0.16946848822522026"/>
          <c:w val="0.7779799291268098"/>
          <c:h val="0.588844684494796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SOx!$C$144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663300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BCCD-4FF0-9221-231E244D57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(SOx!$E$143:$G$143,SOx!$I$143,SOx!$K$143)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Actual 2023</c:v>
                </c:pt>
                <c:pt idx="4">
                  <c:v>Plan 2024</c:v>
                </c:pt>
              </c:strCache>
            </c:strRef>
          </c:cat>
          <c:val>
            <c:numRef>
              <c:f>(SOx!$E$144:$G$144,SOx!$I$144,SOx!$K$144)</c:f>
              <c:numCache>
                <c:formatCode>_-* #,##0.00_-;\-* #,##0.00_-;_-* "-"??_-;_-@_-</c:formatCode>
                <c:ptCount val="5"/>
                <c:pt idx="0">
                  <c:v>3.0121366605058597</c:v>
                </c:pt>
                <c:pt idx="1">
                  <c:v>2.7129934895566494</c:v>
                </c:pt>
                <c:pt idx="2">
                  <c:v>3.2481650720010817</c:v>
                </c:pt>
                <c:pt idx="3">
                  <c:v>12.769535507639288</c:v>
                </c:pt>
                <c:pt idx="4" formatCode="General">
                  <c:v>2.62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CD-4FF0-9221-231E244D5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241957072"/>
        <c:axId val="1284199024"/>
      </c:barChart>
      <c:lineChart>
        <c:grouping val="standard"/>
        <c:varyColors val="0"/>
        <c:ser>
          <c:idx val="1"/>
          <c:order val="1"/>
          <c:tx>
            <c:strRef>
              <c:f>SOx!$C$145</c:f>
              <c:strCache>
                <c:ptCount val="1"/>
                <c:pt idx="0">
                  <c:v>Production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218641534071107E-2"/>
                  <c:y val="-1.59689775865238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CD-4FF0-9221-231E244D5741}"/>
                </c:ext>
              </c:extLst>
            </c:dLbl>
            <c:dLbl>
              <c:idx val="1"/>
              <c:layout>
                <c:manualLayout>
                  <c:x val="-3.3027041004083282E-2"/>
                  <c:y val="-1.59689775865238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CD-4FF0-9221-231E244D5741}"/>
                </c:ext>
              </c:extLst>
            </c:dLbl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'[3]Water withdrawal'!$E$99:$J$99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  <c:pt idx="5">
                  <c:v>Normalize 2023</c:v>
                </c:pt>
              </c:strCache>
            </c:strRef>
          </c:cat>
          <c:val>
            <c:numRef>
              <c:f>(SOx!$E$145:$G$145,SOx!$I$145,SOx!$K$145)</c:f>
              <c:numCache>
                <c:formatCode>_-* #,##0.00_-;\-* #,##0.00_-;_-* "-"??_-;_-@_-</c:formatCode>
                <c:ptCount val="5"/>
                <c:pt idx="0">
                  <c:v>9.0561442384612842</c:v>
                </c:pt>
                <c:pt idx="1">
                  <c:v>10.344745617753649</c:v>
                </c:pt>
                <c:pt idx="2">
                  <c:v>8.5988598636000013</c:v>
                </c:pt>
                <c:pt idx="3">
                  <c:v>8280614.9300000016</c:v>
                </c:pt>
                <c:pt idx="4">
                  <c:v>8.5300867756288596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CD-4FF0-9221-231E244D5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368784"/>
        <c:axId val="1241185936"/>
      </c:lineChart>
      <c:catAx>
        <c:axId val="124195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199024"/>
        <c:crosses val="autoZero"/>
        <c:auto val="1"/>
        <c:lblAlgn val="ctr"/>
        <c:lblOffset val="100"/>
        <c:noMultiLvlLbl val="0"/>
      </c:catAx>
      <c:valAx>
        <c:axId val="1284199024"/>
        <c:scaling>
          <c:orientation val="minMax"/>
          <c:max val="4"/>
          <c:min val="0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57072"/>
        <c:crosses val="autoZero"/>
        <c:crossBetween val="between"/>
      </c:valAx>
      <c:valAx>
        <c:axId val="1241185936"/>
        <c:scaling>
          <c:orientation val="minMax"/>
          <c:max val="40"/>
        </c:scaling>
        <c:delete val="0"/>
        <c:axPos val="r"/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368784"/>
        <c:crosses val="max"/>
        <c:crossBetween val="between"/>
      </c:valAx>
      <c:catAx>
        <c:axId val="704368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1185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b="1"/>
              <a:t>SOx Emission (Subsidiary only)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94504738442417"/>
          <c:y val="0.16946848822522026"/>
          <c:w val="0.7779799291268098"/>
          <c:h val="0.58884468449479643"/>
        </c:manualLayout>
      </c:layout>
      <c:barChart>
        <c:barDir val="col"/>
        <c:grouping val="clustered"/>
        <c:varyColors val="0"/>
        <c:ser>
          <c:idx val="2"/>
          <c:order val="1"/>
          <c:tx>
            <c:strRef>
              <c:f>SOx!$C$146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663300"/>
            </a:solidFill>
            <a:ln>
              <a:noFill/>
            </a:ln>
            <a:effectLst/>
          </c:spPr>
          <c:invertIfNegative val="0"/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B76B-41B5-9818-C78195C75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'[3]Water withdrawal'!$E$99:$J$99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Plan 2023</c:v>
                </c:pt>
                <c:pt idx="4">
                  <c:v>Actual 2023</c:v>
                </c:pt>
                <c:pt idx="5">
                  <c:v>Normalize 2023</c:v>
                </c:pt>
              </c:strCache>
            </c:strRef>
          </c:cat>
          <c:val>
            <c:numRef>
              <c:f>(SOx!$E$146:$G$146,SOx!$I$146,SOx!$K$146)</c:f>
              <c:numCache>
                <c:formatCode>_-* #,##0.00_-;\-* #,##0.00_-;_-* "-"??_-;_-@_-</c:formatCode>
                <c:ptCount val="5"/>
                <c:pt idx="0">
                  <c:v>3.1844209507102832</c:v>
                </c:pt>
                <c:pt idx="1">
                  <c:v>2.8820065510948911</c:v>
                </c:pt>
                <c:pt idx="2">
                  <c:v>3.4715997551156614</c:v>
                </c:pt>
                <c:pt idx="3">
                  <c:v>13.342578400496004</c:v>
                </c:pt>
                <c:pt idx="4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6B-41B5-9818-C78195C75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241957072"/>
        <c:axId val="1284199024"/>
      </c:barChart>
      <c:lineChart>
        <c:grouping val="standard"/>
        <c:varyColors val="0"/>
        <c:ser>
          <c:idx val="1"/>
          <c:order val="0"/>
          <c:tx>
            <c:strRef>
              <c:f>SOx!$C$145</c:f>
              <c:strCache>
                <c:ptCount val="1"/>
                <c:pt idx="0">
                  <c:v>Production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(SOx!$E$143:$G$143,SOx!$I$143,SOx!$K$143)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Actual 2023</c:v>
                </c:pt>
                <c:pt idx="4">
                  <c:v>Plan 2024</c:v>
                </c:pt>
              </c:strCache>
            </c:strRef>
          </c:cat>
          <c:val>
            <c:numRef>
              <c:f>(SOx!$E$147:$G$147,SOx!$I$147,SOx!$K$147)</c:f>
              <c:numCache>
                <c:formatCode>_-* #,##0.00_-;\-* #,##0.00_-;_-* "-"??_-;_-@_-</c:formatCode>
                <c:ptCount val="5"/>
                <c:pt idx="0">
                  <c:v>8.5473448657681743</c:v>
                </c:pt>
                <c:pt idx="1">
                  <c:v>9.7048037773794942</c:v>
                </c:pt>
                <c:pt idx="2">
                  <c:v>7.5174074896</c:v>
                </c:pt>
                <c:pt idx="3">
                  <c:v>7.7716394509999995</c:v>
                </c:pt>
                <c:pt idx="4">
                  <c:v>8.0037267756288593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6B-41B5-9818-C78195C75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368784"/>
        <c:axId val="1241185936"/>
      </c:lineChart>
      <c:catAx>
        <c:axId val="124195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199024"/>
        <c:crosses val="autoZero"/>
        <c:auto val="1"/>
        <c:lblAlgn val="ctr"/>
        <c:lblOffset val="100"/>
        <c:noMultiLvlLbl val="0"/>
      </c:catAx>
      <c:valAx>
        <c:axId val="1284199024"/>
        <c:scaling>
          <c:orientation val="minMax"/>
          <c:min val="0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957072"/>
        <c:crosses val="autoZero"/>
        <c:crossBetween val="between"/>
      </c:valAx>
      <c:valAx>
        <c:axId val="1241185936"/>
        <c:scaling>
          <c:orientation val="minMax"/>
          <c:max val="40"/>
        </c:scaling>
        <c:delete val="0"/>
        <c:axPos val="r"/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368784"/>
        <c:crosses val="max"/>
        <c:crossBetween val="between"/>
      </c:valAx>
      <c:catAx>
        <c:axId val="704368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41185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r>
              <a:rPr lang="en-US"/>
              <a:t>SO</a:t>
            </a:r>
            <a:r>
              <a:rPr lang="en-US" baseline="-25000"/>
              <a:t>2</a:t>
            </a:r>
            <a:r>
              <a:rPr lang="en-US" baseline="0"/>
              <a:t> Emission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('[3]Hz waste gen'!$E$99:$G$99,'[3]Hz waste gen'!$I$99:$K$99)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Actual 2023</c:v>
                </c:pt>
                <c:pt idx="4">
                  <c:v>Normalize 2023</c:v>
                </c:pt>
                <c:pt idx="5">
                  <c:v>Plan 2024</c:v>
                </c:pt>
              </c:strCache>
            </c:strRef>
          </c:cat>
          <c:val>
            <c:numRef>
              <c:f>(SOx!$E$144:$G$144,SOx!$I$144:$K$144)</c:f>
              <c:numCache>
                <c:formatCode>_-* #,##0.00_-;\-* #,##0.00_-;_-* "-"??_-;_-@_-</c:formatCode>
                <c:ptCount val="6"/>
                <c:pt idx="0">
                  <c:v>3.0121366605058597</c:v>
                </c:pt>
                <c:pt idx="1">
                  <c:v>2.7129934895566494</c:v>
                </c:pt>
                <c:pt idx="2">
                  <c:v>3.2481650720010817</c:v>
                </c:pt>
                <c:pt idx="3">
                  <c:v>12.769535507639288</c:v>
                </c:pt>
                <c:pt idx="4">
                  <c:v>1.6446132476581408</c:v>
                </c:pt>
                <c:pt idx="5" formatCode="General">
                  <c:v>2.62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5-40BC-8FD4-8C4C63E74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1337168"/>
        <c:axId val="340366720"/>
      </c:barChart>
      <c:catAx>
        <c:axId val="27133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340366720"/>
        <c:crosses val="autoZero"/>
        <c:auto val="1"/>
        <c:lblAlgn val="ctr"/>
        <c:lblOffset val="100"/>
        <c:noMultiLvlLbl val="0"/>
      </c:catAx>
      <c:valAx>
        <c:axId val="340366720"/>
        <c:scaling>
          <c:orientation val="minMax"/>
          <c:max val="3.5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27133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r>
              <a:rPr lang="en-US"/>
              <a:t>SO</a:t>
            </a:r>
            <a:r>
              <a:rPr lang="en-US" baseline="-25000"/>
              <a:t>2</a:t>
            </a:r>
            <a:r>
              <a:rPr lang="en-US"/>
              <a:t> Emission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'[3]Water withdrawal'!$B$153</c:f>
              <c:strCache>
                <c:ptCount val="1"/>
                <c:pt idx="0">
                  <c:v>Normalize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'[3]Water withdrawal'!$D$151:$H$151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Plan 2024</c:v>
                </c:pt>
              </c:strCache>
            </c:strRef>
          </c:cat>
          <c:val>
            <c:numRef>
              <c:f>SOx!$F$215:$J$215</c:f>
              <c:numCache>
                <c:formatCode>_-* #,##0_-;\-* #,##0_-;_-* "-"??_-;_-@_-</c:formatCode>
                <c:ptCount val="5"/>
                <c:pt idx="4" formatCode="_-* #,##0.00_-;\-* #,##0.00_-;_-* &quot;-&quot;??_-;_-@_-">
                  <c:v>2.1682105837804704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4-4A0A-BEA3-1581E8189AAB}"/>
            </c:ext>
          </c:extLst>
        </c:ser>
        <c:ser>
          <c:idx val="0"/>
          <c:order val="1"/>
          <c:tx>
            <c:strRef>
              <c:f>'[3]Water withdrawal'!$B$152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'[3]Water withdrawal'!$D$151:$H$151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Plan 2024</c:v>
                </c:pt>
              </c:strCache>
            </c:strRef>
          </c:cat>
          <c:val>
            <c:numRef>
              <c:f>SOx!$F$214:$J$214</c:f>
              <c:numCache>
                <c:formatCode>_-* #,##0.00_-;\-* #,##0.00_-;_-* "-"??_-;_-@_-</c:formatCode>
                <c:ptCount val="5"/>
                <c:pt idx="0">
                  <c:v>3.0121366605058597</c:v>
                </c:pt>
                <c:pt idx="1">
                  <c:v>2.7129934895566494</c:v>
                </c:pt>
                <c:pt idx="2">
                  <c:v>3.2481650720010817</c:v>
                </c:pt>
                <c:pt idx="3">
                  <c:v>12.769535507639288</c:v>
                </c:pt>
                <c:pt idx="4">
                  <c:v>0.45178941621952973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B4-4A0A-BEA3-1581E8189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9564896"/>
        <c:axId val="1980037456"/>
      </c:barChart>
      <c:catAx>
        <c:axId val="198956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980037456"/>
        <c:crosses val="autoZero"/>
        <c:auto val="1"/>
        <c:lblAlgn val="ctr"/>
        <c:lblOffset val="100"/>
        <c:noMultiLvlLbl val="0"/>
      </c:catAx>
      <c:valAx>
        <c:axId val="1980037456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98956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SO2 Emission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'[3]Hz waste gen'!$A$71</c:f>
              <c:strCache>
                <c:ptCount val="1"/>
                <c:pt idx="0">
                  <c:v>Normalize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'[3]Hz waste gen'!$B$68:$R$68</c:f>
              <c:strCache>
                <c:ptCount val="17"/>
                <c:pt idx="0">
                  <c:v>Actual 2020</c:v>
                </c:pt>
                <c:pt idx="1">
                  <c:v>Actual 2021</c:v>
                </c:pt>
                <c:pt idx="2">
                  <c:v>Actual 2022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  <c:pt idx="12">
                  <c:v>45200</c:v>
                </c:pt>
                <c:pt idx="13">
                  <c:v>45231</c:v>
                </c:pt>
                <c:pt idx="14">
                  <c:v>45261</c:v>
                </c:pt>
                <c:pt idx="15">
                  <c:v>Actual 2023</c:v>
                </c:pt>
                <c:pt idx="16">
                  <c:v>Plan 2024</c:v>
                </c:pt>
              </c:strCache>
            </c:strRef>
          </c:cat>
          <c:val>
            <c:numRef>
              <c:f>SOx!$B$85:$R$85</c:f>
              <c:numCache>
                <c:formatCode>_-* #,##0.00_-;\-* #,##0.00_-;_-* "-"??_-;_-@_-</c:formatCode>
                <c:ptCount val="17"/>
              </c:numCache>
            </c:numRef>
          </c:val>
          <c:extLst>
            <c:ext xmlns:c16="http://schemas.microsoft.com/office/drawing/2014/chart" uri="{C3380CC4-5D6E-409C-BE32-E72D297353CC}">
              <c16:uniqueId val="{00000000-CDE7-45C2-852C-F0779881A94C}"/>
            </c:ext>
          </c:extLst>
        </c:ser>
        <c:ser>
          <c:idx val="0"/>
          <c:order val="1"/>
          <c:tx>
            <c:strRef>
              <c:f>'[3]Hz waste gen'!$A$70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'[3]Hz waste gen'!$B$68:$R$68</c:f>
              <c:strCache>
                <c:ptCount val="17"/>
                <c:pt idx="0">
                  <c:v>Actual 2020</c:v>
                </c:pt>
                <c:pt idx="1">
                  <c:v>Actual 2021</c:v>
                </c:pt>
                <c:pt idx="2">
                  <c:v>Actual 2022</c:v>
                </c:pt>
                <c:pt idx="3">
                  <c:v>44927</c:v>
                </c:pt>
                <c:pt idx="4">
                  <c:v>44958</c:v>
                </c:pt>
                <c:pt idx="5">
                  <c:v>44986</c:v>
                </c:pt>
                <c:pt idx="6">
                  <c:v>45017</c:v>
                </c:pt>
                <c:pt idx="7">
                  <c:v>45047</c:v>
                </c:pt>
                <c:pt idx="8">
                  <c:v>45078</c:v>
                </c:pt>
                <c:pt idx="9">
                  <c:v>45108</c:v>
                </c:pt>
                <c:pt idx="10">
                  <c:v>45139</c:v>
                </c:pt>
                <c:pt idx="11">
                  <c:v>45170</c:v>
                </c:pt>
                <c:pt idx="12">
                  <c:v>45200</c:v>
                </c:pt>
                <c:pt idx="13">
                  <c:v>45231</c:v>
                </c:pt>
                <c:pt idx="14">
                  <c:v>45261</c:v>
                </c:pt>
                <c:pt idx="15">
                  <c:v>Actual 2023</c:v>
                </c:pt>
                <c:pt idx="16">
                  <c:v>Plan 2024</c:v>
                </c:pt>
              </c:strCache>
            </c:strRef>
          </c:cat>
          <c:val>
            <c:numRef>
              <c:f>SOx!$B$84:$R$84</c:f>
              <c:numCache>
                <c:formatCode>_-* #,##0.00_-;\-* #,##0.00_-;_-* "-"??_-;_-@_-</c:formatCode>
                <c:ptCount val="17"/>
                <c:pt idx="0">
                  <c:v>3.0121366605058597</c:v>
                </c:pt>
                <c:pt idx="1">
                  <c:v>2.7129934895566494</c:v>
                </c:pt>
                <c:pt idx="2">
                  <c:v>3.2481650720010817</c:v>
                </c:pt>
                <c:pt idx="3" formatCode="General">
                  <c:v>1.79</c:v>
                </c:pt>
                <c:pt idx="4">
                  <c:v>10.616016481655793</c:v>
                </c:pt>
                <c:pt idx="5">
                  <c:v>15.010665441157538</c:v>
                </c:pt>
                <c:pt idx="6">
                  <c:v>10.341068539373808</c:v>
                </c:pt>
                <c:pt idx="7">
                  <c:v>15.659926183426297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12.769535507639288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E7-45C2-852C-F0779881A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0516335"/>
        <c:axId val="1214396991"/>
      </c:barChart>
      <c:catAx>
        <c:axId val="9105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396991"/>
        <c:crosses val="autoZero"/>
        <c:auto val="1"/>
        <c:lblAlgn val="ctr"/>
        <c:lblOffset val="100"/>
        <c:noMultiLvlLbl val="0"/>
      </c:catAx>
      <c:valAx>
        <c:axId val="1214396991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1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r>
              <a:rPr lang="en-US" sz="1000" b="1"/>
              <a:t>SO</a:t>
            </a:r>
            <a:r>
              <a:rPr lang="en-US" sz="1000" b="1" baseline="-25000"/>
              <a:t>2</a:t>
            </a:r>
            <a:r>
              <a:rPr lang="en-US" sz="1000" b="1"/>
              <a:t> Emission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CG" panose="02000503000000020004" pitchFamily="50" charset="-34"/>
              <a:ea typeface="+mn-ea"/>
              <a:cs typeface="SCG" panose="02000503000000020004" pitchFamily="50" charset="-34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78430540697409E-2"/>
          <c:y val="0.11810997165870186"/>
          <c:w val="0.8830812875869134"/>
          <c:h val="0.80801710457394904"/>
        </c:manualLayout>
      </c:layout>
      <c:barChart>
        <c:barDir val="col"/>
        <c:grouping val="stacked"/>
        <c:varyColors val="0"/>
        <c:ser>
          <c:idx val="0"/>
          <c:order val="1"/>
          <c:tx>
            <c:strRef>
              <c:f>SOx!$A$84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3403062003579082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A37-4C71-9869-CDF8F8D6F8C0}"/>
                </c:ext>
              </c:extLst>
            </c:dLbl>
            <c:dLbl>
              <c:idx val="1"/>
              <c:layout>
                <c:manualLayout>
                  <c:x val="0"/>
                  <c:y val="-0.3089600175318372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37-4C71-9869-CDF8F8D6F8C0}"/>
                </c:ext>
              </c:extLst>
            </c:dLbl>
            <c:dLbl>
              <c:idx val="2"/>
              <c:layout>
                <c:manualLayout>
                  <c:x val="-8.3780388848840432E-17"/>
                  <c:y val="-0.3675510064382864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A37-4C71-9869-CDF8F8D6F8C0}"/>
                </c:ext>
              </c:extLst>
            </c:dLbl>
            <c:dLbl>
              <c:idx val="3"/>
              <c:layout>
                <c:manualLayout>
                  <c:x val="0"/>
                  <c:y val="-0.208786830460965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A37-4C71-9869-CDF8F8D6F8C0}"/>
                </c:ext>
              </c:extLst>
            </c:dLbl>
            <c:dLbl>
              <c:idx val="5"/>
              <c:layout>
                <c:manualLayout>
                  <c:x val="-4.5698921829295455E-3"/>
                  <c:y val="-0.2275919324462605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A37-4C71-9869-CDF8F8D6F8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(SOx!$B$82:$E$82,SOx!$G$82,SOx!$R$82)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Feb-26</c:v>
                </c:pt>
                <c:pt idx="5">
                  <c:v>YTD 2026</c:v>
                </c:pt>
              </c:strCache>
            </c:strRef>
          </c:cat>
          <c:val>
            <c:numRef>
              <c:f>(SOx!$B$84:$E$84,SOx!$G$84,SOx!$R$84)</c:f>
              <c:numCache>
                <c:formatCode>_-* #,##0.00_-;\-* #,##0.00_-;_-* "-"??_-;_-@_-</c:formatCode>
                <c:ptCount val="6"/>
                <c:pt idx="0">
                  <c:v>3.0121366605058597</c:v>
                </c:pt>
                <c:pt idx="1">
                  <c:v>2.7129934895566494</c:v>
                </c:pt>
                <c:pt idx="2">
                  <c:v>3.2481650720010817</c:v>
                </c:pt>
                <c:pt idx="3" formatCode="General">
                  <c:v>1.79</c:v>
                </c:pt>
                <c:pt idx="4">
                  <c:v>15.010665441157538</c:v>
                </c:pt>
                <c:pt idx="5">
                  <c:v>12.769535507639288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37-4C71-9869-CDF8F8D6F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0516335"/>
        <c:axId val="1214396991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'[3]Hz waste gen'!$A$71</c15:sqref>
                        </c15:formulaRef>
                      </c:ext>
                    </c:extLst>
                    <c:strCache>
                      <c:ptCount val="1"/>
                      <c:pt idx="0">
                        <c:v>Normalize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(SOx!$B$82:$E$82,SOx!$G$82,SOx!$R$82)</c15:sqref>
                        </c15:formulaRef>
                      </c:ext>
                    </c:extLst>
                    <c:strCach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Feb-26</c:v>
                      </c:pt>
                      <c:pt idx="5">
                        <c:v>YTD 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SOx!$B$85:$R$85</c15:sqref>
                        </c15:formulaRef>
                      </c:ext>
                    </c:extLst>
                    <c:numCache>
                      <c:formatCode>_-* #,##0.00_-;\-* #,##0.00_-;_-* "-"??_-;_-@_-</c:formatCode>
                      <c:ptCount val="1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A37-4C71-9869-CDF8F8D6F8C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SOx!$A$83</c:f>
              <c:strCache>
                <c:ptCount val="1"/>
                <c:pt idx="0">
                  <c:v>Target</c:v>
                </c:pt>
              </c:strCache>
            </c:strRef>
          </c:tx>
          <c:spPr>
            <a:ln w="19050" cap="rnd">
              <a:solidFill>
                <a:srgbClr val="0000FF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(SOx!$B$82:$E$82,SOx!$F$82,SOx!$R$82)</c:f>
              <c:strCach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Jan-26</c:v>
                </c:pt>
                <c:pt idx="5">
                  <c:v>YTD 2026</c:v>
                </c:pt>
              </c:strCache>
            </c:strRef>
          </c:cat>
          <c:val>
            <c:numRef>
              <c:f>(SOx!$B$83:$E$83,SOx!$F$83,SOx!$R$83)</c:f>
              <c:numCache>
                <c:formatCode>General</c:formatCode>
                <c:ptCount val="6"/>
                <c:pt idx="4" formatCode="_-* #,##0.00_-;\-* #,##0.00_-;_-* &quot;-&quot;??_-;_-@_-">
                  <c:v>0</c:v>
                </c:pt>
                <c:pt idx="5" formatCode="_-* #,##0.00_-;\-* #,##0.00_-;_-* &quot;-&quot;??_-;_-@_-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37-4C71-9869-CDF8F8D6F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516335"/>
        <c:axId val="1214396991"/>
      </c:lineChart>
      <c:catAx>
        <c:axId val="91051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1214396991"/>
        <c:crosses val="autoZero"/>
        <c:auto val="1"/>
        <c:lblAlgn val="ctr"/>
        <c:lblOffset val="100"/>
        <c:noMultiLvlLbl val="0"/>
      </c:catAx>
      <c:valAx>
        <c:axId val="1214396991"/>
        <c:scaling>
          <c:orientation val="minMax"/>
          <c:max val="4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CG" panose="02000503000000020004" pitchFamily="50" charset="-34"/>
                    <a:ea typeface="+mn-ea"/>
                    <a:cs typeface="SCG" panose="02000503000000020004" pitchFamily="50" charset="-34"/>
                  </a:defRPr>
                </a:pPr>
                <a:r>
                  <a:rPr lang="en-US"/>
                  <a:t>g/ton</a:t>
                </a:r>
              </a:p>
            </c:rich>
          </c:tx>
          <c:layout>
            <c:manualLayout>
              <c:xMode val="edge"/>
              <c:yMode val="edge"/>
              <c:x val="1.3709676548788637E-2"/>
              <c:y val="3.298427625882829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CG" panose="02000503000000020004" pitchFamily="50" charset="-34"/>
                  <a:ea typeface="+mn-ea"/>
                  <a:cs typeface="SCG" panose="02000503000000020004" pitchFamily="50" charset="-34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CG" panose="02000503000000020004" pitchFamily="50" charset="-34"/>
                <a:ea typeface="+mn-ea"/>
                <a:cs typeface="SCG" panose="02000503000000020004" pitchFamily="50" charset="-34"/>
              </a:defRPr>
            </a:pPr>
            <a:endParaRPr lang="en-US"/>
          </a:p>
        </c:txPr>
        <c:crossAx val="91051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SCG" panose="02000503000000020004" pitchFamily="50" charset="-34"/>
          <a:cs typeface="SCG" panose="02000503000000020004" pitchFamily="50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9.xml"/><Relationship Id="rId3" Type="http://schemas.openxmlformats.org/officeDocument/2006/relationships/chart" Target="../charts/chart44.xml"/><Relationship Id="rId7" Type="http://schemas.openxmlformats.org/officeDocument/2006/relationships/chart" Target="../charts/chart48.xml"/><Relationship Id="rId2" Type="http://schemas.openxmlformats.org/officeDocument/2006/relationships/chart" Target="../charts/chart43.xml"/><Relationship Id="rId1" Type="http://schemas.openxmlformats.org/officeDocument/2006/relationships/chart" Target="../charts/chart42.xml"/><Relationship Id="rId6" Type="http://schemas.openxmlformats.org/officeDocument/2006/relationships/chart" Target="../charts/chart47.xml"/><Relationship Id="rId5" Type="http://schemas.openxmlformats.org/officeDocument/2006/relationships/chart" Target="../charts/chart46.xml"/><Relationship Id="rId4" Type="http://schemas.openxmlformats.org/officeDocument/2006/relationships/chart" Target="../charts/chart4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419661</xdr:colOff>
      <xdr:row>134</xdr:row>
      <xdr:rowOff>36418</xdr:rowOff>
    </xdr:from>
    <xdr:to>
      <xdr:col>12</xdr:col>
      <xdr:colOff>708212</xdr:colOff>
      <xdr:row>151</xdr:row>
      <xdr:rowOff>160244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A1E152-2361-44F9-A03B-9F8AFA173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677952</xdr:colOff>
      <xdr:row>173</xdr:row>
      <xdr:rowOff>68355</xdr:rowOff>
    </xdr:from>
    <xdr:to>
      <xdr:col>9</xdr:col>
      <xdr:colOff>941293</xdr:colOff>
      <xdr:row>192</xdr:row>
      <xdr:rowOff>33618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04200B-A63B-4D70-8B6B-FA4B0DCCE7B6}"/>
            </a:ext>
            <a:ext uri="{147F2762-F138-4A5C-976F-8EAC2B608ADB}">
              <a16:predDERef xmlns:a16="http://schemas.microsoft.com/office/drawing/2014/main" pred="{0DA1E152-2361-44F9-A03B-9F8AFA173E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212912</xdr:colOff>
      <xdr:row>173</xdr:row>
      <xdr:rowOff>67235</xdr:rowOff>
    </xdr:from>
    <xdr:to>
      <xdr:col>19</xdr:col>
      <xdr:colOff>599518</xdr:colOff>
      <xdr:row>192</xdr:row>
      <xdr:rowOff>32498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4CE337-2746-4538-BA0B-339D0165D5FB}"/>
            </a:ext>
            <a:ext uri="{147F2762-F138-4A5C-976F-8EAC2B608ADB}">
              <a16:predDERef xmlns:a16="http://schemas.microsoft.com/office/drawing/2014/main" pred="{DB04200B-A63B-4D70-8B6B-FA4B0DCCE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1286435</xdr:colOff>
      <xdr:row>94</xdr:row>
      <xdr:rowOff>121024</xdr:rowOff>
    </xdr:from>
    <xdr:to>
      <xdr:col>20</xdr:col>
      <xdr:colOff>449356</xdr:colOff>
      <xdr:row>112</xdr:row>
      <xdr:rowOff>63875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137B36-870F-4E21-BFCB-02808B774876}"/>
            </a:ext>
            <a:ext uri="{147F2762-F138-4A5C-976F-8EAC2B608ADB}">
              <a16:predDERef xmlns:a16="http://schemas.microsoft.com/office/drawing/2014/main" pred="{F44CE337-2746-4538-BA0B-339D0165D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0.01765</cdr:y>
    </cdr:from>
    <cdr:to>
      <cdr:x>0.09274</cdr:x>
      <cdr:y>0.07393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D961DFF-871E-49F0-AC22-37E66D096D5A}"/>
            </a:ext>
          </a:extLst>
        </cdr:cNvPr>
        <cdr:cNvSpPr txBox="1"/>
      </cdr:nvSpPr>
      <cdr:spPr>
        <a:xfrm xmlns:a="http://schemas.openxmlformats.org/drawingml/2006/main">
          <a:off x="0" y="77322"/>
          <a:ext cx="851647" cy="246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200">
              <a:solidFill>
                <a:schemeClr val="bg2">
                  <a:lumMod val="25000"/>
                </a:schemeClr>
              </a:solidFill>
            </a:rPr>
            <a:t>m</a:t>
          </a:r>
          <a:r>
            <a:rPr lang="en-US" sz="1200" baseline="30000">
              <a:solidFill>
                <a:schemeClr val="bg2">
                  <a:lumMod val="25000"/>
                </a:schemeClr>
              </a:solidFill>
            </a:rPr>
            <a:t>3</a:t>
          </a:r>
          <a:r>
            <a:rPr lang="en-US" sz="1200">
              <a:solidFill>
                <a:schemeClr val="bg2">
                  <a:lumMod val="25000"/>
                </a:schemeClr>
              </a:solidFill>
            </a:rPr>
            <a:t>/ton</a:t>
          </a:r>
        </a:p>
      </cdr:txBody>
    </cdr:sp>
  </cdr:relSizeAnchor>
  <cdr:relSizeAnchor xmlns:cdr="http://schemas.openxmlformats.org/drawingml/2006/chartDrawing">
    <cdr:from>
      <cdr:x>0.93052</cdr:x>
      <cdr:y>0.02183</cdr:y>
    </cdr:from>
    <cdr:to>
      <cdr:x>0.99153</cdr:x>
      <cdr:y>0.07649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D95660B7-9C82-4C99-9B59-0FB215C7A498}"/>
            </a:ext>
          </a:extLst>
        </cdr:cNvPr>
        <cdr:cNvSpPr txBox="1"/>
      </cdr:nvSpPr>
      <cdr:spPr>
        <a:xfrm xmlns:a="http://schemas.openxmlformats.org/drawingml/2006/main">
          <a:off x="8618143" y="95624"/>
          <a:ext cx="565079" cy="2394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200">
              <a:solidFill>
                <a:schemeClr val="bg2">
                  <a:lumMod val="25000"/>
                </a:schemeClr>
              </a:solidFill>
            </a:rPr>
            <a:t>MT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0.01451</cdr:x>
      <cdr:y>0.05175</cdr:y>
    </cdr:from>
    <cdr:to>
      <cdr:x>0.12539</cdr:x>
      <cdr:y>0.10733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411B462-2F0E-4C99-8FC4-C824AD2998FC}"/>
            </a:ext>
          </a:extLst>
        </cdr:cNvPr>
        <cdr:cNvSpPr txBox="1"/>
      </cdr:nvSpPr>
      <cdr:spPr>
        <a:xfrm xmlns:a="http://schemas.openxmlformats.org/drawingml/2006/main">
          <a:off x="78441" y="16696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m</a:t>
          </a:r>
          <a:r>
            <a:rPr lang="en-US" sz="1100" baseline="30000">
              <a:solidFill>
                <a:schemeClr val="bg2">
                  <a:lumMod val="25000"/>
                </a:schemeClr>
              </a:solidFill>
            </a:rPr>
            <a:t>3</a:t>
          </a:r>
          <a:r>
            <a:rPr lang="en-US" sz="1100">
              <a:solidFill>
                <a:schemeClr val="bg2">
                  <a:lumMod val="25000"/>
                </a:schemeClr>
              </a:solidFill>
            </a:rPr>
            <a:t>/ton</a:t>
          </a:r>
        </a:p>
      </cdr:txBody>
    </cdr:sp>
  </cdr:relSizeAnchor>
  <cdr:relSizeAnchor xmlns:cdr="http://schemas.openxmlformats.org/drawingml/2006/chartDrawing">
    <cdr:from>
      <cdr:x>0.88912</cdr:x>
      <cdr:y>0.05048</cdr:y>
    </cdr:from>
    <cdr:to>
      <cdr:x>1</cdr:x>
      <cdr:y>0.10606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FD5FDD7-7029-4D9D-8660-6FA6944DDF53}"/>
            </a:ext>
          </a:extLst>
        </cdr:cNvPr>
        <cdr:cNvSpPr txBox="1"/>
      </cdr:nvSpPr>
      <cdr:spPr>
        <a:xfrm xmlns:a="http://schemas.openxmlformats.org/drawingml/2006/main">
          <a:off x="4807323" y="16285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MT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0.01451</cdr:x>
      <cdr:y>0.05175</cdr:y>
    </cdr:from>
    <cdr:to>
      <cdr:x>0.12539</cdr:x>
      <cdr:y>0.10733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411B462-2F0E-4C99-8FC4-C824AD2998FC}"/>
            </a:ext>
          </a:extLst>
        </cdr:cNvPr>
        <cdr:cNvSpPr txBox="1"/>
      </cdr:nvSpPr>
      <cdr:spPr>
        <a:xfrm xmlns:a="http://schemas.openxmlformats.org/drawingml/2006/main">
          <a:off x="78441" y="16696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m</a:t>
          </a:r>
          <a:r>
            <a:rPr lang="en-US" sz="1100" baseline="30000">
              <a:solidFill>
                <a:schemeClr val="bg2">
                  <a:lumMod val="25000"/>
                </a:schemeClr>
              </a:solidFill>
            </a:rPr>
            <a:t>3</a:t>
          </a:r>
          <a:r>
            <a:rPr lang="en-US" sz="1100">
              <a:solidFill>
                <a:schemeClr val="bg2">
                  <a:lumMod val="25000"/>
                </a:schemeClr>
              </a:solidFill>
            </a:rPr>
            <a:t>/ton</a:t>
          </a:r>
        </a:p>
      </cdr:txBody>
    </cdr:sp>
  </cdr:relSizeAnchor>
  <cdr:relSizeAnchor xmlns:cdr="http://schemas.openxmlformats.org/drawingml/2006/chartDrawing">
    <cdr:from>
      <cdr:x>0.88912</cdr:x>
      <cdr:y>0.05048</cdr:y>
    </cdr:from>
    <cdr:to>
      <cdr:x>1</cdr:x>
      <cdr:y>0.10606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FD5FDD7-7029-4D9D-8660-6FA6944DDF53}"/>
            </a:ext>
          </a:extLst>
        </cdr:cNvPr>
        <cdr:cNvSpPr txBox="1"/>
      </cdr:nvSpPr>
      <cdr:spPr>
        <a:xfrm xmlns:a="http://schemas.openxmlformats.org/drawingml/2006/main">
          <a:off x="4807323" y="16285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MT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621925</xdr:colOff>
      <xdr:row>168</xdr:row>
      <xdr:rowOff>45943</xdr:rowOff>
    </xdr:from>
    <xdr:to>
      <xdr:col>12</xdr:col>
      <xdr:colOff>112059</xdr:colOff>
      <xdr:row>188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3BBB93-4EC3-4F91-9BD1-B88773F98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515471</xdr:colOff>
      <xdr:row>168</xdr:row>
      <xdr:rowOff>44823</xdr:rowOff>
    </xdr:from>
    <xdr:to>
      <xdr:col>27</xdr:col>
      <xdr:colOff>465047</xdr:colOff>
      <xdr:row>188</xdr:row>
      <xdr:rowOff>43703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7F1552-9C91-43BD-B580-EB152601FCD7}"/>
            </a:ext>
            <a:ext uri="{147F2762-F138-4A5C-976F-8EAC2B608ADB}">
              <a16:predDERef xmlns:a16="http://schemas.microsoft.com/office/drawing/2014/main" pred="{D93BBB93-4EC3-4F91-9BD1-B88773F982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728382</xdr:colOff>
      <xdr:row>190</xdr:row>
      <xdr:rowOff>11206</xdr:rowOff>
    </xdr:from>
    <xdr:to>
      <xdr:col>12</xdr:col>
      <xdr:colOff>218516</xdr:colOff>
      <xdr:row>210</xdr:row>
      <xdr:rowOff>10086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23B8AF-7ADA-41CD-BD46-2FCB1E4ACF24}"/>
            </a:ext>
            <a:ext uri="{147F2762-F138-4A5C-976F-8EAC2B608ADB}">
              <a16:predDERef xmlns:a16="http://schemas.microsoft.com/office/drawing/2014/main" pred="{747F1552-9C91-43BD-B580-EB152601FC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190</xdr:row>
      <xdr:rowOff>0</xdr:rowOff>
    </xdr:from>
    <xdr:to>
      <xdr:col>27</xdr:col>
      <xdr:colOff>722782</xdr:colOff>
      <xdr:row>209</xdr:row>
      <xdr:rowOff>189380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63BD3E-DE7A-4EF6-8CAE-1FBC4FCAAE31}"/>
            </a:ext>
            <a:ext uri="{147F2762-F138-4A5C-976F-8EAC2B608ADB}">
              <a16:predDERef xmlns:a16="http://schemas.microsoft.com/office/drawing/2014/main" pred="{2523B8AF-7ADA-41CD-BD46-2FCB1E4AC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84042</xdr:colOff>
      <xdr:row>211</xdr:row>
      <xdr:rowOff>169210</xdr:rowOff>
    </xdr:from>
    <xdr:to>
      <xdr:col>10</xdr:col>
      <xdr:colOff>571499</xdr:colOff>
      <xdr:row>232</xdr:row>
      <xdr:rowOff>112059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4719F7-8E4E-4EF9-A207-98B63874C369}"/>
            </a:ext>
            <a:ext uri="{147F2762-F138-4A5C-976F-8EAC2B608ADB}">
              <a16:predDERef xmlns:a16="http://schemas.microsoft.com/office/drawing/2014/main" pred="{1363BD3E-DE7A-4EF6-8CAE-1FBC4FCAA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241</xdr:row>
      <xdr:rowOff>0</xdr:rowOff>
    </xdr:from>
    <xdr:to>
      <xdr:col>10</xdr:col>
      <xdr:colOff>151280</xdr:colOff>
      <xdr:row>257</xdr:row>
      <xdr:rowOff>99733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99C8E-7B56-4E73-99E4-0834E4DF30E7}"/>
            </a:ext>
            <a:ext uri="{147F2762-F138-4A5C-976F-8EAC2B608ADB}">
              <a16:predDERef xmlns:a16="http://schemas.microsoft.com/office/drawing/2014/main" pred="{304719F7-8E4E-4EF9-A207-98B63874C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1456044</xdr:colOff>
      <xdr:row>91</xdr:row>
      <xdr:rowOff>94129</xdr:rowOff>
    </xdr:from>
    <xdr:to>
      <xdr:col>13</xdr:col>
      <xdr:colOff>323850</xdr:colOff>
      <xdr:row>112</xdr:row>
      <xdr:rowOff>81802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1FB2A96-8097-4114-B005-1011C206FFEB}"/>
            </a:ext>
            <a:ext uri="{147F2762-F138-4A5C-976F-8EAC2B608ADB}">
              <a16:predDERef xmlns:a16="http://schemas.microsoft.com/office/drawing/2014/main" pred="{79099C8E-7B56-4E73-99E4-0834E4DF3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112</xdr:row>
      <xdr:rowOff>1</xdr:rowOff>
    </xdr:from>
    <xdr:to>
      <xdr:col>6</xdr:col>
      <xdr:colOff>581026</xdr:colOff>
      <xdr:row>128</xdr:row>
      <xdr:rowOff>152401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BA9CA50-756F-4FFC-99B7-A5B376DEA5F1}"/>
            </a:ext>
            <a:ext uri="{147F2762-F138-4A5C-976F-8EAC2B608ADB}">
              <a16:predDERef xmlns:a16="http://schemas.microsoft.com/office/drawing/2014/main" pred="{F1FB2A96-8097-4114-B005-1011C206FF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0</xdr:colOff>
      <xdr:row>113</xdr:row>
      <xdr:rowOff>0</xdr:rowOff>
    </xdr:from>
    <xdr:to>
      <xdr:col>14</xdr:col>
      <xdr:colOff>57151</xdr:colOff>
      <xdr:row>129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844FDDC-508C-4DF8-AB64-2C5233A13DEE}"/>
            </a:ext>
            <a:ext uri="{147F2762-F138-4A5C-976F-8EAC2B608ADB}">
              <a16:predDERef xmlns:a16="http://schemas.microsoft.com/office/drawing/2014/main" pred="{ABA9CA50-756F-4FFC-99B7-A5B376DEA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190501</xdr:colOff>
      <xdr:row>90</xdr:row>
      <xdr:rowOff>40821</xdr:rowOff>
    </xdr:from>
    <xdr:to>
      <xdr:col>20</xdr:col>
      <xdr:colOff>317048</xdr:colOff>
      <xdr:row>114</xdr:row>
      <xdr:rowOff>164645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0B2E723-489F-4D71-821B-DBE0DB9C64F9}"/>
            </a:ext>
            <a:ext uri="{147F2762-F138-4A5C-976F-8EAC2B608ADB}">
              <a16:predDERef xmlns:a16="http://schemas.microsoft.com/office/drawing/2014/main" pred="{B844FDDC-508C-4DF8-AB64-2C5233A13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352985</xdr:colOff>
      <xdr:row>138</xdr:row>
      <xdr:rowOff>124385</xdr:rowOff>
    </xdr:from>
    <xdr:to>
      <xdr:col>21</xdr:col>
      <xdr:colOff>834838</xdr:colOff>
      <xdr:row>153</xdr:row>
      <xdr:rowOff>10085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280A9C7-45B9-4DC8-AD2F-233EC66AFF09}"/>
            </a:ext>
            <a:ext uri="{147F2762-F138-4A5C-976F-8EAC2B608ADB}">
              <a16:predDERef xmlns:a16="http://schemas.microsoft.com/office/drawing/2014/main" pred="{70B2E723-489F-4D71-821B-DBE0DB9C6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0.02913</cdr:y>
    </cdr:from>
    <cdr:to>
      <cdr:x>0.07284</cdr:x>
      <cdr:y>0.09385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694A23F-96B0-45E0-808F-C5BD80C5E740}"/>
            </a:ext>
          </a:extLst>
        </cdr:cNvPr>
        <cdr:cNvSpPr txBox="1"/>
      </cdr:nvSpPr>
      <cdr:spPr>
        <a:xfrm xmlns:a="http://schemas.openxmlformats.org/drawingml/2006/main">
          <a:off x="0" y="110939"/>
          <a:ext cx="638735" cy="246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kg/ton</a:t>
          </a:r>
        </a:p>
      </cdr:txBody>
    </cdr:sp>
  </cdr:relSizeAnchor>
  <cdr:relSizeAnchor xmlns:cdr="http://schemas.openxmlformats.org/drawingml/2006/chartDrawing">
    <cdr:from>
      <cdr:x>0.94377</cdr:x>
      <cdr:y>0.03099</cdr:y>
    </cdr:from>
    <cdr:to>
      <cdr:x>0.98982</cdr:x>
      <cdr:y>0.10856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D9D5BBB-4E9D-475B-AAFF-9141BF2C5040}"/>
            </a:ext>
          </a:extLst>
        </cdr:cNvPr>
        <cdr:cNvSpPr txBox="1"/>
      </cdr:nvSpPr>
      <cdr:spPr>
        <a:xfrm xmlns:a="http://schemas.openxmlformats.org/drawingml/2006/main">
          <a:off x="8275546" y="118034"/>
          <a:ext cx="403783" cy="295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MT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0.00579</cdr:x>
      <cdr:y>0.01334</cdr:y>
    </cdr:from>
    <cdr:to>
      <cdr:x>0.07864</cdr:x>
      <cdr:y>0.07806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CFAC313-97C3-4396-989A-4B1171FCA3B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638735" cy="246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kg/ton</a:t>
          </a:r>
        </a:p>
      </cdr:txBody>
    </cdr:sp>
  </cdr:relSizeAnchor>
  <cdr:relSizeAnchor xmlns:cdr="http://schemas.openxmlformats.org/drawingml/2006/chartDrawing">
    <cdr:from>
      <cdr:x>0.94253</cdr:x>
      <cdr:y>0.02511</cdr:y>
    </cdr:from>
    <cdr:to>
      <cdr:x>0.98858</cdr:x>
      <cdr:y>0.10268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29D39B4-67FC-4790-8D4D-D9ABD4A4162F}"/>
            </a:ext>
          </a:extLst>
        </cdr:cNvPr>
        <cdr:cNvSpPr txBox="1"/>
      </cdr:nvSpPr>
      <cdr:spPr>
        <a:xfrm xmlns:a="http://schemas.openxmlformats.org/drawingml/2006/main">
          <a:off x="8264712" y="95623"/>
          <a:ext cx="403783" cy="295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MT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0.02913</cdr:y>
    </cdr:from>
    <cdr:to>
      <cdr:x>0.07284</cdr:x>
      <cdr:y>0.09385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694A23F-96B0-45E0-808F-C5BD80C5E740}"/>
            </a:ext>
          </a:extLst>
        </cdr:cNvPr>
        <cdr:cNvSpPr txBox="1"/>
      </cdr:nvSpPr>
      <cdr:spPr>
        <a:xfrm xmlns:a="http://schemas.openxmlformats.org/drawingml/2006/main">
          <a:off x="0" y="110939"/>
          <a:ext cx="638735" cy="246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kg/ton</a:t>
          </a:r>
        </a:p>
      </cdr:txBody>
    </cdr:sp>
  </cdr:relSizeAnchor>
  <cdr:relSizeAnchor xmlns:cdr="http://schemas.openxmlformats.org/drawingml/2006/chartDrawing">
    <cdr:from>
      <cdr:x>0.94377</cdr:x>
      <cdr:y>0.03099</cdr:y>
    </cdr:from>
    <cdr:to>
      <cdr:x>0.98982</cdr:x>
      <cdr:y>0.10856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D9D5BBB-4E9D-475B-AAFF-9141BF2C5040}"/>
            </a:ext>
          </a:extLst>
        </cdr:cNvPr>
        <cdr:cNvSpPr txBox="1"/>
      </cdr:nvSpPr>
      <cdr:spPr>
        <a:xfrm xmlns:a="http://schemas.openxmlformats.org/drawingml/2006/main">
          <a:off x="8275546" y="118034"/>
          <a:ext cx="403783" cy="295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MT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0.00579</cdr:x>
      <cdr:y>0.01334</cdr:y>
    </cdr:from>
    <cdr:to>
      <cdr:x>0.07864</cdr:x>
      <cdr:y>0.07806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CFAC313-97C3-4396-989A-4B1171FCA3B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638735" cy="246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kg/ton</a:t>
          </a:r>
        </a:p>
      </cdr:txBody>
    </cdr:sp>
  </cdr:relSizeAnchor>
  <cdr:relSizeAnchor xmlns:cdr="http://schemas.openxmlformats.org/drawingml/2006/chartDrawing">
    <cdr:from>
      <cdr:x>0.94253</cdr:x>
      <cdr:y>0.02511</cdr:y>
    </cdr:from>
    <cdr:to>
      <cdr:x>0.98858</cdr:x>
      <cdr:y>0.10268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29D39B4-67FC-4790-8D4D-D9ABD4A4162F}"/>
            </a:ext>
          </a:extLst>
        </cdr:cNvPr>
        <cdr:cNvSpPr txBox="1"/>
      </cdr:nvSpPr>
      <cdr:spPr>
        <a:xfrm xmlns:a="http://schemas.openxmlformats.org/drawingml/2006/main">
          <a:off x="8264712" y="95623"/>
          <a:ext cx="403783" cy="295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MT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33617</xdr:colOff>
      <xdr:row>154</xdr:row>
      <xdr:rowOff>78441</xdr:rowOff>
    </xdr:from>
    <xdr:to>
      <xdr:col>12</xdr:col>
      <xdr:colOff>358749</xdr:colOff>
      <xdr:row>174</xdr:row>
      <xdr:rowOff>77321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BF45A9-FBE2-4EAD-AB11-D58632AF9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459441</xdr:colOff>
      <xdr:row>154</xdr:row>
      <xdr:rowOff>67235</xdr:rowOff>
    </xdr:from>
    <xdr:to>
      <xdr:col>24</xdr:col>
      <xdr:colOff>1322456</xdr:colOff>
      <xdr:row>174</xdr:row>
      <xdr:rowOff>66115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9B3FB1-D94D-4F53-8904-1ED3DC1FD43E}"/>
            </a:ext>
            <a:ext uri="{147F2762-F138-4A5C-976F-8EAC2B608ADB}">
              <a16:predDERef xmlns:a16="http://schemas.microsoft.com/office/drawing/2014/main" pred="{1CBF45A9-FBE2-4EAD-AB11-D58632AF9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176</xdr:row>
      <xdr:rowOff>0</xdr:rowOff>
    </xdr:from>
    <xdr:to>
      <xdr:col>12</xdr:col>
      <xdr:colOff>325132</xdr:colOff>
      <xdr:row>195</xdr:row>
      <xdr:rowOff>189380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6F044A-B3B3-4FCF-85A4-EB2D229145D2}"/>
            </a:ext>
            <a:ext uri="{147F2762-F138-4A5C-976F-8EAC2B608ADB}">
              <a16:predDERef xmlns:a16="http://schemas.microsoft.com/office/drawing/2014/main" pred="{939B3FB1-D94D-4F53-8904-1ED3DC1FD4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176</xdr:row>
      <xdr:rowOff>0</xdr:rowOff>
    </xdr:from>
    <xdr:to>
      <xdr:col>24</xdr:col>
      <xdr:colOff>863015</xdr:colOff>
      <xdr:row>195</xdr:row>
      <xdr:rowOff>189380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4D3DFE-BD45-42D2-98FF-0DCB7E20BC94}"/>
            </a:ext>
            <a:ext uri="{147F2762-F138-4A5C-976F-8EAC2B608ADB}">
              <a16:predDERef xmlns:a16="http://schemas.microsoft.com/office/drawing/2014/main" pred="{7D6F044A-B3B3-4FCF-85A4-EB2D22914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197</xdr:row>
      <xdr:rowOff>0</xdr:rowOff>
    </xdr:from>
    <xdr:to>
      <xdr:col>10</xdr:col>
      <xdr:colOff>498663</xdr:colOff>
      <xdr:row>217</xdr:row>
      <xdr:rowOff>133349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257FF9-373F-44D5-B893-46BC6C76600B}"/>
            </a:ext>
            <a:ext uri="{147F2762-F138-4A5C-976F-8EAC2B608ADB}">
              <a16:predDERef xmlns:a16="http://schemas.microsoft.com/office/drawing/2014/main" pred="{134D3DFE-BD45-42D2-98FF-0DCB7E20B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661147</xdr:colOff>
      <xdr:row>224</xdr:row>
      <xdr:rowOff>156883</xdr:rowOff>
    </xdr:from>
    <xdr:to>
      <xdr:col>10</xdr:col>
      <xdr:colOff>151280</xdr:colOff>
      <xdr:row>241</xdr:row>
      <xdr:rowOff>66116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1203D10-49DE-4479-BCFB-82ADA481277C}"/>
            </a:ext>
            <a:ext uri="{147F2762-F138-4A5C-976F-8EAC2B608ADB}">
              <a16:predDERef xmlns:a16="http://schemas.microsoft.com/office/drawing/2014/main" pred="{49257FF9-373F-44D5-B893-46BC6C766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291352</xdr:colOff>
      <xdr:row>94</xdr:row>
      <xdr:rowOff>145675</xdr:rowOff>
    </xdr:from>
    <xdr:to>
      <xdr:col>14</xdr:col>
      <xdr:colOff>229721</xdr:colOff>
      <xdr:row>115</xdr:row>
      <xdr:rowOff>133348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52DCE1-3368-4F8C-A818-37BF95E1AB7D}"/>
            </a:ext>
            <a:ext uri="{147F2762-F138-4A5C-976F-8EAC2B608ADB}">
              <a16:predDERef xmlns:a16="http://schemas.microsoft.com/office/drawing/2014/main" pred="{81203D10-49DE-4479-BCFB-82ADA4812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302559</xdr:colOff>
      <xdr:row>116</xdr:row>
      <xdr:rowOff>134471</xdr:rowOff>
    </xdr:from>
    <xdr:to>
      <xdr:col>9</xdr:col>
      <xdr:colOff>862853</xdr:colOff>
      <xdr:row>137</xdr:row>
      <xdr:rowOff>122144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0494767-D627-4579-A44F-AB77DBF93069}"/>
            </a:ext>
            <a:ext uri="{147F2762-F138-4A5C-976F-8EAC2B608ADB}">
              <a16:predDERef xmlns:a16="http://schemas.microsoft.com/office/drawing/2014/main" pred="{3552DCE1-3368-4F8C-A818-37BF95E1AB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414618</xdr:colOff>
      <xdr:row>116</xdr:row>
      <xdr:rowOff>123265</xdr:rowOff>
    </xdr:from>
    <xdr:to>
      <xdr:col>19</xdr:col>
      <xdr:colOff>493058</xdr:colOff>
      <xdr:row>137</xdr:row>
      <xdr:rowOff>78442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F402625-9FB1-4D9D-91F8-AF774B96BE89}"/>
            </a:ext>
            <a:ext uri="{147F2762-F138-4A5C-976F-8EAC2B608ADB}">
              <a16:predDERef xmlns:a16="http://schemas.microsoft.com/office/drawing/2014/main" pred="{D0494767-D627-4579-A44F-AB77DBF93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</cdr:x>
      <cdr:y>0.02913</cdr:y>
    </cdr:from>
    <cdr:to>
      <cdr:x>0.07284</cdr:x>
      <cdr:y>0.09385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694A23F-96B0-45E0-808F-C5BD80C5E740}"/>
            </a:ext>
          </a:extLst>
        </cdr:cNvPr>
        <cdr:cNvSpPr txBox="1"/>
      </cdr:nvSpPr>
      <cdr:spPr>
        <a:xfrm xmlns:a="http://schemas.openxmlformats.org/drawingml/2006/main">
          <a:off x="0" y="110939"/>
          <a:ext cx="638735" cy="246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kg/ton</a:t>
          </a:r>
        </a:p>
      </cdr:txBody>
    </cdr:sp>
  </cdr:relSizeAnchor>
  <cdr:relSizeAnchor xmlns:cdr="http://schemas.openxmlformats.org/drawingml/2006/chartDrawing">
    <cdr:from>
      <cdr:x>0.94377</cdr:x>
      <cdr:y>0.03099</cdr:y>
    </cdr:from>
    <cdr:to>
      <cdr:x>0.98982</cdr:x>
      <cdr:y>0.10856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D9D5BBB-4E9D-475B-AAFF-9141BF2C5040}"/>
            </a:ext>
          </a:extLst>
        </cdr:cNvPr>
        <cdr:cNvSpPr txBox="1"/>
      </cdr:nvSpPr>
      <cdr:spPr>
        <a:xfrm xmlns:a="http://schemas.openxmlformats.org/drawingml/2006/main">
          <a:off x="8275546" y="118034"/>
          <a:ext cx="403783" cy="295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MT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</cdr:x>
      <cdr:y>0.02913</cdr:y>
    </cdr:from>
    <cdr:to>
      <cdr:x>0.07284</cdr:x>
      <cdr:y>0.09385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694A23F-96B0-45E0-808F-C5BD80C5E740}"/>
            </a:ext>
          </a:extLst>
        </cdr:cNvPr>
        <cdr:cNvSpPr txBox="1"/>
      </cdr:nvSpPr>
      <cdr:spPr>
        <a:xfrm xmlns:a="http://schemas.openxmlformats.org/drawingml/2006/main">
          <a:off x="0" y="110939"/>
          <a:ext cx="638735" cy="246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kg/ton</a:t>
          </a:r>
        </a:p>
      </cdr:txBody>
    </cdr:sp>
  </cdr:relSizeAnchor>
  <cdr:relSizeAnchor xmlns:cdr="http://schemas.openxmlformats.org/drawingml/2006/chartDrawing">
    <cdr:from>
      <cdr:x>0.94377</cdr:x>
      <cdr:y>0.03099</cdr:y>
    </cdr:from>
    <cdr:to>
      <cdr:x>0.98982</cdr:x>
      <cdr:y>0.10856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D9D5BBB-4E9D-475B-AAFF-9141BF2C5040}"/>
            </a:ext>
          </a:extLst>
        </cdr:cNvPr>
        <cdr:cNvSpPr txBox="1"/>
      </cdr:nvSpPr>
      <cdr:spPr>
        <a:xfrm xmlns:a="http://schemas.openxmlformats.org/drawingml/2006/main">
          <a:off x="8275546" y="118034"/>
          <a:ext cx="403783" cy="295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MT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</cdr:x>
      <cdr:y>0.02913</cdr:y>
    </cdr:from>
    <cdr:to>
      <cdr:x>0.07284</cdr:x>
      <cdr:y>0.09385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694A23F-96B0-45E0-808F-C5BD80C5E740}"/>
            </a:ext>
          </a:extLst>
        </cdr:cNvPr>
        <cdr:cNvSpPr txBox="1"/>
      </cdr:nvSpPr>
      <cdr:spPr>
        <a:xfrm xmlns:a="http://schemas.openxmlformats.org/drawingml/2006/main">
          <a:off x="0" y="110939"/>
          <a:ext cx="638735" cy="246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kg/ton</a:t>
          </a:r>
        </a:p>
      </cdr:txBody>
    </cdr:sp>
  </cdr:relSizeAnchor>
  <cdr:relSizeAnchor xmlns:cdr="http://schemas.openxmlformats.org/drawingml/2006/chartDrawing">
    <cdr:from>
      <cdr:x>0.94377</cdr:x>
      <cdr:y>0.03099</cdr:y>
    </cdr:from>
    <cdr:to>
      <cdr:x>0.98982</cdr:x>
      <cdr:y>0.10856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D9D5BBB-4E9D-475B-AAFF-9141BF2C5040}"/>
            </a:ext>
          </a:extLst>
        </cdr:cNvPr>
        <cdr:cNvSpPr txBox="1"/>
      </cdr:nvSpPr>
      <cdr:spPr>
        <a:xfrm xmlns:a="http://schemas.openxmlformats.org/drawingml/2006/main">
          <a:off x="8275546" y="118034"/>
          <a:ext cx="403783" cy="295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MT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0.02913</cdr:y>
    </cdr:from>
    <cdr:to>
      <cdr:x>0.07284</cdr:x>
      <cdr:y>0.09385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694A23F-96B0-45E0-808F-C5BD80C5E740}"/>
            </a:ext>
          </a:extLst>
        </cdr:cNvPr>
        <cdr:cNvSpPr txBox="1"/>
      </cdr:nvSpPr>
      <cdr:spPr>
        <a:xfrm xmlns:a="http://schemas.openxmlformats.org/drawingml/2006/main">
          <a:off x="0" y="110939"/>
          <a:ext cx="638735" cy="246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kg/ton</a:t>
          </a:r>
        </a:p>
      </cdr:txBody>
    </cdr:sp>
  </cdr:relSizeAnchor>
  <cdr:relSizeAnchor xmlns:cdr="http://schemas.openxmlformats.org/drawingml/2006/chartDrawing">
    <cdr:from>
      <cdr:x>0.94377</cdr:x>
      <cdr:y>0.03099</cdr:y>
    </cdr:from>
    <cdr:to>
      <cdr:x>0.98982</cdr:x>
      <cdr:y>0.10856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D9D5BBB-4E9D-475B-AAFF-9141BF2C5040}"/>
            </a:ext>
          </a:extLst>
        </cdr:cNvPr>
        <cdr:cNvSpPr txBox="1"/>
      </cdr:nvSpPr>
      <cdr:spPr>
        <a:xfrm xmlns:a="http://schemas.openxmlformats.org/drawingml/2006/main">
          <a:off x="8275546" y="118034"/>
          <a:ext cx="403783" cy="295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MT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144</xdr:row>
      <xdr:rowOff>0</xdr:rowOff>
    </xdr:from>
    <xdr:to>
      <xdr:col>11</xdr:col>
      <xdr:colOff>653305</xdr:colOff>
      <xdr:row>163</xdr:row>
      <xdr:rowOff>189380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1113F7-ED07-4E0B-BFA3-8586BA10B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144</xdr:row>
      <xdr:rowOff>0</xdr:rowOff>
    </xdr:from>
    <xdr:to>
      <xdr:col>24</xdr:col>
      <xdr:colOff>53230</xdr:colOff>
      <xdr:row>163</xdr:row>
      <xdr:rowOff>189380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F6D70C-C1CA-48FB-8719-3753ACC78EF9}"/>
            </a:ext>
            <a:ext uri="{147F2762-F138-4A5C-976F-8EAC2B608ADB}">
              <a16:predDERef xmlns:a16="http://schemas.microsoft.com/office/drawing/2014/main" pred="{0A1113F7-ED07-4E0B-BFA3-8586BA10B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166</xdr:row>
      <xdr:rowOff>0</xdr:rowOff>
    </xdr:from>
    <xdr:to>
      <xdr:col>11</xdr:col>
      <xdr:colOff>653305</xdr:colOff>
      <xdr:row>185</xdr:row>
      <xdr:rowOff>189380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5A1806-C6E5-4430-B2F7-9CEF805F2A75}"/>
            </a:ext>
            <a:ext uri="{147F2762-F138-4A5C-976F-8EAC2B608ADB}">
              <a16:predDERef xmlns:a16="http://schemas.microsoft.com/office/drawing/2014/main" pred="{91F6D70C-C1CA-48FB-8719-3753ACC78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166</xdr:row>
      <xdr:rowOff>0</xdr:rowOff>
    </xdr:from>
    <xdr:to>
      <xdr:col>24</xdr:col>
      <xdr:colOff>53230</xdr:colOff>
      <xdr:row>185</xdr:row>
      <xdr:rowOff>189380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2E8A39-CF57-4862-B71C-03DE30F84BF0}"/>
            </a:ext>
            <a:ext uri="{147F2762-F138-4A5C-976F-8EAC2B608ADB}">
              <a16:predDERef xmlns:a16="http://schemas.microsoft.com/office/drawing/2014/main" pred="{A85A1806-C6E5-4430-B2F7-9CEF805F2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257735</xdr:colOff>
      <xdr:row>186</xdr:row>
      <xdr:rowOff>78441</xdr:rowOff>
    </xdr:from>
    <xdr:to>
      <xdr:col>10</xdr:col>
      <xdr:colOff>409016</xdr:colOff>
      <xdr:row>207</xdr:row>
      <xdr:rowOff>21290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37247B-FC04-4B91-9E2A-D2FAD99376F2}"/>
            </a:ext>
            <a:ext uri="{147F2762-F138-4A5C-976F-8EAC2B608ADB}">
              <a16:predDERef xmlns:a16="http://schemas.microsoft.com/office/drawing/2014/main" pred="{6A2E8A39-CF57-4862-B71C-03DE30F84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0</xdr:colOff>
      <xdr:row>215</xdr:row>
      <xdr:rowOff>0</xdr:rowOff>
    </xdr:from>
    <xdr:to>
      <xdr:col>9</xdr:col>
      <xdr:colOff>946898</xdr:colOff>
      <xdr:row>231</xdr:row>
      <xdr:rowOff>99733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FE8B1BE-D255-427C-AFA9-36C6C17C676A}"/>
            </a:ext>
            <a:ext uri="{147F2762-F138-4A5C-976F-8EAC2B608ADB}">
              <a16:predDERef xmlns:a16="http://schemas.microsoft.com/office/drawing/2014/main" pred="{0E37247B-FC04-4B91-9E2A-D2FAD9937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542925</xdr:colOff>
      <xdr:row>91</xdr:row>
      <xdr:rowOff>84604</xdr:rowOff>
    </xdr:from>
    <xdr:to>
      <xdr:col>14</xdr:col>
      <xdr:colOff>793378</xdr:colOff>
      <xdr:row>112</xdr:row>
      <xdr:rowOff>72277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F6C6AF-5DB4-4AFE-9645-3B0071BAE45B}"/>
            </a:ext>
            <a:ext uri="{147F2762-F138-4A5C-976F-8EAC2B608ADB}">
              <a16:predDERef xmlns:a16="http://schemas.microsoft.com/office/drawing/2014/main" pred="{5FE8B1BE-D255-427C-AFA9-36C6C17C67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170330</xdr:colOff>
      <xdr:row>106</xdr:row>
      <xdr:rowOff>30817</xdr:rowOff>
    </xdr:from>
    <xdr:to>
      <xdr:col>10</xdr:col>
      <xdr:colOff>485775</xdr:colOff>
      <xdr:row>125</xdr:row>
      <xdr:rowOff>42023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C7EA86B-1756-4BE1-90DB-062632083B18}"/>
            </a:ext>
            <a:ext uri="{147F2762-F138-4A5C-976F-8EAC2B608ADB}">
              <a16:predDERef xmlns:a16="http://schemas.microsoft.com/office/drawing/2014/main" pred="{98F6C6AF-5DB4-4AFE-9645-3B0071BAE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0.02913</cdr:y>
    </cdr:from>
    <cdr:to>
      <cdr:x>0.07284</cdr:x>
      <cdr:y>0.09385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694A23F-96B0-45E0-808F-C5BD80C5E740}"/>
            </a:ext>
          </a:extLst>
        </cdr:cNvPr>
        <cdr:cNvSpPr txBox="1"/>
      </cdr:nvSpPr>
      <cdr:spPr>
        <a:xfrm xmlns:a="http://schemas.openxmlformats.org/drawingml/2006/main">
          <a:off x="0" y="110939"/>
          <a:ext cx="638735" cy="246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kg/ton</a:t>
          </a:r>
        </a:p>
      </cdr:txBody>
    </cdr:sp>
  </cdr:relSizeAnchor>
  <cdr:relSizeAnchor xmlns:cdr="http://schemas.openxmlformats.org/drawingml/2006/chartDrawing">
    <cdr:from>
      <cdr:x>0.94377</cdr:x>
      <cdr:y>0.03099</cdr:y>
    </cdr:from>
    <cdr:to>
      <cdr:x>0.98982</cdr:x>
      <cdr:y>0.10856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D9D5BBB-4E9D-475B-AAFF-9141BF2C5040}"/>
            </a:ext>
          </a:extLst>
        </cdr:cNvPr>
        <cdr:cNvSpPr txBox="1"/>
      </cdr:nvSpPr>
      <cdr:spPr>
        <a:xfrm xmlns:a="http://schemas.openxmlformats.org/drawingml/2006/main">
          <a:off x="8275546" y="118034"/>
          <a:ext cx="403783" cy="295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MT</a:t>
          </a:r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0.00579</cdr:x>
      <cdr:y>0.01334</cdr:y>
    </cdr:from>
    <cdr:to>
      <cdr:x>0.07864</cdr:x>
      <cdr:y>0.07806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CFAC313-97C3-4396-989A-4B1171FCA3B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638735" cy="246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kg/ton</a:t>
          </a:r>
        </a:p>
      </cdr:txBody>
    </cdr:sp>
  </cdr:relSizeAnchor>
  <cdr:relSizeAnchor xmlns:cdr="http://schemas.openxmlformats.org/drawingml/2006/chartDrawing">
    <cdr:from>
      <cdr:x>0.94253</cdr:x>
      <cdr:y>0.02511</cdr:y>
    </cdr:from>
    <cdr:to>
      <cdr:x>0.98858</cdr:x>
      <cdr:y>0.10268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29D39B4-67FC-4790-8D4D-D9ABD4A4162F}"/>
            </a:ext>
          </a:extLst>
        </cdr:cNvPr>
        <cdr:cNvSpPr txBox="1"/>
      </cdr:nvSpPr>
      <cdr:spPr>
        <a:xfrm xmlns:a="http://schemas.openxmlformats.org/drawingml/2006/main">
          <a:off x="8264712" y="95623"/>
          <a:ext cx="403783" cy="295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MT</a:t>
          </a: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</cdr:x>
      <cdr:y>0.02913</cdr:y>
    </cdr:from>
    <cdr:to>
      <cdr:x>0.07284</cdr:x>
      <cdr:y>0.09385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694A23F-96B0-45E0-808F-C5BD80C5E740}"/>
            </a:ext>
          </a:extLst>
        </cdr:cNvPr>
        <cdr:cNvSpPr txBox="1"/>
      </cdr:nvSpPr>
      <cdr:spPr>
        <a:xfrm xmlns:a="http://schemas.openxmlformats.org/drawingml/2006/main">
          <a:off x="0" y="110939"/>
          <a:ext cx="638735" cy="246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l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kg/ton</a:t>
          </a:r>
        </a:p>
      </cdr:txBody>
    </cdr:sp>
  </cdr:relSizeAnchor>
  <cdr:relSizeAnchor xmlns:cdr="http://schemas.openxmlformats.org/drawingml/2006/chartDrawing">
    <cdr:from>
      <cdr:x>0.94377</cdr:x>
      <cdr:y>0.03099</cdr:y>
    </cdr:from>
    <cdr:to>
      <cdr:x>0.98982</cdr:x>
      <cdr:y>0.10856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BD9D5BBB-4E9D-475B-AAFF-9141BF2C5040}"/>
            </a:ext>
          </a:extLst>
        </cdr:cNvPr>
        <cdr:cNvSpPr txBox="1"/>
      </cdr:nvSpPr>
      <cdr:spPr>
        <a:xfrm xmlns:a="http://schemas.openxmlformats.org/drawingml/2006/main">
          <a:off x="8275546" y="118034"/>
          <a:ext cx="403783" cy="295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MT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0.00579</cdr:x>
      <cdr:y>0.01334</cdr:y>
    </cdr:from>
    <cdr:to>
      <cdr:x>0.07864</cdr:x>
      <cdr:y>0.07806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CFAC313-97C3-4396-989A-4B1171FCA3B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638735" cy="246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kg/ton</a:t>
          </a:r>
        </a:p>
      </cdr:txBody>
    </cdr:sp>
  </cdr:relSizeAnchor>
  <cdr:relSizeAnchor xmlns:cdr="http://schemas.openxmlformats.org/drawingml/2006/chartDrawing">
    <cdr:from>
      <cdr:x>0.94253</cdr:x>
      <cdr:y>0.02511</cdr:y>
    </cdr:from>
    <cdr:to>
      <cdr:x>0.98858</cdr:x>
      <cdr:y>0.10268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629D39B4-67FC-4790-8D4D-D9ABD4A4162F}"/>
            </a:ext>
          </a:extLst>
        </cdr:cNvPr>
        <cdr:cNvSpPr txBox="1"/>
      </cdr:nvSpPr>
      <cdr:spPr>
        <a:xfrm xmlns:a="http://schemas.openxmlformats.org/drawingml/2006/main">
          <a:off x="8264712" y="95623"/>
          <a:ext cx="403783" cy="295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100">
              <a:solidFill>
                <a:schemeClr val="tx1">
                  <a:lumMod val="85000"/>
                  <a:lumOff val="15000"/>
                </a:schemeClr>
              </a:solidFill>
            </a:rPr>
            <a:t>MT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638734</xdr:colOff>
      <xdr:row>148</xdr:row>
      <xdr:rowOff>100854</xdr:rowOff>
    </xdr:from>
    <xdr:to>
      <xdr:col>10</xdr:col>
      <xdr:colOff>487458</xdr:colOff>
      <xdr:row>167</xdr:row>
      <xdr:rowOff>66117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6D18E2-9236-4F9C-BBC0-A35EE396B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148</xdr:row>
      <xdr:rowOff>0</xdr:rowOff>
    </xdr:from>
    <xdr:to>
      <xdr:col>19</xdr:col>
      <xdr:colOff>711576</xdr:colOff>
      <xdr:row>166</xdr:row>
      <xdr:rowOff>155763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8673F5-A750-4F50-BA11-06D6048F986F}"/>
            </a:ext>
            <a:ext uri="{147F2762-F138-4A5C-976F-8EAC2B608ADB}">
              <a16:predDERef xmlns:a16="http://schemas.microsoft.com/office/drawing/2014/main" pred="{CD6D18E2-9236-4F9C-BBC0-A35EE396B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169</xdr:row>
      <xdr:rowOff>0</xdr:rowOff>
    </xdr:from>
    <xdr:to>
      <xdr:col>10</xdr:col>
      <xdr:colOff>823635</xdr:colOff>
      <xdr:row>187</xdr:row>
      <xdr:rowOff>155763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BA3DFF-9D0D-4A71-840E-7A6FBCFB24AF}"/>
            </a:ext>
            <a:ext uri="{147F2762-F138-4A5C-976F-8EAC2B608ADB}">
              <a16:predDERef xmlns:a16="http://schemas.microsoft.com/office/drawing/2014/main" pred="{088673F5-A750-4F50-BA11-06D6048F9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169</xdr:row>
      <xdr:rowOff>0</xdr:rowOff>
    </xdr:from>
    <xdr:to>
      <xdr:col>19</xdr:col>
      <xdr:colOff>711576</xdr:colOff>
      <xdr:row>187</xdr:row>
      <xdr:rowOff>155763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D78F51-248D-4579-985D-CEBBC02D9F06}"/>
            </a:ext>
            <a:ext uri="{147F2762-F138-4A5C-976F-8EAC2B608ADB}">
              <a16:predDERef xmlns:a16="http://schemas.microsoft.com/office/drawing/2014/main" pred="{57BA3DFF-9D0D-4A71-840E-7A6FBCFB2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190</xdr:row>
      <xdr:rowOff>0</xdr:rowOff>
    </xdr:from>
    <xdr:to>
      <xdr:col>10</xdr:col>
      <xdr:colOff>588310</xdr:colOff>
      <xdr:row>210</xdr:row>
      <xdr:rowOff>133349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1C9BF5-ECA0-442A-9B40-AC57098358CF}"/>
            </a:ext>
            <a:ext uri="{147F2762-F138-4A5C-976F-8EAC2B608ADB}">
              <a16:predDERef xmlns:a16="http://schemas.microsoft.com/office/drawing/2014/main" pred="{3DD78F51-248D-4579-985D-CEBBC02D9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952499</xdr:colOff>
      <xdr:row>218</xdr:row>
      <xdr:rowOff>67235</xdr:rowOff>
    </xdr:from>
    <xdr:to>
      <xdr:col>10</xdr:col>
      <xdr:colOff>229721</xdr:colOff>
      <xdr:row>234</xdr:row>
      <xdr:rowOff>166968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95CDBC-4541-4113-B2DA-6C3001CBFA37}"/>
            </a:ext>
            <a:ext uri="{147F2762-F138-4A5C-976F-8EAC2B608ADB}">
              <a16:predDERef xmlns:a16="http://schemas.microsoft.com/office/drawing/2014/main" pred="{131C9BF5-ECA0-442A-9B40-AC5709835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728382</xdr:colOff>
      <xdr:row>90</xdr:row>
      <xdr:rowOff>22411</xdr:rowOff>
    </xdr:from>
    <xdr:to>
      <xdr:col>11</xdr:col>
      <xdr:colOff>946898</xdr:colOff>
      <xdr:row>111</xdr:row>
      <xdr:rowOff>10084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7850418-B3C5-4495-99DD-D3328421CF5A}"/>
            </a:ext>
            <a:ext uri="{147F2762-F138-4A5C-976F-8EAC2B608ADB}">
              <a16:predDERef xmlns:a16="http://schemas.microsoft.com/office/drawing/2014/main" pred="{2695CDBC-4541-4113-B2DA-6C3001CBF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112</xdr:row>
      <xdr:rowOff>0</xdr:rowOff>
    </xdr:from>
    <xdr:to>
      <xdr:col>7</xdr:col>
      <xdr:colOff>750794</xdr:colOff>
      <xdr:row>132</xdr:row>
      <xdr:rowOff>178173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1C07245-EFE7-4A31-94B2-D0BEA586B294}"/>
            </a:ext>
            <a:ext uri="{147F2762-F138-4A5C-976F-8EAC2B608ADB}">
              <a16:predDERef xmlns:a16="http://schemas.microsoft.com/office/drawing/2014/main" pred="{67850418-B3C5-4495-99DD-D3328421C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0</xdr:colOff>
      <xdr:row>112</xdr:row>
      <xdr:rowOff>0</xdr:rowOff>
    </xdr:from>
    <xdr:to>
      <xdr:col>14</xdr:col>
      <xdr:colOff>179294</xdr:colOff>
      <xdr:row>132</xdr:row>
      <xdr:rowOff>178173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5F93D48-5286-49CA-B046-5F24583BBD54}"/>
            </a:ext>
            <a:ext uri="{147F2762-F138-4A5C-976F-8EAC2B608ADB}">
              <a16:predDERef xmlns:a16="http://schemas.microsoft.com/office/drawing/2014/main" pred="{01C07245-EFE7-4A31-94B2-D0BEA586B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0.01451</cdr:x>
      <cdr:y>0.05175</cdr:y>
    </cdr:from>
    <cdr:to>
      <cdr:x>0.12539</cdr:x>
      <cdr:y>0.10733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411B462-2F0E-4C99-8FC4-C824AD2998FC}"/>
            </a:ext>
          </a:extLst>
        </cdr:cNvPr>
        <cdr:cNvSpPr txBox="1"/>
      </cdr:nvSpPr>
      <cdr:spPr>
        <a:xfrm xmlns:a="http://schemas.openxmlformats.org/drawingml/2006/main">
          <a:off x="78441" y="16696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g/ton</a:t>
          </a:r>
        </a:p>
      </cdr:txBody>
    </cdr:sp>
  </cdr:relSizeAnchor>
  <cdr:relSizeAnchor xmlns:cdr="http://schemas.openxmlformats.org/drawingml/2006/chartDrawing">
    <cdr:from>
      <cdr:x>0.88912</cdr:x>
      <cdr:y>0.05048</cdr:y>
    </cdr:from>
    <cdr:to>
      <cdr:x>1</cdr:x>
      <cdr:y>0.10606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FD5FDD7-7029-4D9D-8660-6FA6944DDF53}"/>
            </a:ext>
          </a:extLst>
        </cdr:cNvPr>
        <cdr:cNvSpPr txBox="1"/>
      </cdr:nvSpPr>
      <cdr:spPr>
        <a:xfrm xmlns:a="http://schemas.openxmlformats.org/drawingml/2006/main">
          <a:off x="4807323" y="16285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MT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0.01451</cdr:x>
      <cdr:y>0.05175</cdr:y>
    </cdr:from>
    <cdr:to>
      <cdr:x>0.12539</cdr:x>
      <cdr:y>0.10733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411B462-2F0E-4C99-8FC4-C824AD2998FC}"/>
            </a:ext>
          </a:extLst>
        </cdr:cNvPr>
        <cdr:cNvSpPr txBox="1"/>
      </cdr:nvSpPr>
      <cdr:spPr>
        <a:xfrm xmlns:a="http://schemas.openxmlformats.org/drawingml/2006/main">
          <a:off x="78441" y="16696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g/ton</a:t>
          </a:r>
        </a:p>
      </cdr:txBody>
    </cdr:sp>
  </cdr:relSizeAnchor>
  <cdr:relSizeAnchor xmlns:cdr="http://schemas.openxmlformats.org/drawingml/2006/chartDrawing">
    <cdr:from>
      <cdr:x>0.88912</cdr:x>
      <cdr:y>0.05048</cdr:y>
    </cdr:from>
    <cdr:to>
      <cdr:x>1</cdr:x>
      <cdr:y>0.10606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FD5FDD7-7029-4D9D-8660-6FA6944DDF53}"/>
            </a:ext>
          </a:extLst>
        </cdr:cNvPr>
        <cdr:cNvSpPr txBox="1"/>
      </cdr:nvSpPr>
      <cdr:spPr>
        <a:xfrm xmlns:a="http://schemas.openxmlformats.org/drawingml/2006/main">
          <a:off x="4807323" y="16285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MT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0.01451</cdr:x>
      <cdr:y>0.05175</cdr:y>
    </cdr:from>
    <cdr:to>
      <cdr:x>0.12539</cdr:x>
      <cdr:y>0.10733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411B462-2F0E-4C99-8FC4-C824AD2998FC}"/>
            </a:ext>
          </a:extLst>
        </cdr:cNvPr>
        <cdr:cNvSpPr txBox="1"/>
      </cdr:nvSpPr>
      <cdr:spPr>
        <a:xfrm xmlns:a="http://schemas.openxmlformats.org/drawingml/2006/main">
          <a:off x="78441" y="16696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g/ton</a:t>
          </a:r>
        </a:p>
      </cdr:txBody>
    </cdr:sp>
  </cdr:relSizeAnchor>
  <cdr:relSizeAnchor xmlns:cdr="http://schemas.openxmlformats.org/drawingml/2006/chartDrawing">
    <cdr:from>
      <cdr:x>0.88912</cdr:x>
      <cdr:y>0.05048</cdr:y>
    </cdr:from>
    <cdr:to>
      <cdr:x>1</cdr:x>
      <cdr:y>0.10606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FD5FDD7-7029-4D9D-8660-6FA6944DDF53}"/>
            </a:ext>
          </a:extLst>
        </cdr:cNvPr>
        <cdr:cNvSpPr txBox="1"/>
      </cdr:nvSpPr>
      <cdr:spPr>
        <a:xfrm xmlns:a="http://schemas.openxmlformats.org/drawingml/2006/main">
          <a:off x="4807323" y="16285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MT</a:t>
          </a:r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0.01451</cdr:x>
      <cdr:y>0.05175</cdr:y>
    </cdr:from>
    <cdr:to>
      <cdr:x>0.12539</cdr:x>
      <cdr:y>0.10733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411B462-2F0E-4C99-8FC4-C824AD2998FC}"/>
            </a:ext>
          </a:extLst>
        </cdr:cNvPr>
        <cdr:cNvSpPr txBox="1"/>
      </cdr:nvSpPr>
      <cdr:spPr>
        <a:xfrm xmlns:a="http://schemas.openxmlformats.org/drawingml/2006/main">
          <a:off x="78441" y="16696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g/ton</a:t>
          </a:r>
        </a:p>
      </cdr:txBody>
    </cdr:sp>
  </cdr:relSizeAnchor>
  <cdr:relSizeAnchor xmlns:cdr="http://schemas.openxmlformats.org/drawingml/2006/chartDrawing">
    <cdr:from>
      <cdr:x>0.88912</cdr:x>
      <cdr:y>0.05048</cdr:y>
    </cdr:from>
    <cdr:to>
      <cdr:x>1</cdr:x>
      <cdr:y>0.10606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FD5FDD7-7029-4D9D-8660-6FA6944DDF53}"/>
            </a:ext>
          </a:extLst>
        </cdr:cNvPr>
        <cdr:cNvSpPr txBox="1"/>
      </cdr:nvSpPr>
      <cdr:spPr>
        <a:xfrm xmlns:a="http://schemas.openxmlformats.org/drawingml/2006/main">
          <a:off x="4807323" y="16285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MT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526676</xdr:colOff>
      <xdr:row>148</xdr:row>
      <xdr:rowOff>145677</xdr:rowOff>
    </xdr:from>
    <xdr:to>
      <xdr:col>19</xdr:col>
      <xdr:colOff>218517</xdr:colOff>
      <xdr:row>167</xdr:row>
      <xdr:rowOff>110940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8DB0B-3562-4698-A37B-C19457B0C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481852</xdr:colOff>
      <xdr:row>149</xdr:row>
      <xdr:rowOff>0</xdr:rowOff>
    </xdr:from>
    <xdr:to>
      <xdr:col>9</xdr:col>
      <xdr:colOff>689164</xdr:colOff>
      <xdr:row>167</xdr:row>
      <xdr:rowOff>155763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49B924-5C9F-4F13-968F-B533304EA02F}"/>
            </a:ext>
            <a:ext uri="{147F2762-F138-4A5C-976F-8EAC2B608ADB}">
              <a16:predDERef xmlns:a16="http://schemas.microsoft.com/office/drawing/2014/main" pred="{4D58DB0B-3562-4698-A37B-C19457B0C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169</xdr:row>
      <xdr:rowOff>0</xdr:rowOff>
    </xdr:from>
    <xdr:to>
      <xdr:col>9</xdr:col>
      <xdr:colOff>812429</xdr:colOff>
      <xdr:row>187</xdr:row>
      <xdr:rowOff>155763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C95D07-FC03-4129-9475-AACA433AFEE5}"/>
            </a:ext>
            <a:ext uri="{147F2762-F138-4A5C-976F-8EAC2B608ADB}">
              <a16:predDERef xmlns:a16="http://schemas.microsoft.com/office/drawing/2014/main" pred="{A749B924-5C9F-4F13-968F-B533304EA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246530</xdr:colOff>
      <xdr:row>169</xdr:row>
      <xdr:rowOff>11206</xdr:rowOff>
    </xdr:from>
    <xdr:to>
      <xdr:col>18</xdr:col>
      <xdr:colOff>958106</xdr:colOff>
      <xdr:row>187</xdr:row>
      <xdr:rowOff>166969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F79DBA1-1DCE-4760-9C19-7283C77A0DDA}"/>
            </a:ext>
            <a:ext uri="{147F2762-F138-4A5C-976F-8EAC2B608ADB}">
              <a16:predDERef xmlns:a16="http://schemas.microsoft.com/office/drawing/2014/main" pred="{F2C95D07-FC03-4129-9475-AACA433AF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560295</xdr:colOff>
      <xdr:row>189</xdr:row>
      <xdr:rowOff>11206</xdr:rowOff>
    </xdr:from>
    <xdr:to>
      <xdr:col>10</xdr:col>
      <xdr:colOff>106458</xdr:colOff>
      <xdr:row>209</xdr:row>
      <xdr:rowOff>144555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1DAA1B-C47F-4E9F-B521-ED13B28B96AB}"/>
            </a:ext>
            <a:ext uri="{147F2762-F138-4A5C-976F-8EAC2B608ADB}">
              <a16:predDERef xmlns:a16="http://schemas.microsoft.com/office/drawing/2014/main" pred="{4F79DBA1-1DCE-4760-9C19-7283C77A0D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123264</xdr:colOff>
      <xdr:row>216</xdr:row>
      <xdr:rowOff>78441</xdr:rowOff>
    </xdr:from>
    <xdr:to>
      <xdr:col>10</xdr:col>
      <xdr:colOff>352986</xdr:colOff>
      <xdr:row>232</xdr:row>
      <xdr:rowOff>178174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BF6DF4C-28C8-4A9A-A706-C92143D62485}"/>
            </a:ext>
            <a:ext uri="{147F2762-F138-4A5C-976F-8EAC2B608ADB}">
              <a16:predDERef xmlns:a16="http://schemas.microsoft.com/office/drawing/2014/main" pred="{591DAA1B-C47F-4E9F-B521-ED13B28B9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89</xdr:row>
      <xdr:rowOff>0</xdr:rowOff>
    </xdr:from>
    <xdr:to>
      <xdr:col>12</xdr:col>
      <xdr:colOff>39221</xdr:colOff>
      <xdr:row>109</xdr:row>
      <xdr:rowOff>178173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05DB903-2CF9-4934-B54C-A2593CE5286C}"/>
            </a:ext>
            <a:ext uri="{147F2762-F138-4A5C-976F-8EAC2B608ADB}">
              <a16:predDERef xmlns:a16="http://schemas.microsoft.com/office/drawing/2014/main" pred="{9BF6DF4C-28C8-4A9A-A706-C92143D62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111</xdr:row>
      <xdr:rowOff>0</xdr:rowOff>
    </xdr:from>
    <xdr:to>
      <xdr:col>7</xdr:col>
      <xdr:colOff>504265</xdr:colOff>
      <xdr:row>131</xdr:row>
      <xdr:rowOff>178173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54F9075-E822-4C81-8AD9-76A334AA8FDE}"/>
            </a:ext>
            <a:ext uri="{147F2762-F138-4A5C-976F-8EAC2B608ADB}">
              <a16:predDERef xmlns:a16="http://schemas.microsoft.com/office/drawing/2014/main" pred="{805DB903-2CF9-4934-B54C-A2593CE52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0.01451</cdr:x>
      <cdr:y>0.05175</cdr:y>
    </cdr:from>
    <cdr:to>
      <cdr:x>0.12539</cdr:x>
      <cdr:y>0.10733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411B462-2F0E-4C99-8FC4-C824AD2998FC}"/>
            </a:ext>
          </a:extLst>
        </cdr:cNvPr>
        <cdr:cNvSpPr txBox="1"/>
      </cdr:nvSpPr>
      <cdr:spPr>
        <a:xfrm xmlns:a="http://schemas.openxmlformats.org/drawingml/2006/main">
          <a:off x="78441" y="16696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g/ton</a:t>
          </a:r>
        </a:p>
      </cdr:txBody>
    </cdr:sp>
  </cdr:relSizeAnchor>
  <cdr:relSizeAnchor xmlns:cdr="http://schemas.openxmlformats.org/drawingml/2006/chartDrawing">
    <cdr:from>
      <cdr:x>0.88912</cdr:x>
      <cdr:y>0.05048</cdr:y>
    </cdr:from>
    <cdr:to>
      <cdr:x>1</cdr:x>
      <cdr:y>0.10606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FD5FDD7-7029-4D9D-8660-6FA6944DDF53}"/>
            </a:ext>
          </a:extLst>
        </cdr:cNvPr>
        <cdr:cNvSpPr txBox="1"/>
      </cdr:nvSpPr>
      <cdr:spPr>
        <a:xfrm xmlns:a="http://schemas.openxmlformats.org/drawingml/2006/main">
          <a:off x="4807323" y="16285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MT</a:t>
          </a:r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0.01451</cdr:x>
      <cdr:y>0.05175</cdr:y>
    </cdr:from>
    <cdr:to>
      <cdr:x>0.12539</cdr:x>
      <cdr:y>0.10733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411B462-2F0E-4C99-8FC4-C824AD2998FC}"/>
            </a:ext>
          </a:extLst>
        </cdr:cNvPr>
        <cdr:cNvSpPr txBox="1"/>
      </cdr:nvSpPr>
      <cdr:spPr>
        <a:xfrm xmlns:a="http://schemas.openxmlformats.org/drawingml/2006/main">
          <a:off x="78441" y="16696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g/ton</a:t>
          </a:r>
        </a:p>
      </cdr:txBody>
    </cdr:sp>
  </cdr:relSizeAnchor>
  <cdr:relSizeAnchor xmlns:cdr="http://schemas.openxmlformats.org/drawingml/2006/chartDrawing">
    <cdr:from>
      <cdr:x>0.88912</cdr:x>
      <cdr:y>0.05048</cdr:y>
    </cdr:from>
    <cdr:to>
      <cdr:x>1</cdr:x>
      <cdr:y>0.10606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FD5FDD7-7029-4D9D-8660-6FA6944DDF53}"/>
            </a:ext>
          </a:extLst>
        </cdr:cNvPr>
        <cdr:cNvSpPr txBox="1"/>
      </cdr:nvSpPr>
      <cdr:spPr>
        <a:xfrm xmlns:a="http://schemas.openxmlformats.org/drawingml/2006/main">
          <a:off x="4807323" y="16285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MT</a:t>
          </a:r>
        </a:p>
      </cdr:txBody>
    </cdr:sp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0.01451</cdr:x>
      <cdr:y>0.05175</cdr:y>
    </cdr:from>
    <cdr:to>
      <cdr:x>0.12539</cdr:x>
      <cdr:y>0.10733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411B462-2F0E-4C99-8FC4-C824AD2998FC}"/>
            </a:ext>
          </a:extLst>
        </cdr:cNvPr>
        <cdr:cNvSpPr txBox="1"/>
      </cdr:nvSpPr>
      <cdr:spPr>
        <a:xfrm xmlns:a="http://schemas.openxmlformats.org/drawingml/2006/main">
          <a:off x="78441" y="16696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g/ton</a:t>
          </a:r>
        </a:p>
      </cdr:txBody>
    </cdr:sp>
  </cdr:relSizeAnchor>
  <cdr:relSizeAnchor xmlns:cdr="http://schemas.openxmlformats.org/drawingml/2006/chartDrawing">
    <cdr:from>
      <cdr:x>0.88912</cdr:x>
      <cdr:y>0.05048</cdr:y>
    </cdr:from>
    <cdr:to>
      <cdr:x>1</cdr:x>
      <cdr:y>0.10606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FD5FDD7-7029-4D9D-8660-6FA6944DDF53}"/>
            </a:ext>
          </a:extLst>
        </cdr:cNvPr>
        <cdr:cNvSpPr txBox="1"/>
      </cdr:nvSpPr>
      <cdr:spPr>
        <a:xfrm xmlns:a="http://schemas.openxmlformats.org/drawingml/2006/main">
          <a:off x="4807323" y="16285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MT</a:t>
          </a:r>
        </a:p>
      </cdr:txBody>
    </cdr:sp>
  </cdr:relSizeAnchor>
</c:userShapes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0.01451</cdr:x>
      <cdr:y>0.05175</cdr:y>
    </cdr:from>
    <cdr:to>
      <cdr:x>0.12539</cdr:x>
      <cdr:y>0.10733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411B462-2F0E-4C99-8FC4-C824AD2998FC}"/>
            </a:ext>
          </a:extLst>
        </cdr:cNvPr>
        <cdr:cNvSpPr txBox="1"/>
      </cdr:nvSpPr>
      <cdr:spPr>
        <a:xfrm xmlns:a="http://schemas.openxmlformats.org/drawingml/2006/main">
          <a:off x="78441" y="16696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g/ton</a:t>
          </a:r>
        </a:p>
      </cdr:txBody>
    </cdr:sp>
  </cdr:relSizeAnchor>
  <cdr:relSizeAnchor xmlns:cdr="http://schemas.openxmlformats.org/drawingml/2006/chartDrawing">
    <cdr:from>
      <cdr:x>0.88912</cdr:x>
      <cdr:y>0.05048</cdr:y>
    </cdr:from>
    <cdr:to>
      <cdr:x>1</cdr:x>
      <cdr:y>0.10606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9FD5FDD7-7029-4D9D-8660-6FA6944DDF53}"/>
            </a:ext>
          </a:extLst>
        </cdr:cNvPr>
        <cdr:cNvSpPr txBox="1"/>
      </cdr:nvSpPr>
      <cdr:spPr>
        <a:xfrm xmlns:a="http://schemas.openxmlformats.org/drawingml/2006/main">
          <a:off x="4807323" y="162859"/>
          <a:ext cx="599517" cy="1792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bg2">
                  <a:lumMod val="25000"/>
                </a:schemeClr>
              </a:solidFill>
            </a:rPr>
            <a:t>MT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ster%20File%20from%20SHE%20KPI%20on%20web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CG%20Chemicals\Envi%20Performance\Target\Target%202022%20-%202030\Revisit%20Target%202023%20-%202030\Target%202024\Review%20SCGC%20and%20Company%20target%202024_&#3611;&#3619;&#3633;&#3610;%20M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cgo365.sharepoint.com/SHE%20Office/1.Environmental%20and%20IH/2.Environmental/15.KPIs%20and%20Action%20Plan/2023/12%20Dec%2023/Dasboard%202023_Estima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cgo365.sharepoint.com/SHE%20Office/1.Environmental%20and%20IH/2.Environmental/15.KPIs%20and%20Action%20Plan/2023/Dasboard%20202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cgo365.sharepoint.com/SHE%20Office/1.Environmental%20and%20IH/2.Environmental/15.KPIs%20and%20Action%20Plan/2023/Dasboard%202023_Estimate%20(&#3651;&#3594;&#3657;&#3648;&#3593;&#3614;&#3634;&#3632;&#3648;&#3621;&#3586;%20&#3652;&#3617;&#3656;%20Copy%20Graph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CG%20Chemicals\Envi%20Performance\Target\Target%202022%20-%202030\Revisit%20Target%202023%20-%202030\Target%202023\Waste%20Normal-Special%202020-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CG%20Chemicals\Envi%20Performance\Target\Target%202022%20-%202030\Revisit%20Target%202023%20-%202030\Target%20by%20Factory\SCGC%20Eco%20Efficiency%20Target%202030_Rev0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cgo365.sharepoint.com/15.KPIs%20and%20Action%20Plan/2024/Envi%20Dashboard%202024_EstimateM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"/>
    </sheetNames>
    <sheetDataSet>
      <sheetData sheetId="0">
        <row r="15">
          <cell r="D15">
            <v>235440</v>
          </cell>
          <cell r="E15">
            <v>214287</v>
          </cell>
          <cell r="F15">
            <v>240157</v>
          </cell>
          <cell r="H15">
            <v>239150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D16">
            <v>159180.34</v>
          </cell>
          <cell r="E16">
            <v>145266.85</v>
          </cell>
          <cell r="F16">
            <v>54076.84</v>
          </cell>
          <cell r="H16">
            <v>6132.7190000000001</v>
          </cell>
          <cell r="I16">
            <v>0</v>
          </cell>
          <cell r="J16">
            <v>0</v>
          </cell>
          <cell r="L16">
            <v>0</v>
          </cell>
          <cell r="M16">
            <v>0</v>
          </cell>
          <cell r="N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D17">
            <v>165864.29999999999</v>
          </cell>
          <cell r="E17">
            <v>144372.95000000001</v>
          </cell>
          <cell r="F17">
            <v>182694.99</v>
          </cell>
          <cell r="H17">
            <v>197818.2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P17">
            <v>0</v>
          </cell>
          <cell r="Q17">
            <v>0</v>
          </cell>
          <cell r="R17">
            <v>0</v>
          </cell>
        </row>
        <row r="19">
          <cell r="D19">
            <v>757.57</v>
          </cell>
          <cell r="E19">
            <v>666.95</v>
          </cell>
          <cell r="F19">
            <v>779.59</v>
          </cell>
          <cell r="H19">
            <v>856.76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D20">
            <v>6519.68</v>
          </cell>
          <cell r="E20">
            <v>8061.68</v>
          </cell>
          <cell r="F20">
            <v>8182.08</v>
          </cell>
          <cell r="H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D21">
            <v>102985.09</v>
          </cell>
          <cell r="E21">
            <v>91532.37</v>
          </cell>
          <cell r="F21">
            <v>96333.69</v>
          </cell>
          <cell r="H21">
            <v>83152.3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D22">
            <v>14685.199000000001</v>
          </cell>
          <cell r="E22">
            <v>8901.3160000000007</v>
          </cell>
          <cell r="F22">
            <v>10005.102000000001</v>
          </cell>
          <cell r="H22">
            <v>8558.7620000000006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D23">
            <v>1885.8</v>
          </cell>
          <cell r="E23">
            <v>996.18</v>
          </cell>
          <cell r="F23">
            <v>1115.9000000000001</v>
          </cell>
          <cell r="H23">
            <v>1288.9000000000001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D25">
            <v>26349</v>
          </cell>
          <cell r="E25">
            <v>25398</v>
          </cell>
          <cell r="F25">
            <v>24330</v>
          </cell>
          <cell r="H25">
            <v>23769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P25">
            <v>0</v>
          </cell>
          <cell r="Q25">
            <v>0</v>
          </cell>
          <cell r="R25">
            <v>0</v>
          </cell>
        </row>
        <row r="27">
          <cell r="D27">
            <v>138964</v>
          </cell>
          <cell r="E27">
            <v>138700</v>
          </cell>
          <cell r="F27">
            <v>104291</v>
          </cell>
          <cell r="H27">
            <v>99132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D28">
            <v>111121.82</v>
          </cell>
          <cell r="E28">
            <v>96206.48</v>
          </cell>
          <cell r="F28">
            <v>125019.93</v>
          </cell>
          <cell r="H28">
            <v>102149.03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P28">
            <v>0</v>
          </cell>
          <cell r="Q28">
            <v>0</v>
          </cell>
          <cell r="R28">
            <v>0</v>
          </cell>
        </row>
        <row r="30">
          <cell r="D30">
            <v>7155.08</v>
          </cell>
          <cell r="E30">
            <v>2579.1999999999998</v>
          </cell>
          <cell r="F30">
            <v>9907.9599999999991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D31">
            <v>644.77</v>
          </cell>
          <cell r="E31">
            <v>484.93</v>
          </cell>
          <cell r="F31">
            <v>792.89</v>
          </cell>
          <cell r="H31">
            <v>359.56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D32">
            <v>12506.621999999999</v>
          </cell>
          <cell r="E32">
            <v>12176.861000000001</v>
          </cell>
          <cell r="F32">
            <v>11926.138999999999</v>
          </cell>
          <cell r="H32">
            <v>11233.093000000001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D33">
            <v>3893</v>
          </cell>
          <cell r="E33">
            <v>4079</v>
          </cell>
          <cell r="F33">
            <v>5156</v>
          </cell>
          <cell r="H33">
            <v>4095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D34">
            <v>7977.9</v>
          </cell>
          <cell r="E34">
            <v>8185</v>
          </cell>
          <cell r="F34">
            <v>9035</v>
          </cell>
          <cell r="H34">
            <v>6812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D35">
            <v>357.92</v>
          </cell>
          <cell r="E35">
            <v>303.005</v>
          </cell>
          <cell r="F35">
            <v>497.90499999999997</v>
          </cell>
          <cell r="H35">
            <v>446.11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D36">
            <v>3910.46</v>
          </cell>
          <cell r="E36">
            <v>3429.8359999999998</v>
          </cell>
          <cell r="F36">
            <v>2412.8490000000002</v>
          </cell>
          <cell r="H36">
            <v>1988.8720000000001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D37">
            <v>585.23</v>
          </cell>
          <cell r="E37">
            <v>428.71</v>
          </cell>
          <cell r="F37">
            <v>882.28</v>
          </cell>
          <cell r="H37">
            <v>648.41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D38">
            <v>1394.98</v>
          </cell>
          <cell r="E38">
            <v>1431.84</v>
          </cell>
          <cell r="F38">
            <v>1499.44</v>
          </cell>
          <cell r="H38">
            <v>1490.27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D39">
            <v>640.952</v>
          </cell>
          <cell r="E39">
            <v>464.29500000000002</v>
          </cell>
          <cell r="F39">
            <v>969.30499999999995</v>
          </cell>
          <cell r="H39">
            <v>669.13199999999995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D40">
            <v>814</v>
          </cell>
          <cell r="E40">
            <v>733.5</v>
          </cell>
          <cell r="F40">
            <v>556.6</v>
          </cell>
          <cell r="H40">
            <v>721.6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P40">
            <v>0</v>
          </cell>
          <cell r="Q40">
            <v>0</v>
          </cell>
          <cell r="R40">
            <v>0</v>
          </cell>
        </row>
        <row r="45">
          <cell r="D45">
            <v>164.28200000000001</v>
          </cell>
          <cell r="E45">
            <v>153.81299999999999</v>
          </cell>
          <cell r="F45">
            <v>163.98400000000001</v>
          </cell>
          <cell r="H45">
            <v>154.69300000000001</v>
          </cell>
          <cell r="I45">
            <v>0</v>
          </cell>
          <cell r="J45">
            <v>0</v>
          </cell>
          <cell r="L45">
            <v>0</v>
          </cell>
          <cell r="M45">
            <v>0</v>
          </cell>
          <cell r="N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D46">
            <v>1825.471</v>
          </cell>
          <cell r="E46">
            <v>2232.6469999999999</v>
          </cell>
          <cell r="F46">
            <v>2818.5050000000001</v>
          </cell>
          <cell r="H46">
            <v>2933.973</v>
          </cell>
          <cell r="I46">
            <v>0</v>
          </cell>
          <cell r="J46">
            <v>0</v>
          </cell>
          <cell r="L46">
            <v>0</v>
          </cell>
          <cell r="M46">
            <v>0</v>
          </cell>
          <cell r="N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D47">
            <v>2628.63</v>
          </cell>
          <cell r="E47">
            <v>2342.79</v>
          </cell>
          <cell r="F47">
            <v>2032.34</v>
          </cell>
          <cell r="H47">
            <v>1914.63</v>
          </cell>
          <cell r="I47">
            <v>0</v>
          </cell>
          <cell r="J47">
            <v>0</v>
          </cell>
          <cell r="L47">
            <v>0</v>
          </cell>
          <cell r="M47">
            <v>0</v>
          </cell>
          <cell r="N47">
            <v>0</v>
          </cell>
          <cell r="P47">
            <v>0</v>
          </cell>
          <cell r="Q47">
            <v>0</v>
          </cell>
          <cell r="R47">
            <v>0</v>
          </cell>
        </row>
        <row r="582">
          <cell r="D582">
            <v>844701</v>
          </cell>
          <cell r="E582">
            <v>775072</v>
          </cell>
          <cell r="F582">
            <v>894723</v>
          </cell>
          <cell r="H582">
            <v>867982</v>
          </cell>
          <cell r="I582">
            <v>0</v>
          </cell>
          <cell r="J582">
            <v>0</v>
          </cell>
          <cell r="L582">
            <v>0</v>
          </cell>
          <cell r="M582">
            <v>0</v>
          </cell>
          <cell r="N582">
            <v>0</v>
          </cell>
          <cell r="P582">
            <v>0</v>
          </cell>
          <cell r="Q582">
            <v>0</v>
          </cell>
          <cell r="R582">
            <v>0</v>
          </cell>
        </row>
        <row r="583">
          <cell r="D583">
            <v>505119.03</v>
          </cell>
          <cell r="E583">
            <v>477615.90100000001</v>
          </cell>
          <cell r="F583">
            <v>247397.02499999999</v>
          </cell>
          <cell r="H583">
            <v>41116.366999999998</v>
          </cell>
          <cell r="I583">
            <v>0</v>
          </cell>
          <cell r="J583">
            <v>0</v>
          </cell>
          <cell r="L583">
            <v>0</v>
          </cell>
          <cell r="M583">
            <v>0</v>
          </cell>
          <cell r="N583">
            <v>0</v>
          </cell>
          <cell r="P583">
            <v>0</v>
          </cell>
          <cell r="Q583">
            <v>0</v>
          </cell>
          <cell r="R583">
            <v>0</v>
          </cell>
        </row>
        <row r="584">
          <cell r="D584">
            <v>717535.67</v>
          </cell>
          <cell r="E584">
            <v>696930.17</v>
          </cell>
          <cell r="F584">
            <v>820048.62</v>
          </cell>
          <cell r="H584">
            <v>773580.87</v>
          </cell>
          <cell r="I584">
            <v>0</v>
          </cell>
          <cell r="J584">
            <v>0</v>
          </cell>
          <cell r="L584">
            <v>0</v>
          </cell>
          <cell r="M584">
            <v>0</v>
          </cell>
          <cell r="N584">
            <v>0</v>
          </cell>
          <cell r="P584">
            <v>0</v>
          </cell>
          <cell r="Q584">
            <v>0</v>
          </cell>
          <cell r="R584">
            <v>0</v>
          </cell>
        </row>
        <row r="586">
          <cell r="D586">
            <v>408</v>
          </cell>
          <cell r="E586">
            <v>264</v>
          </cell>
          <cell r="F586">
            <v>285</v>
          </cell>
          <cell r="H586">
            <v>339</v>
          </cell>
          <cell r="I586">
            <v>0</v>
          </cell>
          <cell r="J586">
            <v>0</v>
          </cell>
          <cell r="L586">
            <v>0</v>
          </cell>
          <cell r="M586">
            <v>0</v>
          </cell>
          <cell r="N586">
            <v>0</v>
          </cell>
          <cell r="P586">
            <v>0</v>
          </cell>
          <cell r="Q586">
            <v>0</v>
          </cell>
          <cell r="R586">
            <v>0</v>
          </cell>
        </row>
        <row r="587">
          <cell r="D587">
            <v>17617</v>
          </cell>
          <cell r="E587">
            <v>24289</v>
          </cell>
          <cell r="F587">
            <v>19923</v>
          </cell>
          <cell r="H587">
            <v>0</v>
          </cell>
          <cell r="I587">
            <v>0</v>
          </cell>
          <cell r="J587">
            <v>0</v>
          </cell>
          <cell r="L587">
            <v>0</v>
          </cell>
          <cell r="M587">
            <v>0</v>
          </cell>
          <cell r="N587">
            <v>0</v>
          </cell>
          <cell r="P587">
            <v>0</v>
          </cell>
          <cell r="Q587">
            <v>0</v>
          </cell>
          <cell r="R587">
            <v>0</v>
          </cell>
        </row>
        <row r="588">
          <cell r="D588">
            <v>266961.03000000003</v>
          </cell>
          <cell r="E588">
            <v>243445.99</v>
          </cell>
          <cell r="F588">
            <v>260259.62</v>
          </cell>
          <cell r="H588">
            <v>239726.65</v>
          </cell>
          <cell r="I588">
            <v>0</v>
          </cell>
          <cell r="J588">
            <v>0</v>
          </cell>
          <cell r="L588">
            <v>0</v>
          </cell>
          <cell r="M588">
            <v>0</v>
          </cell>
          <cell r="N588">
            <v>0</v>
          </cell>
          <cell r="P588">
            <v>0</v>
          </cell>
          <cell r="Q588">
            <v>0</v>
          </cell>
          <cell r="R588">
            <v>0</v>
          </cell>
        </row>
        <row r="589">
          <cell r="D589">
            <v>59914</v>
          </cell>
          <cell r="E589">
            <v>36951</v>
          </cell>
          <cell r="F589">
            <v>43063</v>
          </cell>
          <cell r="H589">
            <v>38860</v>
          </cell>
          <cell r="I589">
            <v>0</v>
          </cell>
          <cell r="J589">
            <v>0</v>
          </cell>
          <cell r="L589">
            <v>0</v>
          </cell>
          <cell r="M589">
            <v>0</v>
          </cell>
          <cell r="N589">
            <v>0</v>
          </cell>
          <cell r="P589">
            <v>0</v>
          </cell>
          <cell r="Q589">
            <v>0</v>
          </cell>
          <cell r="R589">
            <v>0</v>
          </cell>
        </row>
        <row r="590">
          <cell r="D590">
            <v>475</v>
          </cell>
          <cell r="E590">
            <v>308</v>
          </cell>
          <cell r="F590">
            <v>438</v>
          </cell>
          <cell r="H590">
            <v>414</v>
          </cell>
          <cell r="I590">
            <v>0</v>
          </cell>
          <cell r="J590">
            <v>0</v>
          </cell>
          <cell r="L590">
            <v>0</v>
          </cell>
          <cell r="M590">
            <v>0</v>
          </cell>
          <cell r="N590">
            <v>0</v>
          </cell>
          <cell r="P590">
            <v>0</v>
          </cell>
          <cell r="Q590">
            <v>0</v>
          </cell>
          <cell r="R590">
            <v>0</v>
          </cell>
        </row>
        <row r="592">
          <cell r="D592">
            <v>129295</v>
          </cell>
          <cell r="E592">
            <v>139864</v>
          </cell>
          <cell r="F592">
            <v>160619</v>
          </cell>
          <cell r="H592">
            <v>152281</v>
          </cell>
          <cell r="I592">
            <v>0</v>
          </cell>
          <cell r="J592">
            <v>0</v>
          </cell>
          <cell r="L592">
            <v>0</v>
          </cell>
          <cell r="M592">
            <v>0</v>
          </cell>
          <cell r="N592">
            <v>0</v>
          </cell>
          <cell r="P592">
            <v>0</v>
          </cell>
          <cell r="Q592">
            <v>0</v>
          </cell>
          <cell r="R592">
            <v>0</v>
          </cell>
        </row>
        <row r="594">
          <cell r="D594">
            <v>269064.15999999997</v>
          </cell>
          <cell r="E594">
            <v>256666.31</v>
          </cell>
          <cell r="F594">
            <v>212195.20000000001</v>
          </cell>
          <cell r="H594">
            <v>210543.42</v>
          </cell>
          <cell r="I594">
            <v>0</v>
          </cell>
          <cell r="J594">
            <v>0</v>
          </cell>
          <cell r="L594">
            <v>0</v>
          </cell>
          <cell r="M594">
            <v>0</v>
          </cell>
          <cell r="N594">
            <v>0</v>
          </cell>
          <cell r="P594">
            <v>0</v>
          </cell>
          <cell r="Q594">
            <v>0</v>
          </cell>
          <cell r="R594">
            <v>0</v>
          </cell>
        </row>
        <row r="595">
          <cell r="D595">
            <v>289496.93</v>
          </cell>
          <cell r="E595">
            <v>259678.05</v>
          </cell>
          <cell r="F595">
            <v>337091.1</v>
          </cell>
          <cell r="H595">
            <v>284631.90999999997</v>
          </cell>
          <cell r="I595">
            <v>0</v>
          </cell>
          <cell r="J595">
            <v>0</v>
          </cell>
          <cell r="L595">
            <v>0</v>
          </cell>
          <cell r="M595">
            <v>0</v>
          </cell>
          <cell r="N595">
            <v>0</v>
          </cell>
          <cell r="P595">
            <v>0</v>
          </cell>
          <cell r="Q595">
            <v>0</v>
          </cell>
          <cell r="R595">
            <v>0</v>
          </cell>
        </row>
        <row r="597">
          <cell r="D597">
            <v>3507</v>
          </cell>
          <cell r="E597">
            <v>3049</v>
          </cell>
          <cell r="F597">
            <v>3619</v>
          </cell>
          <cell r="H597">
            <v>0</v>
          </cell>
          <cell r="I597">
            <v>0</v>
          </cell>
          <cell r="J597">
            <v>0</v>
          </cell>
          <cell r="L597">
            <v>0</v>
          </cell>
          <cell r="M597">
            <v>0</v>
          </cell>
          <cell r="N597">
            <v>0</v>
          </cell>
          <cell r="P597">
            <v>0</v>
          </cell>
          <cell r="Q597">
            <v>0</v>
          </cell>
          <cell r="R597">
            <v>0</v>
          </cell>
        </row>
        <row r="598">
          <cell r="D598">
            <v>293</v>
          </cell>
          <cell r="E598">
            <v>238</v>
          </cell>
          <cell r="F598">
            <v>329</v>
          </cell>
          <cell r="H598">
            <v>236</v>
          </cell>
          <cell r="I598">
            <v>0</v>
          </cell>
          <cell r="J598">
            <v>0</v>
          </cell>
          <cell r="L598">
            <v>0</v>
          </cell>
          <cell r="M598">
            <v>0</v>
          </cell>
          <cell r="N598">
            <v>0</v>
          </cell>
          <cell r="P598">
            <v>0</v>
          </cell>
          <cell r="Q598">
            <v>0</v>
          </cell>
          <cell r="R598">
            <v>0</v>
          </cell>
        </row>
        <row r="599">
          <cell r="D599">
            <v>6055</v>
          </cell>
          <cell r="E599">
            <v>5568</v>
          </cell>
          <cell r="F599">
            <v>6048</v>
          </cell>
          <cell r="H599">
            <v>6021</v>
          </cell>
          <cell r="I599">
            <v>0</v>
          </cell>
          <cell r="J599">
            <v>0</v>
          </cell>
          <cell r="L599">
            <v>0</v>
          </cell>
          <cell r="M599">
            <v>0</v>
          </cell>
          <cell r="N599">
            <v>0</v>
          </cell>
          <cell r="P599">
            <v>0</v>
          </cell>
          <cell r="Q599">
            <v>0</v>
          </cell>
          <cell r="R599">
            <v>0</v>
          </cell>
        </row>
        <row r="600">
          <cell r="D600">
            <v>5315</v>
          </cell>
          <cell r="E600">
            <v>4987</v>
          </cell>
          <cell r="F600">
            <v>6000</v>
          </cell>
          <cell r="H600">
            <v>4871</v>
          </cell>
          <cell r="I600">
            <v>0</v>
          </cell>
          <cell r="J600">
            <v>0</v>
          </cell>
          <cell r="L600">
            <v>0</v>
          </cell>
          <cell r="M600">
            <v>0</v>
          </cell>
          <cell r="N600">
            <v>0</v>
          </cell>
          <cell r="P600">
            <v>0</v>
          </cell>
          <cell r="Q600">
            <v>0</v>
          </cell>
          <cell r="R600">
            <v>0</v>
          </cell>
        </row>
        <row r="601">
          <cell r="D601">
            <v>4804</v>
          </cell>
          <cell r="E601">
            <v>4810</v>
          </cell>
          <cell r="F601">
            <v>5720</v>
          </cell>
          <cell r="H601">
            <v>4745</v>
          </cell>
          <cell r="I601">
            <v>0</v>
          </cell>
          <cell r="J601">
            <v>0</v>
          </cell>
          <cell r="L601">
            <v>0</v>
          </cell>
          <cell r="M601">
            <v>0</v>
          </cell>
          <cell r="N601">
            <v>0</v>
          </cell>
          <cell r="P601">
            <v>0</v>
          </cell>
          <cell r="Q601">
            <v>0</v>
          </cell>
          <cell r="R601">
            <v>0</v>
          </cell>
        </row>
        <row r="602">
          <cell r="D602">
            <v>356</v>
          </cell>
          <cell r="E602">
            <v>378</v>
          </cell>
          <cell r="F602">
            <v>589</v>
          </cell>
          <cell r="H602">
            <v>418</v>
          </cell>
          <cell r="I602">
            <v>0</v>
          </cell>
          <cell r="J602">
            <v>0</v>
          </cell>
          <cell r="L602">
            <v>0</v>
          </cell>
          <cell r="M602">
            <v>0</v>
          </cell>
          <cell r="N602">
            <v>0</v>
          </cell>
          <cell r="P602">
            <v>0</v>
          </cell>
          <cell r="Q602">
            <v>0</v>
          </cell>
          <cell r="R602">
            <v>0</v>
          </cell>
        </row>
        <row r="603">
          <cell r="D603">
            <v>293.06200000000001</v>
          </cell>
          <cell r="E603">
            <v>431.43299999999999</v>
          </cell>
          <cell r="F603">
            <v>196.124</v>
          </cell>
          <cell r="H603">
            <v>253.81100000000001</v>
          </cell>
          <cell r="I603">
            <v>0</v>
          </cell>
          <cell r="J603">
            <v>0</v>
          </cell>
          <cell r="L603">
            <v>0</v>
          </cell>
          <cell r="M603">
            <v>0</v>
          </cell>
          <cell r="N603">
            <v>0</v>
          </cell>
          <cell r="P603">
            <v>0</v>
          </cell>
          <cell r="Q603">
            <v>0</v>
          </cell>
          <cell r="R603">
            <v>0</v>
          </cell>
        </row>
        <row r="604">
          <cell r="D604">
            <v>1259</v>
          </cell>
          <cell r="E604">
            <v>1029</v>
          </cell>
          <cell r="F604">
            <v>1128</v>
          </cell>
          <cell r="H604">
            <v>992</v>
          </cell>
          <cell r="I604">
            <v>0</v>
          </cell>
          <cell r="J604">
            <v>0</v>
          </cell>
          <cell r="L604">
            <v>0</v>
          </cell>
          <cell r="M604">
            <v>0</v>
          </cell>
          <cell r="N604">
            <v>0</v>
          </cell>
          <cell r="P604">
            <v>0</v>
          </cell>
          <cell r="Q604">
            <v>0</v>
          </cell>
          <cell r="R604">
            <v>0</v>
          </cell>
        </row>
        <row r="605">
          <cell r="D605">
            <v>3651</v>
          </cell>
          <cell r="E605">
            <v>3235</v>
          </cell>
          <cell r="F605">
            <v>3659</v>
          </cell>
          <cell r="H605">
            <v>3938</v>
          </cell>
          <cell r="I605">
            <v>0</v>
          </cell>
          <cell r="J605">
            <v>0</v>
          </cell>
          <cell r="L605">
            <v>0</v>
          </cell>
          <cell r="M605">
            <v>0</v>
          </cell>
          <cell r="N605">
            <v>0</v>
          </cell>
          <cell r="P605">
            <v>0</v>
          </cell>
          <cell r="Q605">
            <v>0</v>
          </cell>
          <cell r="R605">
            <v>0</v>
          </cell>
        </row>
        <row r="606">
          <cell r="D606">
            <v>1522</v>
          </cell>
          <cell r="E606">
            <v>1117</v>
          </cell>
          <cell r="F606">
            <v>1610</v>
          </cell>
          <cell r="H606">
            <v>1764</v>
          </cell>
          <cell r="I606">
            <v>0</v>
          </cell>
          <cell r="J606">
            <v>0</v>
          </cell>
          <cell r="L606">
            <v>0</v>
          </cell>
          <cell r="M606">
            <v>0</v>
          </cell>
          <cell r="N606">
            <v>0</v>
          </cell>
          <cell r="P606">
            <v>0</v>
          </cell>
          <cell r="Q606">
            <v>0</v>
          </cell>
          <cell r="R606">
            <v>0</v>
          </cell>
        </row>
        <row r="607">
          <cell r="D607">
            <v>907</v>
          </cell>
          <cell r="E607">
            <v>771</v>
          </cell>
          <cell r="F607">
            <v>1005</v>
          </cell>
          <cell r="H607">
            <v>718</v>
          </cell>
          <cell r="I607">
            <v>0</v>
          </cell>
          <cell r="J607">
            <v>0</v>
          </cell>
          <cell r="L607">
            <v>0</v>
          </cell>
          <cell r="M607">
            <v>0</v>
          </cell>
          <cell r="N607">
            <v>0</v>
          </cell>
          <cell r="P607">
            <v>0</v>
          </cell>
          <cell r="Q607">
            <v>0</v>
          </cell>
          <cell r="R607">
            <v>0</v>
          </cell>
        </row>
        <row r="609">
          <cell r="D609">
            <v>4456.18</v>
          </cell>
          <cell r="E609">
            <v>3336.78</v>
          </cell>
          <cell r="F609">
            <v>4341.72</v>
          </cell>
          <cell r="H609">
            <v>54149.3</v>
          </cell>
          <cell r="I609">
            <v>0</v>
          </cell>
          <cell r="J609">
            <v>0</v>
          </cell>
          <cell r="L609">
            <v>0</v>
          </cell>
          <cell r="M609">
            <v>0</v>
          </cell>
          <cell r="N609">
            <v>0</v>
          </cell>
          <cell r="P609">
            <v>0</v>
          </cell>
          <cell r="Q609">
            <v>0</v>
          </cell>
          <cell r="R609">
            <v>0</v>
          </cell>
        </row>
        <row r="612">
          <cell r="D612">
            <v>705</v>
          </cell>
          <cell r="E612">
            <v>10472</v>
          </cell>
          <cell r="F612">
            <v>741</v>
          </cell>
          <cell r="H612">
            <v>951</v>
          </cell>
          <cell r="I612">
            <v>0</v>
          </cell>
          <cell r="J612">
            <v>0</v>
          </cell>
          <cell r="L612">
            <v>0</v>
          </cell>
          <cell r="M612">
            <v>0</v>
          </cell>
          <cell r="N612">
            <v>0</v>
          </cell>
          <cell r="P612">
            <v>0</v>
          </cell>
          <cell r="Q612">
            <v>0</v>
          </cell>
          <cell r="R612">
            <v>0</v>
          </cell>
        </row>
        <row r="614">
          <cell r="D614">
            <v>14562</v>
          </cell>
          <cell r="E614">
            <v>13629</v>
          </cell>
          <cell r="F614">
            <v>13787</v>
          </cell>
          <cell r="H614">
            <v>14040</v>
          </cell>
          <cell r="I614">
            <v>0</v>
          </cell>
          <cell r="J614">
            <v>0</v>
          </cell>
          <cell r="L614">
            <v>0</v>
          </cell>
          <cell r="M614">
            <v>0</v>
          </cell>
          <cell r="N614">
            <v>0</v>
          </cell>
          <cell r="P614">
            <v>0</v>
          </cell>
          <cell r="Q614">
            <v>0</v>
          </cell>
          <cell r="R614">
            <v>0</v>
          </cell>
        </row>
        <row r="615">
          <cell r="D615">
            <v>9814.8310000000001</v>
          </cell>
          <cell r="E615">
            <v>10984.09</v>
          </cell>
          <cell r="F615">
            <v>7240.8670000000002</v>
          </cell>
          <cell r="H615">
            <v>0</v>
          </cell>
          <cell r="I615">
            <v>0</v>
          </cell>
          <cell r="J615">
            <v>0</v>
          </cell>
          <cell r="L615">
            <v>0</v>
          </cell>
          <cell r="M615">
            <v>0</v>
          </cell>
          <cell r="N615">
            <v>0</v>
          </cell>
          <cell r="P615">
            <v>0</v>
          </cell>
          <cell r="Q615">
            <v>0</v>
          </cell>
          <cell r="R615">
            <v>0</v>
          </cell>
        </row>
        <row r="617">
          <cell r="D617">
            <v>680</v>
          </cell>
          <cell r="E617">
            <v>536.4</v>
          </cell>
          <cell r="F617">
            <v>520.79999999999995</v>
          </cell>
          <cell r="H617">
            <v>732.2</v>
          </cell>
          <cell r="I617">
            <v>0</v>
          </cell>
          <cell r="J617">
            <v>0</v>
          </cell>
          <cell r="L617">
            <v>0</v>
          </cell>
          <cell r="M617">
            <v>0</v>
          </cell>
          <cell r="N617">
            <v>0</v>
          </cell>
          <cell r="P617">
            <v>0</v>
          </cell>
          <cell r="Q617">
            <v>0</v>
          </cell>
          <cell r="R617">
            <v>0</v>
          </cell>
        </row>
        <row r="618">
          <cell r="D618">
            <v>2025</v>
          </cell>
          <cell r="E618">
            <v>2003</v>
          </cell>
          <cell r="F618">
            <v>1989</v>
          </cell>
          <cell r="H618">
            <v>2069</v>
          </cell>
          <cell r="I618">
            <v>0</v>
          </cell>
          <cell r="J618">
            <v>0</v>
          </cell>
          <cell r="L618">
            <v>0</v>
          </cell>
          <cell r="M618">
            <v>0</v>
          </cell>
          <cell r="N618">
            <v>0</v>
          </cell>
          <cell r="P618">
            <v>0</v>
          </cell>
          <cell r="Q618">
            <v>0</v>
          </cell>
          <cell r="R618">
            <v>0</v>
          </cell>
        </row>
        <row r="619">
          <cell r="D619">
            <v>1250</v>
          </cell>
          <cell r="E619">
            <v>1144</v>
          </cell>
          <cell r="F619">
            <v>1294</v>
          </cell>
          <cell r="H619">
            <v>956</v>
          </cell>
          <cell r="I619">
            <v>0</v>
          </cell>
          <cell r="J619">
            <v>0</v>
          </cell>
          <cell r="L619">
            <v>0</v>
          </cell>
          <cell r="M619">
            <v>0</v>
          </cell>
          <cell r="N619">
            <v>0</v>
          </cell>
          <cell r="P619">
            <v>0</v>
          </cell>
          <cell r="Q619">
            <v>0</v>
          </cell>
          <cell r="R619">
            <v>0</v>
          </cell>
        </row>
        <row r="955">
          <cell r="D955">
            <v>1661000</v>
          </cell>
          <cell r="E955">
            <v>1500000</v>
          </cell>
          <cell r="F955">
            <v>1661000</v>
          </cell>
          <cell r="H955">
            <v>1607000</v>
          </cell>
          <cell r="I955">
            <v>0</v>
          </cell>
          <cell r="J955">
            <v>0</v>
          </cell>
          <cell r="L955">
            <v>0</v>
          </cell>
          <cell r="M955">
            <v>0</v>
          </cell>
          <cell r="N955">
            <v>0</v>
          </cell>
          <cell r="P955">
            <v>0</v>
          </cell>
          <cell r="Q955">
            <v>0</v>
          </cell>
          <cell r="R955">
            <v>0</v>
          </cell>
        </row>
        <row r="956">
          <cell r="D956">
            <v>32140</v>
          </cell>
          <cell r="E956">
            <v>29030</v>
          </cell>
          <cell r="F956">
            <v>32140</v>
          </cell>
          <cell r="H956">
            <v>31100</v>
          </cell>
          <cell r="I956">
            <v>0</v>
          </cell>
          <cell r="J956">
            <v>0</v>
          </cell>
          <cell r="L956">
            <v>0</v>
          </cell>
          <cell r="M956">
            <v>0</v>
          </cell>
          <cell r="N956">
            <v>0</v>
          </cell>
          <cell r="P956">
            <v>0</v>
          </cell>
          <cell r="Q956">
            <v>0</v>
          </cell>
          <cell r="R956">
            <v>0</v>
          </cell>
        </row>
        <row r="957">
          <cell r="D957">
            <v>800620</v>
          </cell>
          <cell r="E957">
            <v>1009170</v>
          </cell>
          <cell r="F957">
            <v>1160560</v>
          </cell>
          <cell r="H957">
            <v>1012510</v>
          </cell>
          <cell r="I957">
            <v>0</v>
          </cell>
          <cell r="J957">
            <v>0</v>
          </cell>
          <cell r="L957">
            <v>0</v>
          </cell>
          <cell r="M957">
            <v>0</v>
          </cell>
          <cell r="N957">
            <v>0</v>
          </cell>
          <cell r="P957">
            <v>0</v>
          </cell>
          <cell r="Q957">
            <v>0</v>
          </cell>
          <cell r="R957">
            <v>0</v>
          </cell>
        </row>
        <row r="959">
          <cell r="D959">
            <v>280522.62589999998</v>
          </cell>
          <cell r="E959">
            <v>372707.31300000002</v>
          </cell>
          <cell r="F959">
            <v>364749.07459999999</v>
          </cell>
          <cell r="H959">
            <v>0</v>
          </cell>
          <cell r="I959">
            <v>0</v>
          </cell>
          <cell r="J959">
            <v>0</v>
          </cell>
          <cell r="L959">
            <v>0</v>
          </cell>
          <cell r="M959">
            <v>0</v>
          </cell>
          <cell r="N959">
            <v>0</v>
          </cell>
          <cell r="P959">
            <v>0</v>
          </cell>
          <cell r="Q959">
            <v>0</v>
          </cell>
          <cell r="R959">
            <v>0</v>
          </cell>
        </row>
        <row r="960">
          <cell r="D960">
            <v>161210</v>
          </cell>
          <cell r="E960">
            <v>149310</v>
          </cell>
          <cell r="F960">
            <v>104980</v>
          </cell>
          <cell r="H960">
            <v>92636.506800000003</v>
          </cell>
          <cell r="I960">
            <v>0</v>
          </cell>
          <cell r="J960">
            <v>0</v>
          </cell>
          <cell r="L960">
            <v>0</v>
          </cell>
          <cell r="M960">
            <v>0</v>
          </cell>
          <cell r="N960">
            <v>0</v>
          </cell>
          <cell r="P960">
            <v>0</v>
          </cell>
          <cell r="Q960">
            <v>0</v>
          </cell>
          <cell r="R960">
            <v>0</v>
          </cell>
        </row>
        <row r="961">
          <cell r="D961">
            <v>2748000</v>
          </cell>
          <cell r="E961">
            <v>1678000</v>
          </cell>
          <cell r="F961">
            <v>478000</v>
          </cell>
          <cell r="H961">
            <v>403000</v>
          </cell>
          <cell r="I961">
            <v>0</v>
          </cell>
          <cell r="J961">
            <v>0</v>
          </cell>
          <cell r="L961">
            <v>0</v>
          </cell>
          <cell r="M961">
            <v>0</v>
          </cell>
          <cell r="N961">
            <v>0</v>
          </cell>
          <cell r="P961">
            <v>0</v>
          </cell>
          <cell r="Q961">
            <v>0</v>
          </cell>
          <cell r="R961">
            <v>0</v>
          </cell>
        </row>
        <row r="964">
          <cell r="D964">
            <v>10944.5789</v>
          </cell>
          <cell r="E964">
            <v>10060</v>
          </cell>
          <cell r="F964">
            <v>35938</v>
          </cell>
          <cell r="H964">
            <v>40807</v>
          </cell>
          <cell r="I964">
            <v>0</v>
          </cell>
          <cell r="J964">
            <v>0</v>
          </cell>
          <cell r="L964">
            <v>0</v>
          </cell>
          <cell r="M964">
            <v>0</v>
          </cell>
          <cell r="N964">
            <v>0</v>
          </cell>
          <cell r="P964">
            <v>0</v>
          </cell>
          <cell r="Q964">
            <v>0</v>
          </cell>
          <cell r="R964">
            <v>0</v>
          </cell>
        </row>
        <row r="966">
          <cell r="D966">
            <v>583880</v>
          </cell>
          <cell r="E966">
            <v>161840</v>
          </cell>
          <cell r="F966">
            <v>237740</v>
          </cell>
          <cell r="H966">
            <v>0</v>
          </cell>
          <cell r="I966">
            <v>0</v>
          </cell>
          <cell r="J966">
            <v>0</v>
          </cell>
          <cell r="L966">
            <v>0</v>
          </cell>
          <cell r="M966">
            <v>0</v>
          </cell>
          <cell r="N966">
            <v>0</v>
          </cell>
          <cell r="P966">
            <v>0</v>
          </cell>
          <cell r="Q966">
            <v>0</v>
          </cell>
          <cell r="R966">
            <v>0</v>
          </cell>
        </row>
        <row r="969">
          <cell r="D969">
            <v>490</v>
          </cell>
          <cell r="E969">
            <v>440</v>
          </cell>
          <cell r="F969">
            <v>490</v>
          </cell>
          <cell r="H969">
            <v>470</v>
          </cell>
          <cell r="I969">
            <v>0</v>
          </cell>
          <cell r="J969">
            <v>0</v>
          </cell>
          <cell r="L969">
            <v>0</v>
          </cell>
          <cell r="M969">
            <v>0</v>
          </cell>
          <cell r="N969">
            <v>0</v>
          </cell>
          <cell r="P969">
            <v>0</v>
          </cell>
          <cell r="Q969">
            <v>0</v>
          </cell>
          <cell r="R969">
            <v>0</v>
          </cell>
        </row>
        <row r="970">
          <cell r="D970">
            <v>3010</v>
          </cell>
          <cell r="E970">
            <v>3010</v>
          </cell>
          <cell r="F970">
            <v>3340</v>
          </cell>
          <cell r="H970">
            <v>2470</v>
          </cell>
          <cell r="I970">
            <v>0</v>
          </cell>
          <cell r="J970">
            <v>0</v>
          </cell>
          <cell r="L970">
            <v>0</v>
          </cell>
          <cell r="M970">
            <v>0</v>
          </cell>
          <cell r="N970">
            <v>0</v>
          </cell>
          <cell r="P970">
            <v>0</v>
          </cell>
          <cell r="Q970">
            <v>0</v>
          </cell>
          <cell r="R970">
            <v>0</v>
          </cell>
        </row>
        <row r="972">
          <cell r="D972">
            <v>9600.7582000000002</v>
          </cell>
          <cell r="E972">
            <v>7744.8045000000002</v>
          </cell>
          <cell r="F972">
            <v>6163.7646999999997</v>
          </cell>
          <cell r="H972">
            <v>4737.7426999999998</v>
          </cell>
          <cell r="I972">
            <v>0</v>
          </cell>
          <cell r="J972">
            <v>0</v>
          </cell>
          <cell r="L972">
            <v>0</v>
          </cell>
          <cell r="M972">
            <v>0</v>
          </cell>
          <cell r="N972">
            <v>0</v>
          </cell>
          <cell r="P972">
            <v>0</v>
          </cell>
          <cell r="Q972">
            <v>0</v>
          </cell>
          <cell r="R972">
            <v>0</v>
          </cell>
        </row>
        <row r="982">
          <cell r="D982">
            <v>51450</v>
          </cell>
          <cell r="E982">
            <v>67390</v>
          </cell>
          <cell r="F982">
            <v>78590</v>
          </cell>
          <cell r="H982">
            <v>79530</v>
          </cell>
          <cell r="I982">
            <v>0</v>
          </cell>
          <cell r="J982">
            <v>0</v>
          </cell>
          <cell r="L982">
            <v>0</v>
          </cell>
          <cell r="M982">
            <v>0</v>
          </cell>
          <cell r="N982">
            <v>0</v>
          </cell>
          <cell r="P982">
            <v>0</v>
          </cell>
          <cell r="Q982">
            <v>0</v>
          </cell>
          <cell r="R982">
            <v>0</v>
          </cell>
        </row>
        <row r="983">
          <cell r="E983">
            <v>10970</v>
          </cell>
          <cell r="F983">
            <v>11880</v>
          </cell>
          <cell r="H983">
            <v>10050</v>
          </cell>
          <cell r="I983">
            <v>0</v>
          </cell>
          <cell r="J983">
            <v>0</v>
          </cell>
          <cell r="L983">
            <v>0</v>
          </cell>
          <cell r="M983">
            <v>0</v>
          </cell>
          <cell r="N983">
            <v>0</v>
          </cell>
          <cell r="P983">
            <v>0</v>
          </cell>
          <cell r="Q983">
            <v>0</v>
          </cell>
          <cell r="R983">
            <v>0</v>
          </cell>
        </row>
        <row r="1023">
          <cell r="D1023">
            <v>2624180</v>
          </cell>
          <cell r="E1023">
            <v>1486800</v>
          </cell>
          <cell r="F1023">
            <v>512190</v>
          </cell>
          <cell r="H1023">
            <v>37990</v>
          </cell>
          <cell r="I1023">
            <v>0</v>
          </cell>
          <cell r="J1023">
            <v>0</v>
          </cell>
          <cell r="L1023">
            <v>0</v>
          </cell>
          <cell r="M1023">
            <v>0</v>
          </cell>
          <cell r="N1023">
            <v>0</v>
          </cell>
          <cell r="P1023">
            <v>0</v>
          </cell>
          <cell r="Q1023">
            <v>0</v>
          </cell>
          <cell r="R1023">
            <v>0</v>
          </cell>
        </row>
        <row r="1024">
          <cell r="D1024">
            <v>0</v>
          </cell>
          <cell r="E1024">
            <v>500</v>
          </cell>
          <cell r="F1024">
            <v>330</v>
          </cell>
          <cell r="H1024">
            <v>0</v>
          </cell>
          <cell r="I1024">
            <v>0</v>
          </cell>
          <cell r="J1024">
            <v>0</v>
          </cell>
          <cell r="L1024">
            <v>0</v>
          </cell>
          <cell r="M1024">
            <v>0</v>
          </cell>
          <cell r="N1024">
            <v>0</v>
          </cell>
          <cell r="P1024">
            <v>0</v>
          </cell>
          <cell r="Q1024">
            <v>0</v>
          </cell>
          <cell r="R1024">
            <v>0</v>
          </cell>
        </row>
        <row r="1025">
          <cell r="D1025">
            <v>5073780</v>
          </cell>
          <cell r="E1025">
            <v>10484760</v>
          </cell>
          <cell r="F1025">
            <v>7487490</v>
          </cell>
          <cell r="H1025">
            <v>11503110</v>
          </cell>
          <cell r="I1025">
            <v>0</v>
          </cell>
          <cell r="J1025">
            <v>0</v>
          </cell>
          <cell r="L1025">
            <v>0</v>
          </cell>
          <cell r="M1025">
            <v>0</v>
          </cell>
          <cell r="N1025">
            <v>0</v>
          </cell>
          <cell r="P1025">
            <v>0</v>
          </cell>
          <cell r="Q1025">
            <v>0</v>
          </cell>
          <cell r="R1025">
            <v>0</v>
          </cell>
        </row>
        <row r="1026">
          <cell r="D1026">
            <v>0</v>
          </cell>
          <cell r="E1026">
            <v>0</v>
          </cell>
          <cell r="F1026">
            <v>0</v>
          </cell>
          <cell r="H1026">
            <v>0</v>
          </cell>
          <cell r="I1026">
            <v>0</v>
          </cell>
          <cell r="J1026">
            <v>0</v>
          </cell>
          <cell r="L1026">
            <v>0</v>
          </cell>
          <cell r="M1026">
            <v>0</v>
          </cell>
          <cell r="N1026">
            <v>0</v>
          </cell>
          <cell r="P1026">
            <v>0</v>
          </cell>
          <cell r="Q1026">
            <v>0</v>
          </cell>
          <cell r="R1026">
            <v>0</v>
          </cell>
        </row>
        <row r="1027">
          <cell r="D1027">
            <v>83650.868799999997</v>
          </cell>
          <cell r="E1027">
            <v>111140.0211</v>
          </cell>
          <cell r="F1027">
            <v>108766.9022</v>
          </cell>
          <cell r="H1027">
            <v>0</v>
          </cell>
          <cell r="I1027">
            <v>0</v>
          </cell>
          <cell r="J1027">
            <v>0</v>
          </cell>
          <cell r="L1027">
            <v>0</v>
          </cell>
          <cell r="M1027">
            <v>0</v>
          </cell>
          <cell r="N1027">
            <v>0</v>
          </cell>
          <cell r="P1027">
            <v>0</v>
          </cell>
          <cell r="Q1027">
            <v>0</v>
          </cell>
          <cell r="R1027">
            <v>0</v>
          </cell>
        </row>
        <row r="1028">
          <cell r="D1028">
            <v>0</v>
          </cell>
          <cell r="E1028">
            <v>0</v>
          </cell>
          <cell r="F1028">
            <v>0</v>
          </cell>
          <cell r="H1028">
            <v>0</v>
          </cell>
          <cell r="I1028">
            <v>0</v>
          </cell>
          <cell r="J1028">
            <v>0</v>
          </cell>
          <cell r="L1028">
            <v>0</v>
          </cell>
          <cell r="M1028">
            <v>0</v>
          </cell>
          <cell r="N1028">
            <v>0</v>
          </cell>
          <cell r="P1028">
            <v>0</v>
          </cell>
          <cell r="Q1028">
            <v>0</v>
          </cell>
          <cell r="R1028">
            <v>0</v>
          </cell>
        </row>
        <row r="1029">
          <cell r="D1029">
            <v>2919000</v>
          </cell>
          <cell r="E1029">
            <v>1625000</v>
          </cell>
          <cell r="F1029">
            <v>1150000</v>
          </cell>
          <cell r="H1029">
            <v>913000</v>
          </cell>
          <cell r="I1029">
            <v>0</v>
          </cell>
          <cell r="J1029">
            <v>0</v>
          </cell>
          <cell r="L1029">
            <v>0</v>
          </cell>
          <cell r="M1029">
            <v>0</v>
          </cell>
          <cell r="N1029">
            <v>0</v>
          </cell>
          <cell r="P1029">
            <v>0</v>
          </cell>
          <cell r="Q1029">
            <v>0</v>
          </cell>
          <cell r="R1029">
            <v>0</v>
          </cell>
        </row>
        <row r="1030">
          <cell r="D1030">
            <v>0</v>
          </cell>
          <cell r="E1030">
            <v>0</v>
          </cell>
          <cell r="F1030">
            <v>0</v>
          </cell>
          <cell r="H1030">
            <v>0</v>
          </cell>
          <cell r="I1030">
            <v>0</v>
          </cell>
          <cell r="J1030">
            <v>0</v>
          </cell>
          <cell r="L1030">
            <v>0</v>
          </cell>
          <cell r="M1030">
            <v>0</v>
          </cell>
          <cell r="N1030">
            <v>0</v>
          </cell>
          <cell r="P1030">
            <v>0</v>
          </cell>
          <cell r="Q1030">
            <v>0</v>
          </cell>
          <cell r="R1030">
            <v>0</v>
          </cell>
        </row>
        <row r="1031">
          <cell r="D1031">
            <v>0</v>
          </cell>
          <cell r="E1031">
            <v>0</v>
          </cell>
          <cell r="F1031">
            <v>0</v>
          </cell>
          <cell r="H1031">
            <v>0</v>
          </cell>
          <cell r="I1031">
            <v>0</v>
          </cell>
          <cell r="J1031">
            <v>0</v>
          </cell>
          <cell r="L1031">
            <v>0</v>
          </cell>
          <cell r="M1031">
            <v>0</v>
          </cell>
          <cell r="N1031">
            <v>0</v>
          </cell>
          <cell r="P1031">
            <v>0</v>
          </cell>
          <cell r="Q1031">
            <v>0</v>
          </cell>
          <cell r="R1031">
            <v>0</v>
          </cell>
        </row>
        <row r="1032">
          <cell r="D1032">
            <v>0</v>
          </cell>
          <cell r="E1032">
            <v>0</v>
          </cell>
          <cell r="F1032">
            <v>0</v>
          </cell>
          <cell r="H1032">
            <v>0</v>
          </cell>
          <cell r="I1032">
            <v>0</v>
          </cell>
          <cell r="J1032">
            <v>0</v>
          </cell>
          <cell r="L1032">
            <v>0</v>
          </cell>
          <cell r="M1032">
            <v>0</v>
          </cell>
          <cell r="N1032">
            <v>0</v>
          </cell>
          <cell r="P1032">
            <v>0</v>
          </cell>
          <cell r="Q1032">
            <v>0</v>
          </cell>
          <cell r="R1032">
            <v>0</v>
          </cell>
        </row>
        <row r="1033">
          <cell r="D1033">
            <v>0</v>
          </cell>
          <cell r="E1033">
            <v>0</v>
          </cell>
          <cell r="F1033">
            <v>0</v>
          </cell>
          <cell r="H1033">
            <v>0</v>
          </cell>
          <cell r="I1033">
            <v>0</v>
          </cell>
          <cell r="J1033">
            <v>0</v>
          </cell>
          <cell r="L1033">
            <v>0</v>
          </cell>
          <cell r="M1033">
            <v>0</v>
          </cell>
          <cell r="N1033">
            <v>0</v>
          </cell>
          <cell r="P1033">
            <v>0</v>
          </cell>
          <cell r="Q1033">
            <v>0</v>
          </cell>
          <cell r="R1033">
            <v>0</v>
          </cell>
        </row>
        <row r="1034">
          <cell r="D1034">
            <v>0</v>
          </cell>
          <cell r="E1034">
            <v>0</v>
          </cell>
          <cell r="F1034">
            <v>0</v>
          </cell>
          <cell r="H1034">
            <v>0</v>
          </cell>
          <cell r="I1034">
            <v>0</v>
          </cell>
          <cell r="J1034">
            <v>0</v>
          </cell>
          <cell r="L1034">
            <v>0</v>
          </cell>
          <cell r="M1034">
            <v>0</v>
          </cell>
          <cell r="N1034">
            <v>0</v>
          </cell>
          <cell r="P1034">
            <v>0</v>
          </cell>
          <cell r="Q1034">
            <v>0</v>
          </cell>
          <cell r="R1034">
            <v>0</v>
          </cell>
        </row>
        <row r="1035">
          <cell r="D1035">
            <v>0</v>
          </cell>
          <cell r="E1035">
            <v>0</v>
          </cell>
          <cell r="F1035">
            <v>0</v>
          </cell>
          <cell r="H1035">
            <v>0</v>
          </cell>
          <cell r="I1035">
            <v>0</v>
          </cell>
          <cell r="J1035">
            <v>0</v>
          </cell>
          <cell r="L1035">
            <v>0</v>
          </cell>
          <cell r="M1035">
            <v>0</v>
          </cell>
          <cell r="N1035">
            <v>0</v>
          </cell>
          <cell r="P1035">
            <v>0</v>
          </cell>
          <cell r="Q1035">
            <v>0</v>
          </cell>
          <cell r="R1035">
            <v>0</v>
          </cell>
        </row>
        <row r="1036">
          <cell r="D1036">
            <v>0</v>
          </cell>
          <cell r="E1036">
            <v>0</v>
          </cell>
          <cell r="F1036">
            <v>0</v>
          </cell>
          <cell r="H1036">
            <v>0</v>
          </cell>
          <cell r="I1036">
            <v>0</v>
          </cell>
          <cell r="J1036">
            <v>0</v>
          </cell>
          <cell r="L1036">
            <v>0</v>
          </cell>
          <cell r="M1036">
            <v>0</v>
          </cell>
          <cell r="N1036">
            <v>0</v>
          </cell>
          <cell r="P1036">
            <v>0</v>
          </cell>
          <cell r="Q1036">
            <v>0</v>
          </cell>
          <cell r="R1036">
            <v>0</v>
          </cell>
        </row>
        <row r="1037">
          <cell r="D1037">
            <v>0</v>
          </cell>
          <cell r="E1037">
            <v>0</v>
          </cell>
          <cell r="F1037">
            <v>0</v>
          </cell>
          <cell r="H1037">
            <v>0</v>
          </cell>
          <cell r="I1037">
            <v>0</v>
          </cell>
          <cell r="J1037">
            <v>0</v>
          </cell>
          <cell r="L1037">
            <v>0</v>
          </cell>
          <cell r="M1037">
            <v>0</v>
          </cell>
          <cell r="N1037">
            <v>0</v>
          </cell>
          <cell r="P1037">
            <v>0</v>
          </cell>
          <cell r="Q1037">
            <v>0</v>
          </cell>
          <cell r="R1037">
            <v>0</v>
          </cell>
        </row>
        <row r="1038">
          <cell r="D1038">
            <v>0</v>
          </cell>
          <cell r="E1038">
            <v>0</v>
          </cell>
          <cell r="F1038">
            <v>0</v>
          </cell>
          <cell r="H1038">
            <v>0</v>
          </cell>
          <cell r="I1038">
            <v>0</v>
          </cell>
          <cell r="J1038">
            <v>0</v>
          </cell>
          <cell r="L1038">
            <v>0</v>
          </cell>
          <cell r="M1038">
            <v>0</v>
          </cell>
          <cell r="N1038">
            <v>0</v>
          </cell>
          <cell r="P1038">
            <v>0</v>
          </cell>
          <cell r="Q1038">
            <v>0</v>
          </cell>
          <cell r="R1038">
            <v>0</v>
          </cell>
        </row>
        <row r="1039">
          <cell r="D1039">
            <v>0</v>
          </cell>
          <cell r="E1039">
            <v>0</v>
          </cell>
          <cell r="F1039">
            <v>0</v>
          </cell>
          <cell r="H1039">
            <v>0</v>
          </cell>
          <cell r="I1039">
            <v>0</v>
          </cell>
          <cell r="J1039">
            <v>0</v>
          </cell>
          <cell r="L1039">
            <v>0</v>
          </cell>
          <cell r="M1039">
            <v>0</v>
          </cell>
          <cell r="N1039">
            <v>0</v>
          </cell>
          <cell r="P1039">
            <v>0</v>
          </cell>
          <cell r="Q1039">
            <v>0</v>
          </cell>
          <cell r="R1039">
            <v>0</v>
          </cell>
        </row>
        <row r="1040">
          <cell r="D1040">
            <v>0</v>
          </cell>
          <cell r="E1040">
            <v>0</v>
          </cell>
          <cell r="F1040">
            <v>0</v>
          </cell>
          <cell r="H1040">
            <v>0</v>
          </cell>
          <cell r="I1040">
            <v>0</v>
          </cell>
          <cell r="J1040">
            <v>0</v>
          </cell>
          <cell r="L1040">
            <v>0</v>
          </cell>
          <cell r="M1040">
            <v>0</v>
          </cell>
          <cell r="N1040">
            <v>0</v>
          </cell>
          <cell r="P1040">
            <v>0</v>
          </cell>
          <cell r="Q1040">
            <v>0</v>
          </cell>
          <cell r="R1040">
            <v>0</v>
          </cell>
        </row>
        <row r="1041">
          <cell r="D1041">
            <v>3010</v>
          </cell>
          <cell r="E1041">
            <v>2770</v>
          </cell>
          <cell r="F1041">
            <v>3070</v>
          </cell>
          <cell r="H1041">
            <v>2980</v>
          </cell>
          <cell r="I1041">
            <v>0</v>
          </cell>
          <cell r="J1041">
            <v>0</v>
          </cell>
          <cell r="L1041">
            <v>0</v>
          </cell>
          <cell r="M1041">
            <v>0</v>
          </cell>
          <cell r="N1041">
            <v>0</v>
          </cell>
          <cell r="P1041">
            <v>0</v>
          </cell>
          <cell r="Q1041">
            <v>0</v>
          </cell>
          <cell r="R1041">
            <v>0</v>
          </cell>
        </row>
        <row r="1042">
          <cell r="D1042">
            <v>0</v>
          </cell>
          <cell r="E1042">
            <v>0</v>
          </cell>
          <cell r="F1042">
            <v>0</v>
          </cell>
          <cell r="H1042">
            <v>0</v>
          </cell>
          <cell r="I1042">
            <v>0</v>
          </cell>
          <cell r="J1042">
            <v>0</v>
          </cell>
          <cell r="L1042">
            <v>0</v>
          </cell>
          <cell r="M1042">
            <v>0</v>
          </cell>
          <cell r="N1042">
            <v>0</v>
          </cell>
          <cell r="P1042">
            <v>0</v>
          </cell>
          <cell r="Q1042">
            <v>0</v>
          </cell>
          <cell r="R1042">
            <v>0</v>
          </cell>
        </row>
        <row r="1043">
          <cell r="D1043">
            <v>0</v>
          </cell>
          <cell r="E1043">
            <v>0</v>
          </cell>
          <cell r="F1043">
            <v>0</v>
          </cell>
          <cell r="H1043">
            <v>0</v>
          </cell>
          <cell r="I1043">
            <v>0</v>
          </cell>
          <cell r="J1043">
            <v>0</v>
          </cell>
          <cell r="L1043">
            <v>0</v>
          </cell>
          <cell r="M1043">
            <v>0</v>
          </cell>
          <cell r="N1043">
            <v>0</v>
          </cell>
          <cell r="P1043">
            <v>0</v>
          </cell>
          <cell r="Q1043">
            <v>0</v>
          </cell>
          <cell r="R1043">
            <v>0</v>
          </cell>
        </row>
        <row r="1044">
          <cell r="D1044">
            <v>0</v>
          </cell>
          <cell r="E1044">
            <v>0</v>
          </cell>
          <cell r="F1044">
            <v>0</v>
          </cell>
          <cell r="H1044">
            <v>0</v>
          </cell>
          <cell r="I1044">
            <v>0</v>
          </cell>
          <cell r="J1044">
            <v>0</v>
          </cell>
          <cell r="L1044">
            <v>0</v>
          </cell>
          <cell r="M1044">
            <v>0</v>
          </cell>
          <cell r="N1044">
            <v>0</v>
          </cell>
          <cell r="P1044">
            <v>0</v>
          </cell>
          <cell r="Q1044">
            <v>0</v>
          </cell>
          <cell r="R1044">
            <v>0</v>
          </cell>
        </row>
        <row r="1045">
          <cell r="D1045">
            <v>0</v>
          </cell>
          <cell r="E1045">
            <v>0</v>
          </cell>
          <cell r="F1045">
            <v>0</v>
          </cell>
          <cell r="H1045">
            <v>0</v>
          </cell>
          <cell r="I1045">
            <v>0</v>
          </cell>
          <cell r="J1045">
            <v>0</v>
          </cell>
          <cell r="L1045">
            <v>0</v>
          </cell>
          <cell r="M1045">
            <v>0</v>
          </cell>
          <cell r="N1045">
            <v>0</v>
          </cell>
          <cell r="P1045">
            <v>0</v>
          </cell>
          <cell r="Q1045">
            <v>0</v>
          </cell>
          <cell r="R1045">
            <v>0</v>
          </cell>
        </row>
        <row r="1048">
          <cell r="D1048">
            <v>0</v>
          </cell>
          <cell r="E1048">
            <v>0</v>
          </cell>
          <cell r="F1048">
            <v>0</v>
          </cell>
          <cell r="H1048">
            <v>0</v>
          </cell>
          <cell r="I1048">
            <v>0</v>
          </cell>
          <cell r="J1048">
            <v>0</v>
          </cell>
          <cell r="L1048">
            <v>0</v>
          </cell>
          <cell r="M1048">
            <v>0</v>
          </cell>
          <cell r="N1048">
            <v>0</v>
          </cell>
          <cell r="P1048">
            <v>0</v>
          </cell>
          <cell r="Q1048">
            <v>0</v>
          </cell>
          <cell r="R1048">
            <v>0</v>
          </cell>
        </row>
        <row r="1049">
          <cell r="D1049">
            <v>0</v>
          </cell>
          <cell r="E1049">
            <v>0</v>
          </cell>
          <cell r="F1049">
            <v>0</v>
          </cell>
          <cell r="H1049">
            <v>0</v>
          </cell>
          <cell r="I1049">
            <v>0</v>
          </cell>
          <cell r="J1049">
            <v>0</v>
          </cell>
          <cell r="L1049">
            <v>0</v>
          </cell>
          <cell r="M1049">
            <v>0</v>
          </cell>
          <cell r="N1049">
            <v>0</v>
          </cell>
          <cell r="P1049">
            <v>0</v>
          </cell>
          <cell r="Q1049">
            <v>0</v>
          </cell>
          <cell r="R1049">
            <v>0</v>
          </cell>
        </row>
        <row r="1050">
          <cell r="D1050">
            <v>0</v>
          </cell>
          <cell r="E1050">
            <v>0</v>
          </cell>
          <cell r="F1050">
            <v>0</v>
          </cell>
          <cell r="H1050">
            <v>0</v>
          </cell>
          <cell r="I1050">
            <v>0</v>
          </cell>
          <cell r="J1050">
            <v>0</v>
          </cell>
          <cell r="L1050">
            <v>0</v>
          </cell>
          <cell r="M1050">
            <v>0</v>
          </cell>
          <cell r="N1050">
            <v>0</v>
          </cell>
          <cell r="P1050">
            <v>0</v>
          </cell>
          <cell r="Q1050">
            <v>0</v>
          </cell>
          <cell r="R1050">
            <v>0</v>
          </cell>
        </row>
        <row r="1051">
          <cell r="D1051">
            <v>0</v>
          </cell>
          <cell r="E1051">
            <v>0</v>
          </cell>
          <cell r="F1051">
            <v>0</v>
          </cell>
          <cell r="H1051">
            <v>0</v>
          </cell>
          <cell r="I1051">
            <v>0</v>
          </cell>
          <cell r="J1051">
            <v>0</v>
          </cell>
          <cell r="L1051">
            <v>0</v>
          </cell>
          <cell r="M1051">
            <v>0</v>
          </cell>
          <cell r="N1051">
            <v>0</v>
          </cell>
          <cell r="P1051">
            <v>0</v>
          </cell>
          <cell r="Q1051">
            <v>0</v>
          </cell>
          <cell r="R1051">
            <v>0</v>
          </cell>
        </row>
        <row r="1091">
          <cell r="D1091">
            <v>68588000</v>
          </cell>
          <cell r="E1091">
            <v>55733000</v>
          </cell>
          <cell r="F1091">
            <v>63502000</v>
          </cell>
          <cell r="H1091">
            <v>69530000</v>
          </cell>
          <cell r="I1091">
            <v>0</v>
          </cell>
          <cell r="J1091">
            <v>0</v>
          </cell>
          <cell r="L1091">
            <v>0</v>
          </cell>
          <cell r="M1091">
            <v>0</v>
          </cell>
          <cell r="N1091">
            <v>0</v>
          </cell>
          <cell r="P1091">
            <v>0</v>
          </cell>
          <cell r="Q1091">
            <v>0</v>
          </cell>
          <cell r="R1091">
            <v>0</v>
          </cell>
        </row>
        <row r="1092">
          <cell r="D1092">
            <v>40444710</v>
          </cell>
          <cell r="E1092">
            <v>31649920</v>
          </cell>
          <cell r="F1092">
            <v>13687390</v>
          </cell>
          <cell r="H1092">
            <v>0</v>
          </cell>
          <cell r="I1092">
            <v>0</v>
          </cell>
          <cell r="J1092">
            <v>0</v>
          </cell>
          <cell r="L1092">
            <v>0</v>
          </cell>
          <cell r="M1092">
            <v>0</v>
          </cell>
          <cell r="N1092">
            <v>0</v>
          </cell>
          <cell r="P1092">
            <v>0</v>
          </cell>
          <cell r="Q1092">
            <v>0</v>
          </cell>
          <cell r="R1092">
            <v>0</v>
          </cell>
        </row>
        <row r="1093">
          <cell r="D1093">
            <v>60223640</v>
          </cell>
          <cell r="E1093">
            <v>57084930</v>
          </cell>
          <cell r="F1093">
            <v>67296440</v>
          </cell>
          <cell r="H1093">
            <v>56349650</v>
          </cell>
          <cell r="I1093">
            <v>0</v>
          </cell>
          <cell r="J1093">
            <v>0</v>
          </cell>
          <cell r="L1093">
            <v>0</v>
          </cell>
          <cell r="M1093">
            <v>0</v>
          </cell>
          <cell r="N1093">
            <v>0</v>
          </cell>
          <cell r="P1093">
            <v>0</v>
          </cell>
          <cell r="Q1093">
            <v>0</v>
          </cell>
          <cell r="R1093">
            <v>0</v>
          </cell>
        </row>
        <row r="1094">
          <cell r="D1094">
            <v>0</v>
          </cell>
          <cell r="E1094">
            <v>0</v>
          </cell>
          <cell r="F1094">
            <v>0</v>
          </cell>
          <cell r="H1094">
            <v>0</v>
          </cell>
          <cell r="I1094">
            <v>0</v>
          </cell>
          <cell r="J1094">
            <v>0</v>
          </cell>
          <cell r="L1094">
            <v>0</v>
          </cell>
          <cell r="M1094">
            <v>0</v>
          </cell>
          <cell r="N1094">
            <v>0</v>
          </cell>
          <cell r="P1094">
            <v>0</v>
          </cell>
          <cell r="Q1094">
            <v>0</v>
          </cell>
          <cell r="R1094">
            <v>0</v>
          </cell>
        </row>
        <row r="1095">
          <cell r="D1095">
            <v>912376.35140000004</v>
          </cell>
          <cell r="E1095">
            <v>1212199.3276</v>
          </cell>
          <cell r="F1095">
            <v>1186315.8234000001</v>
          </cell>
          <cell r="H1095">
            <v>0</v>
          </cell>
          <cell r="I1095">
            <v>0</v>
          </cell>
          <cell r="J1095">
            <v>0</v>
          </cell>
          <cell r="L1095">
            <v>0</v>
          </cell>
          <cell r="M1095">
            <v>0</v>
          </cell>
          <cell r="N1095">
            <v>0</v>
          </cell>
          <cell r="P1095">
            <v>0</v>
          </cell>
          <cell r="Q1095">
            <v>0</v>
          </cell>
          <cell r="R1095">
            <v>0</v>
          </cell>
        </row>
        <row r="1096">
          <cell r="D1096">
            <v>2461610</v>
          </cell>
          <cell r="E1096">
            <v>2056900</v>
          </cell>
          <cell r="F1096">
            <v>2146930</v>
          </cell>
          <cell r="H1096">
            <v>1950110</v>
          </cell>
          <cell r="I1096">
            <v>0</v>
          </cell>
          <cell r="J1096">
            <v>0</v>
          </cell>
          <cell r="L1096">
            <v>0</v>
          </cell>
          <cell r="M1096">
            <v>0</v>
          </cell>
          <cell r="N1096">
            <v>0</v>
          </cell>
          <cell r="P1096">
            <v>0</v>
          </cell>
          <cell r="Q1096">
            <v>0</v>
          </cell>
          <cell r="R1096">
            <v>0</v>
          </cell>
        </row>
        <row r="1097">
          <cell r="D1097">
            <v>5373000</v>
          </cell>
          <cell r="E1097">
            <v>2991000</v>
          </cell>
          <cell r="F1097">
            <v>3190000</v>
          </cell>
          <cell r="H1097">
            <v>2533000</v>
          </cell>
          <cell r="I1097">
            <v>0</v>
          </cell>
          <cell r="J1097">
            <v>0</v>
          </cell>
          <cell r="L1097">
            <v>0</v>
          </cell>
          <cell r="M1097">
            <v>0</v>
          </cell>
          <cell r="N1097">
            <v>0</v>
          </cell>
          <cell r="P1097">
            <v>0</v>
          </cell>
          <cell r="Q1097">
            <v>0</v>
          </cell>
          <cell r="R1097">
            <v>0</v>
          </cell>
        </row>
        <row r="1098">
          <cell r="D1098">
            <v>0</v>
          </cell>
          <cell r="E1098">
            <v>0</v>
          </cell>
          <cell r="F1098">
            <v>0</v>
          </cell>
          <cell r="H1098">
            <v>0</v>
          </cell>
          <cell r="I1098">
            <v>0</v>
          </cell>
          <cell r="J1098">
            <v>0</v>
          </cell>
          <cell r="L1098">
            <v>0</v>
          </cell>
          <cell r="M1098">
            <v>0</v>
          </cell>
          <cell r="N1098">
            <v>0</v>
          </cell>
          <cell r="P1098">
            <v>0</v>
          </cell>
          <cell r="Q1098">
            <v>0</v>
          </cell>
          <cell r="R1098">
            <v>0</v>
          </cell>
        </row>
        <row r="1099">
          <cell r="D1099">
            <v>1306030</v>
          </cell>
          <cell r="E1099">
            <v>1670370</v>
          </cell>
          <cell r="F1099">
            <v>1568460</v>
          </cell>
          <cell r="H1099">
            <v>630920</v>
          </cell>
          <cell r="I1099">
            <v>0</v>
          </cell>
          <cell r="J1099">
            <v>0</v>
          </cell>
          <cell r="L1099">
            <v>0</v>
          </cell>
          <cell r="M1099">
            <v>0</v>
          </cell>
          <cell r="N1099">
            <v>0</v>
          </cell>
          <cell r="P1099">
            <v>0</v>
          </cell>
          <cell r="Q1099">
            <v>0</v>
          </cell>
          <cell r="R1099">
            <v>0</v>
          </cell>
        </row>
        <row r="1100">
          <cell r="D1100">
            <v>7841.4475000000002</v>
          </cell>
          <cell r="E1100">
            <v>7083</v>
          </cell>
          <cell r="F1100">
            <v>7660</v>
          </cell>
          <cell r="H1100">
            <v>7413</v>
          </cell>
          <cell r="I1100">
            <v>0</v>
          </cell>
          <cell r="J1100">
            <v>0</v>
          </cell>
          <cell r="L1100">
            <v>0</v>
          </cell>
          <cell r="M1100">
            <v>0</v>
          </cell>
          <cell r="N1100">
            <v>0</v>
          </cell>
          <cell r="P1100">
            <v>0</v>
          </cell>
          <cell r="Q1100">
            <v>0</v>
          </cell>
          <cell r="R1100">
            <v>0</v>
          </cell>
        </row>
        <row r="1101">
          <cell r="D1101">
            <v>0</v>
          </cell>
          <cell r="E1101">
            <v>0</v>
          </cell>
          <cell r="F1101">
            <v>0</v>
          </cell>
          <cell r="H1101">
            <v>0</v>
          </cell>
          <cell r="I1101">
            <v>0</v>
          </cell>
          <cell r="J1101">
            <v>0</v>
          </cell>
          <cell r="L1101">
            <v>0</v>
          </cell>
          <cell r="M1101">
            <v>0</v>
          </cell>
          <cell r="N1101">
            <v>0</v>
          </cell>
          <cell r="P1101">
            <v>0</v>
          </cell>
          <cell r="Q1101">
            <v>0</v>
          </cell>
          <cell r="R1101">
            <v>0</v>
          </cell>
        </row>
        <row r="1102">
          <cell r="D1102">
            <v>0</v>
          </cell>
          <cell r="E1102">
            <v>0</v>
          </cell>
          <cell r="F1102">
            <v>0</v>
          </cell>
          <cell r="H1102">
            <v>0</v>
          </cell>
          <cell r="I1102">
            <v>0</v>
          </cell>
          <cell r="J1102">
            <v>0</v>
          </cell>
          <cell r="L1102">
            <v>0</v>
          </cell>
          <cell r="M1102">
            <v>0</v>
          </cell>
          <cell r="N1102">
            <v>0</v>
          </cell>
          <cell r="P1102">
            <v>0</v>
          </cell>
          <cell r="Q1102">
            <v>0</v>
          </cell>
          <cell r="R1102">
            <v>0</v>
          </cell>
        </row>
        <row r="1103">
          <cell r="D1103">
            <v>0</v>
          </cell>
          <cell r="E1103">
            <v>0</v>
          </cell>
          <cell r="F1103">
            <v>0</v>
          </cell>
          <cell r="H1103">
            <v>0</v>
          </cell>
          <cell r="I1103">
            <v>0</v>
          </cell>
          <cell r="J1103">
            <v>0</v>
          </cell>
          <cell r="L1103">
            <v>0</v>
          </cell>
          <cell r="M1103">
            <v>0</v>
          </cell>
          <cell r="N1103">
            <v>0</v>
          </cell>
          <cell r="P1103">
            <v>0</v>
          </cell>
          <cell r="Q1103">
            <v>0</v>
          </cell>
          <cell r="R1103">
            <v>0</v>
          </cell>
        </row>
        <row r="1104">
          <cell r="D1104">
            <v>0</v>
          </cell>
          <cell r="E1104">
            <v>0</v>
          </cell>
          <cell r="F1104">
            <v>0</v>
          </cell>
          <cell r="H1104">
            <v>0</v>
          </cell>
          <cell r="I1104">
            <v>0</v>
          </cell>
          <cell r="J1104">
            <v>0</v>
          </cell>
          <cell r="L1104">
            <v>0</v>
          </cell>
          <cell r="M1104">
            <v>0</v>
          </cell>
          <cell r="N1104">
            <v>0</v>
          </cell>
          <cell r="P1104">
            <v>0</v>
          </cell>
          <cell r="Q1104">
            <v>0</v>
          </cell>
          <cell r="R1104">
            <v>0</v>
          </cell>
        </row>
        <row r="1105">
          <cell r="D1105">
            <v>0</v>
          </cell>
          <cell r="E1105">
            <v>0</v>
          </cell>
          <cell r="F1105">
            <v>0</v>
          </cell>
          <cell r="H1105">
            <v>0</v>
          </cell>
          <cell r="I1105">
            <v>0</v>
          </cell>
          <cell r="J1105">
            <v>0</v>
          </cell>
          <cell r="L1105">
            <v>0</v>
          </cell>
          <cell r="M1105">
            <v>0</v>
          </cell>
          <cell r="N1105">
            <v>0</v>
          </cell>
          <cell r="P1105">
            <v>0</v>
          </cell>
          <cell r="Q1105">
            <v>0</v>
          </cell>
          <cell r="R1105">
            <v>0</v>
          </cell>
        </row>
        <row r="1106">
          <cell r="D1106">
            <v>0</v>
          </cell>
          <cell r="E1106">
            <v>0</v>
          </cell>
          <cell r="F1106">
            <v>0</v>
          </cell>
          <cell r="H1106">
            <v>0</v>
          </cell>
          <cell r="I1106">
            <v>0</v>
          </cell>
          <cell r="J1106">
            <v>0</v>
          </cell>
          <cell r="L1106">
            <v>0</v>
          </cell>
          <cell r="M1106">
            <v>0</v>
          </cell>
          <cell r="N1106">
            <v>0</v>
          </cell>
          <cell r="P1106">
            <v>0</v>
          </cell>
          <cell r="Q1106">
            <v>0</v>
          </cell>
          <cell r="R1106">
            <v>0</v>
          </cell>
        </row>
        <row r="1107">
          <cell r="D1107">
            <v>0</v>
          </cell>
          <cell r="E1107">
            <v>0</v>
          </cell>
          <cell r="F1107">
            <v>0</v>
          </cell>
          <cell r="H1107">
            <v>0</v>
          </cell>
          <cell r="I1107">
            <v>0</v>
          </cell>
          <cell r="J1107">
            <v>0</v>
          </cell>
          <cell r="L1107">
            <v>0</v>
          </cell>
          <cell r="M1107">
            <v>0</v>
          </cell>
          <cell r="N1107">
            <v>0</v>
          </cell>
          <cell r="P1107">
            <v>0</v>
          </cell>
          <cell r="Q1107">
            <v>0</v>
          </cell>
          <cell r="R1107">
            <v>0</v>
          </cell>
        </row>
        <row r="1108">
          <cell r="D1108">
            <v>0</v>
          </cell>
          <cell r="E1108">
            <v>0</v>
          </cell>
          <cell r="F1108">
            <v>0</v>
          </cell>
          <cell r="H1108">
            <v>0</v>
          </cell>
          <cell r="I1108">
            <v>0</v>
          </cell>
          <cell r="J1108">
            <v>0</v>
          </cell>
          <cell r="L1108">
            <v>0</v>
          </cell>
          <cell r="M1108">
            <v>0</v>
          </cell>
          <cell r="N1108">
            <v>0</v>
          </cell>
          <cell r="P1108">
            <v>0</v>
          </cell>
          <cell r="Q1108">
            <v>0</v>
          </cell>
          <cell r="R1108">
            <v>0</v>
          </cell>
        </row>
        <row r="1109">
          <cell r="D1109">
            <v>13270</v>
          </cell>
          <cell r="E1109">
            <v>11990</v>
          </cell>
          <cell r="F1109">
            <v>13270</v>
          </cell>
          <cell r="H1109">
            <v>12850</v>
          </cell>
          <cell r="I1109">
            <v>0</v>
          </cell>
          <cell r="J1109">
            <v>0</v>
          </cell>
          <cell r="L1109">
            <v>0</v>
          </cell>
          <cell r="M1109">
            <v>0</v>
          </cell>
          <cell r="N1109">
            <v>0</v>
          </cell>
          <cell r="P1109">
            <v>0</v>
          </cell>
          <cell r="Q1109">
            <v>0</v>
          </cell>
          <cell r="R1109">
            <v>0</v>
          </cell>
        </row>
        <row r="1110">
          <cell r="D1110">
            <v>107140</v>
          </cell>
          <cell r="E1110">
            <v>96770</v>
          </cell>
          <cell r="F1110">
            <v>107140</v>
          </cell>
          <cell r="H1110">
            <v>103680</v>
          </cell>
          <cell r="I1110">
            <v>0</v>
          </cell>
          <cell r="J1110">
            <v>0</v>
          </cell>
          <cell r="L1110">
            <v>0</v>
          </cell>
          <cell r="M1110">
            <v>0</v>
          </cell>
          <cell r="N1110">
            <v>0</v>
          </cell>
          <cell r="P1110">
            <v>0</v>
          </cell>
          <cell r="Q1110">
            <v>0</v>
          </cell>
          <cell r="R1110">
            <v>0</v>
          </cell>
        </row>
        <row r="1111">
          <cell r="D1111">
            <v>0</v>
          </cell>
          <cell r="E1111">
            <v>0</v>
          </cell>
          <cell r="F1111">
            <v>0</v>
          </cell>
          <cell r="H1111">
            <v>0</v>
          </cell>
          <cell r="I1111">
            <v>0</v>
          </cell>
          <cell r="J1111">
            <v>0</v>
          </cell>
          <cell r="L1111">
            <v>0</v>
          </cell>
          <cell r="M1111">
            <v>0</v>
          </cell>
          <cell r="N1111">
            <v>0</v>
          </cell>
          <cell r="P1111">
            <v>0</v>
          </cell>
          <cell r="Q1111">
            <v>0</v>
          </cell>
          <cell r="R1111">
            <v>0</v>
          </cell>
        </row>
        <row r="1112">
          <cell r="D1112">
            <v>0</v>
          </cell>
          <cell r="E1112">
            <v>0</v>
          </cell>
          <cell r="F1112">
            <v>0</v>
          </cell>
          <cell r="H1112">
            <v>0</v>
          </cell>
          <cell r="I1112">
            <v>0</v>
          </cell>
          <cell r="J1112">
            <v>0</v>
          </cell>
          <cell r="L1112">
            <v>0</v>
          </cell>
          <cell r="M1112">
            <v>0</v>
          </cell>
          <cell r="N1112">
            <v>0</v>
          </cell>
          <cell r="P1112">
            <v>0</v>
          </cell>
          <cell r="Q1112">
            <v>0</v>
          </cell>
          <cell r="R1112">
            <v>0</v>
          </cell>
        </row>
        <row r="1113">
          <cell r="D1113">
            <v>0</v>
          </cell>
          <cell r="E1113">
            <v>0</v>
          </cell>
          <cell r="F1113">
            <v>0</v>
          </cell>
          <cell r="H1113">
            <v>0</v>
          </cell>
          <cell r="I1113">
            <v>0</v>
          </cell>
          <cell r="J1113">
            <v>0</v>
          </cell>
          <cell r="L1113">
            <v>0</v>
          </cell>
          <cell r="M1113">
            <v>0</v>
          </cell>
          <cell r="N1113">
            <v>0</v>
          </cell>
          <cell r="P1113">
            <v>0</v>
          </cell>
          <cell r="Q1113">
            <v>0</v>
          </cell>
          <cell r="R1113">
            <v>0</v>
          </cell>
        </row>
        <row r="1115">
          <cell r="D1115">
            <v>0</v>
          </cell>
          <cell r="E1115">
            <v>0</v>
          </cell>
          <cell r="F1115">
            <v>0</v>
          </cell>
          <cell r="H1115">
            <v>0</v>
          </cell>
          <cell r="I1115">
            <v>0</v>
          </cell>
          <cell r="J1115">
            <v>0</v>
          </cell>
          <cell r="L1115">
            <v>0</v>
          </cell>
          <cell r="M1115">
            <v>0</v>
          </cell>
          <cell r="N1115">
            <v>0</v>
          </cell>
          <cell r="P1115">
            <v>0</v>
          </cell>
          <cell r="Q1115">
            <v>0</v>
          </cell>
          <cell r="R1115">
            <v>0</v>
          </cell>
        </row>
        <row r="1116">
          <cell r="D1116">
            <v>0</v>
          </cell>
          <cell r="E1116">
            <v>0</v>
          </cell>
          <cell r="F1116">
            <v>0</v>
          </cell>
          <cell r="H1116">
            <v>0</v>
          </cell>
          <cell r="I1116">
            <v>0</v>
          </cell>
          <cell r="J1116">
            <v>0</v>
          </cell>
          <cell r="L1116">
            <v>0</v>
          </cell>
          <cell r="M1116">
            <v>0</v>
          </cell>
          <cell r="N1116">
            <v>0</v>
          </cell>
          <cell r="P1116">
            <v>0</v>
          </cell>
          <cell r="Q1116">
            <v>0</v>
          </cell>
          <cell r="R1116">
            <v>0</v>
          </cell>
        </row>
        <row r="1117">
          <cell r="D1117">
            <v>32070</v>
          </cell>
          <cell r="E1117">
            <v>30970</v>
          </cell>
          <cell r="F1117">
            <v>34280</v>
          </cell>
          <cell r="H1117">
            <v>124420</v>
          </cell>
          <cell r="I1117">
            <v>0</v>
          </cell>
          <cell r="J1117">
            <v>0</v>
          </cell>
          <cell r="L1117">
            <v>0</v>
          </cell>
          <cell r="M1117">
            <v>0</v>
          </cell>
          <cell r="N1117">
            <v>0</v>
          </cell>
          <cell r="P1117">
            <v>0</v>
          </cell>
          <cell r="Q1117">
            <v>0</v>
          </cell>
          <cell r="R1117">
            <v>0</v>
          </cell>
        </row>
        <row r="1118">
          <cell r="D1118">
            <v>0</v>
          </cell>
          <cell r="E1118">
            <v>0</v>
          </cell>
          <cell r="F1118">
            <v>0</v>
          </cell>
          <cell r="H1118">
            <v>0</v>
          </cell>
          <cell r="I1118">
            <v>0</v>
          </cell>
          <cell r="J1118">
            <v>0</v>
          </cell>
          <cell r="L1118">
            <v>0</v>
          </cell>
          <cell r="M1118">
            <v>0</v>
          </cell>
          <cell r="N1118">
            <v>0</v>
          </cell>
          <cell r="P1118">
            <v>0</v>
          </cell>
          <cell r="Q1118">
            <v>0</v>
          </cell>
          <cell r="R1118">
            <v>0</v>
          </cell>
        </row>
        <row r="1119">
          <cell r="D1119">
            <v>0</v>
          </cell>
          <cell r="E1119">
            <v>0</v>
          </cell>
          <cell r="F1119">
            <v>0</v>
          </cell>
          <cell r="H1119">
            <v>0</v>
          </cell>
          <cell r="I1119">
            <v>0</v>
          </cell>
          <cell r="J1119">
            <v>0</v>
          </cell>
          <cell r="L1119">
            <v>0</v>
          </cell>
          <cell r="M1119">
            <v>0</v>
          </cell>
          <cell r="N1119">
            <v>0</v>
          </cell>
          <cell r="P1119">
            <v>0</v>
          </cell>
          <cell r="Q1119">
            <v>0</v>
          </cell>
          <cell r="R1119">
            <v>0</v>
          </cell>
        </row>
        <row r="1159">
          <cell r="D1159">
            <v>2730</v>
          </cell>
          <cell r="E1159">
            <v>217610</v>
          </cell>
          <cell r="F1159">
            <v>13740</v>
          </cell>
          <cell r="H1159">
            <v>2635</v>
          </cell>
          <cell r="I1159">
            <v>0</v>
          </cell>
          <cell r="J1159">
            <v>0</v>
          </cell>
          <cell r="L1159">
            <v>0</v>
          </cell>
          <cell r="M1159">
            <v>0</v>
          </cell>
          <cell r="N1159">
            <v>0</v>
          </cell>
          <cell r="P1159">
            <v>0</v>
          </cell>
          <cell r="Q1159">
            <v>0</v>
          </cell>
          <cell r="R1159">
            <v>0</v>
          </cell>
        </row>
        <row r="1160">
          <cell r="D1160">
            <v>129178</v>
          </cell>
          <cell r="E1160">
            <v>44169</v>
          </cell>
          <cell r="F1160">
            <v>11944</v>
          </cell>
          <cell r="H1160">
            <v>33837</v>
          </cell>
          <cell r="I1160">
            <v>0</v>
          </cell>
          <cell r="J1160">
            <v>0</v>
          </cell>
          <cell r="L1160">
            <v>0</v>
          </cell>
          <cell r="M1160">
            <v>0</v>
          </cell>
          <cell r="N1160">
            <v>0</v>
          </cell>
          <cell r="P1160">
            <v>0</v>
          </cell>
          <cell r="Q1160">
            <v>0</v>
          </cell>
          <cell r="R1160">
            <v>0</v>
          </cell>
        </row>
        <row r="1161">
          <cell r="D1161">
            <v>24489</v>
          </cell>
          <cell r="E1161">
            <v>12777</v>
          </cell>
          <cell r="F1161">
            <v>3400</v>
          </cell>
          <cell r="H1161">
            <v>0</v>
          </cell>
          <cell r="I1161">
            <v>0</v>
          </cell>
          <cell r="J1161">
            <v>0</v>
          </cell>
          <cell r="L1161">
            <v>0</v>
          </cell>
          <cell r="M1161">
            <v>0</v>
          </cell>
          <cell r="N1161">
            <v>0</v>
          </cell>
          <cell r="P1161">
            <v>0</v>
          </cell>
          <cell r="Q1161">
            <v>0</v>
          </cell>
          <cell r="R1161">
            <v>0</v>
          </cell>
        </row>
        <row r="1162">
          <cell r="D1162">
            <v>1679</v>
          </cell>
          <cell r="E1162">
            <v>1484</v>
          </cell>
          <cell r="F1162">
            <v>999</v>
          </cell>
          <cell r="H1162">
            <v>960</v>
          </cell>
          <cell r="I1162">
            <v>0</v>
          </cell>
          <cell r="J1162">
            <v>0</v>
          </cell>
          <cell r="L1162">
            <v>0</v>
          </cell>
          <cell r="M1162">
            <v>0</v>
          </cell>
          <cell r="N1162">
            <v>0</v>
          </cell>
          <cell r="P1162">
            <v>0</v>
          </cell>
          <cell r="Q1162">
            <v>0</v>
          </cell>
          <cell r="R1162">
            <v>0</v>
          </cell>
        </row>
        <row r="1163">
          <cell r="D1163">
            <v>223674</v>
          </cell>
          <cell r="E1163">
            <v>256577</v>
          </cell>
          <cell r="F1163">
            <v>226612</v>
          </cell>
          <cell r="H1163">
            <v>0</v>
          </cell>
          <cell r="I1163">
            <v>0</v>
          </cell>
          <cell r="J1163">
            <v>0</v>
          </cell>
          <cell r="L1163">
            <v>0</v>
          </cell>
          <cell r="M1163">
            <v>0</v>
          </cell>
          <cell r="N1163">
            <v>0</v>
          </cell>
          <cell r="P1163">
            <v>0</v>
          </cell>
          <cell r="Q1163">
            <v>0</v>
          </cell>
          <cell r="R1163">
            <v>0</v>
          </cell>
        </row>
        <row r="1164">
          <cell r="D1164">
            <v>32520</v>
          </cell>
          <cell r="E1164">
            <v>40690</v>
          </cell>
          <cell r="F1164">
            <v>34040</v>
          </cell>
          <cell r="H1164">
            <v>28350</v>
          </cell>
          <cell r="I1164">
            <v>0</v>
          </cell>
          <cell r="J1164">
            <v>0</v>
          </cell>
          <cell r="L1164">
            <v>0</v>
          </cell>
          <cell r="M1164">
            <v>0</v>
          </cell>
          <cell r="N1164">
            <v>0</v>
          </cell>
          <cell r="P1164">
            <v>0</v>
          </cell>
          <cell r="Q1164">
            <v>0</v>
          </cell>
          <cell r="R1164">
            <v>0</v>
          </cell>
        </row>
        <row r="1165">
          <cell r="D1165">
            <v>1490</v>
          </cell>
          <cell r="E1165">
            <v>0</v>
          </cell>
          <cell r="F1165">
            <v>3597</v>
          </cell>
          <cell r="H1165">
            <v>0</v>
          </cell>
          <cell r="I1165">
            <v>0</v>
          </cell>
          <cell r="J1165">
            <v>0</v>
          </cell>
          <cell r="L1165">
            <v>0</v>
          </cell>
          <cell r="M1165">
            <v>0</v>
          </cell>
          <cell r="N1165">
            <v>0</v>
          </cell>
          <cell r="P1165">
            <v>0</v>
          </cell>
          <cell r="Q1165">
            <v>0</v>
          </cell>
          <cell r="R1165">
            <v>0</v>
          </cell>
        </row>
        <row r="1166">
          <cell r="D1166">
            <v>2470</v>
          </cell>
          <cell r="E1166">
            <v>2800</v>
          </cell>
          <cell r="F1166">
            <v>2190</v>
          </cell>
          <cell r="H1166">
            <v>2560</v>
          </cell>
          <cell r="I1166">
            <v>0</v>
          </cell>
          <cell r="J1166">
            <v>0</v>
          </cell>
          <cell r="L1166">
            <v>0</v>
          </cell>
          <cell r="M1166">
            <v>0</v>
          </cell>
          <cell r="N1166">
            <v>0</v>
          </cell>
          <cell r="P1166">
            <v>0</v>
          </cell>
          <cell r="Q1166">
            <v>0</v>
          </cell>
          <cell r="R1166">
            <v>0</v>
          </cell>
        </row>
        <row r="1167">
          <cell r="D1167">
            <v>21143</v>
          </cell>
          <cell r="E1167">
            <v>116322</v>
          </cell>
          <cell r="F1167">
            <v>112080</v>
          </cell>
          <cell r="H1167">
            <v>230977</v>
          </cell>
          <cell r="I1167">
            <v>0</v>
          </cell>
          <cell r="J1167">
            <v>0</v>
          </cell>
          <cell r="L1167">
            <v>0</v>
          </cell>
          <cell r="M1167">
            <v>0</v>
          </cell>
          <cell r="N1167">
            <v>0</v>
          </cell>
          <cell r="P1167">
            <v>0</v>
          </cell>
          <cell r="Q1167">
            <v>0</v>
          </cell>
          <cell r="R1167">
            <v>0</v>
          </cell>
        </row>
        <row r="1168">
          <cell r="D1168">
            <v>46190</v>
          </cell>
          <cell r="E1168">
            <v>84130</v>
          </cell>
          <cell r="F1168">
            <v>69350</v>
          </cell>
          <cell r="H1168">
            <v>35290</v>
          </cell>
          <cell r="I1168">
            <v>0</v>
          </cell>
          <cell r="J1168">
            <v>0</v>
          </cell>
          <cell r="L1168">
            <v>0</v>
          </cell>
          <cell r="M1168">
            <v>0</v>
          </cell>
          <cell r="N1168">
            <v>0</v>
          </cell>
          <cell r="P1168">
            <v>0</v>
          </cell>
          <cell r="Q1168">
            <v>0</v>
          </cell>
          <cell r="R1168">
            <v>0</v>
          </cell>
        </row>
        <row r="1169">
          <cell r="D1169">
            <v>73641</v>
          </cell>
          <cell r="E1169">
            <v>62890</v>
          </cell>
          <cell r="F1169">
            <v>181140</v>
          </cell>
          <cell r="H1169">
            <v>107354</v>
          </cell>
          <cell r="I1169">
            <v>0</v>
          </cell>
          <cell r="J1169">
            <v>0</v>
          </cell>
          <cell r="L1169">
            <v>0</v>
          </cell>
          <cell r="M1169">
            <v>0</v>
          </cell>
          <cell r="N1169">
            <v>0</v>
          </cell>
          <cell r="P1169">
            <v>0</v>
          </cell>
          <cell r="Q1169">
            <v>0</v>
          </cell>
          <cell r="R1169">
            <v>0</v>
          </cell>
        </row>
        <row r="1170">
          <cell r="D1170">
            <v>3600</v>
          </cell>
          <cell r="E1170">
            <v>1581</v>
          </cell>
          <cell r="F1170">
            <v>3225</v>
          </cell>
          <cell r="H1170">
            <v>0</v>
          </cell>
          <cell r="I1170">
            <v>0</v>
          </cell>
          <cell r="J1170">
            <v>0</v>
          </cell>
          <cell r="L1170">
            <v>0</v>
          </cell>
          <cell r="M1170">
            <v>0</v>
          </cell>
          <cell r="N1170">
            <v>0</v>
          </cell>
          <cell r="P1170">
            <v>0</v>
          </cell>
          <cell r="Q1170">
            <v>0</v>
          </cell>
          <cell r="R1170">
            <v>0</v>
          </cell>
        </row>
        <row r="1171">
          <cell r="D1171">
            <v>11</v>
          </cell>
          <cell r="E1171">
            <v>20</v>
          </cell>
          <cell r="F1171">
            <v>10</v>
          </cell>
          <cell r="H1171">
            <v>10</v>
          </cell>
          <cell r="I1171">
            <v>0</v>
          </cell>
          <cell r="J1171">
            <v>0</v>
          </cell>
          <cell r="L1171">
            <v>0</v>
          </cell>
          <cell r="M1171">
            <v>0</v>
          </cell>
          <cell r="N1171">
            <v>0</v>
          </cell>
          <cell r="P1171">
            <v>0</v>
          </cell>
          <cell r="Q1171">
            <v>0</v>
          </cell>
          <cell r="R1171">
            <v>0</v>
          </cell>
        </row>
        <row r="1172">
          <cell r="D1172">
            <v>7430</v>
          </cell>
          <cell r="E1172">
            <v>10790</v>
          </cell>
          <cell r="F1172">
            <v>9250</v>
          </cell>
          <cell r="H1172">
            <v>6540</v>
          </cell>
          <cell r="I1172">
            <v>0</v>
          </cell>
          <cell r="J1172">
            <v>0</v>
          </cell>
          <cell r="L1172">
            <v>0</v>
          </cell>
          <cell r="M1172">
            <v>0</v>
          </cell>
          <cell r="N1172">
            <v>0</v>
          </cell>
          <cell r="P1172">
            <v>0</v>
          </cell>
          <cell r="Q1172">
            <v>0</v>
          </cell>
          <cell r="R1172">
            <v>0</v>
          </cell>
        </row>
        <row r="1173">
          <cell r="D1173">
            <v>10527</v>
          </cell>
          <cell r="E1173">
            <v>21719</v>
          </cell>
          <cell r="F1173">
            <v>16570</v>
          </cell>
          <cell r="H1173">
            <v>892</v>
          </cell>
          <cell r="I1173">
            <v>0</v>
          </cell>
          <cell r="J1173">
            <v>0</v>
          </cell>
          <cell r="L1173">
            <v>0</v>
          </cell>
          <cell r="M1173">
            <v>0</v>
          </cell>
          <cell r="N1173">
            <v>0</v>
          </cell>
          <cell r="P1173">
            <v>0</v>
          </cell>
          <cell r="Q1173">
            <v>0</v>
          </cell>
          <cell r="R1173">
            <v>0</v>
          </cell>
        </row>
        <row r="1174">
          <cell r="D1174">
            <v>5330</v>
          </cell>
          <cell r="E1174">
            <v>5770</v>
          </cell>
          <cell r="F1174">
            <v>2680</v>
          </cell>
          <cell r="H1174">
            <v>0</v>
          </cell>
          <cell r="I1174">
            <v>0</v>
          </cell>
          <cell r="J1174">
            <v>0</v>
          </cell>
          <cell r="L1174">
            <v>0</v>
          </cell>
          <cell r="M1174">
            <v>0</v>
          </cell>
          <cell r="N1174">
            <v>0</v>
          </cell>
          <cell r="P1174">
            <v>0</v>
          </cell>
          <cell r="Q1174">
            <v>0</v>
          </cell>
          <cell r="R1174">
            <v>0</v>
          </cell>
        </row>
        <row r="1175">
          <cell r="D1175">
            <v>119</v>
          </cell>
          <cell r="E1175">
            <v>775</v>
          </cell>
          <cell r="F1175">
            <v>115</v>
          </cell>
          <cell r="H1175">
            <v>505</v>
          </cell>
          <cell r="I1175">
            <v>0</v>
          </cell>
          <cell r="J1175">
            <v>0</v>
          </cell>
          <cell r="L1175">
            <v>0</v>
          </cell>
          <cell r="M1175">
            <v>0</v>
          </cell>
          <cell r="N1175">
            <v>0</v>
          </cell>
          <cell r="P1175">
            <v>0</v>
          </cell>
          <cell r="Q1175">
            <v>0</v>
          </cell>
          <cell r="R1175">
            <v>0</v>
          </cell>
        </row>
        <row r="1176">
          <cell r="D1176">
            <v>0</v>
          </cell>
          <cell r="E1176">
            <v>0</v>
          </cell>
          <cell r="F1176">
            <v>0</v>
          </cell>
          <cell r="H1176">
            <v>0</v>
          </cell>
          <cell r="I1176">
            <v>0</v>
          </cell>
          <cell r="J1176">
            <v>0</v>
          </cell>
          <cell r="L1176">
            <v>0</v>
          </cell>
          <cell r="M1176">
            <v>0</v>
          </cell>
          <cell r="N1176">
            <v>0</v>
          </cell>
          <cell r="P1176">
            <v>0</v>
          </cell>
          <cell r="Q1176">
            <v>0</v>
          </cell>
          <cell r="R1176">
            <v>0</v>
          </cell>
        </row>
        <row r="1177">
          <cell r="D1177">
            <v>201</v>
          </cell>
          <cell r="E1177">
            <v>549</v>
          </cell>
          <cell r="F1177">
            <v>6265</v>
          </cell>
          <cell r="H1177">
            <v>5243</v>
          </cell>
          <cell r="I1177">
            <v>0</v>
          </cell>
          <cell r="J1177">
            <v>0</v>
          </cell>
          <cell r="L1177">
            <v>0</v>
          </cell>
          <cell r="M1177">
            <v>0</v>
          </cell>
          <cell r="N1177">
            <v>0</v>
          </cell>
          <cell r="P1177">
            <v>0</v>
          </cell>
          <cell r="Q1177">
            <v>0</v>
          </cell>
          <cell r="R1177">
            <v>0</v>
          </cell>
        </row>
        <row r="1178">
          <cell r="D1178">
            <v>11212</v>
          </cell>
          <cell r="E1178">
            <v>11791</v>
          </cell>
          <cell r="F1178">
            <v>18964</v>
          </cell>
          <cell r="H1178">
            <v>7350</v>
          </cell>
          <cell r="I1178">
            <v>0</v>
          </cell>
          <cell r="J1178">
            <v>0</v>
          </cell>
          <cell r="L1178">
            <v>0</v>
          </cell>
          <cell r="M1178">
            <v>0</v>
          </cell>
          <cell r="N1178">
            <v>0</v>
          </cell>
          <cell r="P1178">
            <v>0</v>
          </cell>
          <cell r="Q1178">
            <v>0</v>
          </cell>
          <cell r="R1178">
            <v>0</v>
          </cell>
        </row>
        <row r="1179">
          <cell r="D1179">
            <v>400</v>
          </cell>
          <cell r="E1179">
            <v>303</v>
          </cell>
          <cell r="F1179">
            <v>504</v>
          </cell>
          <cell r="H1179">
            <v>317</v>
          </cell>
          <cell r="I1179">
            <v>0</v>
          </cell>
          <cell r="J1179">
            <v>0</v>
          </cell>
          <cell r="L1179">
            <v>0</v>
          </cell>
          <cell r="M1179">
            <v>0</v>
          </cell>
          <cell r="N1179">
            <v>0</v>
          </cell>
          <cell r="P1179">
            <v>0</v>
          </cell>
          <cell r="Q1179">
            <v>0</v>
          </cell>
          <cell r="R1179">
            <v>0</v>
          </cell>
        </row>
        <row r="1180">
          <cell r="D1180">
            <v>148</v>
          </cell>
          <cell r="E1180">
            <v>164</v>
          </cell>
          <cell r="F1180">
            <v>139</v>
          </cell>
          <cell r="H1180">
            <v>176</v>
          </cell>
          <cell r="I1180">
            <v>0</v>
          </cell>
          <cell r="J1180">
            <v>0</v>
          </cell>
          <cell r="L1180">
            <v>0</v>
          </cell>
          <cell r="M1180">
            <v>0</v>
          </cell>
          <cell r="N1180">
            <v>0</v>
          </cell>
          <cell r="P1180">
            <v>0</v>
          </cell>
          <cell r="Q1180">
            <v>0</v>
          </cell>
          <cell r="R1180">
            <v>0</v>
          </cell>
        </row>
        <row r="1181">
          <cell r="D1181">
            <v>116559</v>
          </cell>
          <cell r="E1181">
            <v>17700</v>
          </cell>
          <cell r="F1181">
            <v>650</v>
          </cell>
          <cell r="H1181">
            <v>650</v>
          </cell>
          <cell r="I1181">
            <v>0</v>
          </cell>
          <cell r="J1181">
            <v>0</v>
          </cell>
          <cell r="L1181">
            <v>0</v>
          </cell>
          <cell r="M1181">
            <v>0</v>
          </cell>
          <cell r="N1181">
            <v>0</v>
          </cell>
          <cell r="P1181">
            <v>0</v>
          </cell>
          <cell r="Q1181">
            <v>0</v>
          </cell>
          <cell r="R1181">
            <v>0</v>
          </cell>
        </row>
        <row r="1182">
          <cell r="D1182">
            <v>0</v>
          </cell>
          <cell r="E1182">
            <v>0</v>
          </cell>
          <cell r="F1182">
            <v>0</v>
          </cell>
          <cell r="H1182">
            <v>0</v>
          </cell>
          <cell r="I1182">
            <v>0</v>
          </cell>
          <cell r="J1182">
            <v>0</v>
          </cell>
          <cell r="L1182">
            <v>0</v>
          </cell>
          <cell r="M1182">
            <v>0</v>
          </cell>
          <cell r="N1182">
            <v>0</v>
          </cell>
          <cell r="P1182">
            <v>0</v>
          </cell>
          <cell r="Q1182">
            <v>0</v>
          </cell>
          <cell r="R1182">
            <v>0</v>
          </cell>
        </row>
        <row r="1183">
          <cell r="D1183">
            <v>0</v>
          </cell>
          <cell r="E1183">
            <v>0</v>
          </cell>
          <cell r="F1183">
            <v>0</v>
          </cell>
          <cell r="H1183">
            <v>0</v>
          </cell>
          <cell r="I1183">
            <v>0</v>
          </cell>
          <cell r="J1183">
            <v>0</v>
          </cell>
          <cell r="L1183">
            <v>0</v>
          </cell>
          <cell r="M1183">
            <v>0</v>
          </cell>
          <cell r="N1183">
            <v>0</v>
          </cell>
          <cell r="P1183">
            <v>0</v>
          </cell>
          <cell r="Q1183">
            <v>0</v>
          </cell>
          <cell r="R1183">
            <v>0</v>
          </cell>
        </row>
        <row r="1184">
          <cell r="D1184">
            <v>800</v>
          </cell>
          <cell r="E1184">
            <v>340</v>
          </cell>
          <cell r="F1184">
            <v>250</v>
          </cell>
          <cell r="H1184">
            <v>2290</v>
          </cell>
          <cell r="I1184">
            <v>0</v>
          </cell>
          <cell r="J1184">
            <v>0</v>
          </cell>
          <cell r="L1184">
            <v>0</v>
          </cell>
          <cell r="M1184">
            <v>0</v>
          </cell>
          <cell r="N1184">
            <v>0</v>
          </cell>
          <cell r="P1184">
            <v>0</v>
          </cell>
          <cell r="Q1184">
            <v>0</v>
          </cell>
          <cell r="R1184">
            <v>0</v>
          </cell>
        </row>
        <row r="1185">
          <cell r="D1185">
            <v>32195</v>
          </cell>
          <cell r="E1185">
            <v>2710</v>
          </cell>
          <cell r="F1185">
            <v>45935</v>
          </cell>
          <cell r="H1185">
            <v>19210</v>
          </cell>
          <cell r="I1185">
            <v>0</v>
          </cell>
          <cell r="J1185">
            <v>0</v>
          </cell>
          <cell r="L1185">
            <v>0</v>
          </cell>
          <cell r="M1185">
            <v>0</v>
          </cell>
          <cell r="N1185">
            <v>0</v>
          </cell>
          <cell r="P1185">
            <v>0</v>
          </cell>
          <cell r="Q1185">
            <v>0</v>
          </cell>
          <cell r="R1185">
            <v>0</v>
          </cell>
        </row>
        <row r="1186">
          <cell r="D1186">
            <v>150</v>
          </cell>
          <cell r="E1186">
            <v>60</v>
          </cell>
          <cell r="F1186">
            <v>100</v>
          </cell>
          <cell r="H1186">
            <v>231</v>
          </cell>
          <cell r="I1186">
            <v>0</v>
          </cell>
          <cell r="J1186">
            <v>0</v>
          </cell>
          <cell r="L1186">
            <v>0</v>
          </cell>
          <cell r="M1186">
            <v>0</v>
          </cell>
          <cell r="N1186">
            <v>0</v>
          </cell>
          <cell r="P1186">
            <v>0</v>
          </cell>
          <cell r="Q1186">
            <v>0</v>
          </cell>
          <cell r="R1186">
            <v>0</v>
          </cell>
        </row>
        <row r="1187">
          <cell r="D1187">
            <v>6320</v>
          </cell>
          <cell r="E1187">
            <v>10435</v>
          </cell>
          <cell r="F1187">
            <v>8240</v>
          </cell>
          <cell r="H1187">
            <v>6390</v>
          </cell>
          <cell r="I1187">
            <v>0</v>
          </cell>
          <cell r="J1187">
            <v>0</v>
          </cell>
          <cell r="L1187">
            <v>0</v>
          </cell>
          <cell r="M1187">
            <v>0</v>
          </cell>
          <cell r="N1187">
            <v>0</v>
          </cell>
          <cell r="P1187">
            <v>0</v>
          </cell>
          <cell r="Q1187">
            <v>0</v>
          </cell>
          <cell r="R1187">
            <v>0</v>
          </cell>
        </row>
        <row r="1227">
          <cell r="E1227">
            <v>139080</v>
          </cell>
          <cell r="F1227">
            <v>210000</v>
          </cell>
          <cell r="H1227">
            <v>196340</v>
          </cell>
          <cell r="I1227">
            <v>0</v>
          </cell>
          <cell r="J1227">
            <v>0</v>
          </cell>
          <cell r="L1227">
            <v>0</v>
          </cell>
          <cell r="M1227">
            <v>0</v>
          </cell>
          <cell r="N1227">
            <v>0</v>
          </cell>
          <cell r="P1227">
            <v>0</v>
          </cell>
          <cell r="Q1227">
            <v>0</v>
          </cell>
          <cell r="R1227">
            <v>0</v>
          </cell>
        </row>
        <row r="1228">
          <cell r="E1228">
            <v>139359</v>
          </cell>
          <cell r="F1228">
            <v>123843</v>
          </cell>
          <cell r="H1228">
            <v>51525</v>
          </cell>
          <cell r="I1228">
            <v>0</v>
          </cell>
          <cell r="J1228">
            <v>0</v>
          </cell>
          <cell r="L1228">
            <v>0</v>
          </cell>
          <cell r="M1228">
            <v>0</v>
          </cell>
          <cell r="N1228">
            <v>0</v>
          </cell>
          <cell r="P1228">
            <v>0</v>
          </cell>
          <cell r="Q1228">
            <v>0</v>
          </cell>
          <cell r="R1228">
            <v>0</v>
          </cell>
        </row>
        <row r="1229">
          <cell r="E1229">
            <v>34315</v>
          </cell>
          <cell r="F1229">
            <v>65100</v>
          </cell>
          <cell r="H1229">
            <v>0</v>
          </cell>
          <cell r="I1229">
            <v>0</v>
          </cell>
          <cell r="J1229">
            <v>0</v>
          </cell>
          <cell r="L1229">
            <v>0</v>
          </cell>
          <cell r="M1229">
            <v>0</v>
          </cell>
          <cell r="N1229">
            <v>0</v>
          </cell>
          <cell r="P1229">
            <v>0</v>
          </cell>
          <cell r="Q1229">
            <v>0</v>
          </cell>
          <cell r="R1229">
            <v>0</v>
          </cell>
        </row>
        <row r="1230">
          <cell r="E1230">
            <v>5236</v>
          </cell>
          <cell r="F1230">
            <v>7830</v>
          </cell>
          <cell r="H1230">
            <v>6572</v>
          </cell>
          <cell r="I1230">
            <v>0</v>
          </cell>
          <cell r="J1230">
            <v>0</v>
          </cell>
          <cell r="L1230">
            <v>0</v>
          </cell>
          <cell r="M1230">
            <v>0</v>
          </cell>
          <cell r="N1230">
            <v>0</v>
          </cell>
          <cell r="P1230">
            <v>0</v>
          </cell>
          <cell r="Q1230">
            <v>0</v>
          </cell>
          <cell r="R1230">
            <v>0</v>
          </cell>
        </row>
        <row r="1231">
          <cell r="E1231">
            <v>2160</v>
          </cell>
          <cell r="F1231">
            <v>0</v>
          </cell>
          <cell r="H1231">
            <v>0</v>
          </cell>
          <cell r="I1231">
            <v>0</v>
          </cell>
          <cell r="J1231">
            <v>0</v>
          </cell>
          <cell r="L1231">
            <v>0</v>
          </cell>
          <cell r="M1231">
            <v>0</v>
          </cell>
          <cell r="N1231">
            <v>0</v>
          </cell>
          <cell r="P1231">
            <v>0</v>
          </cell>
          <cell r="Q1231">
            <v>0</v>
          </cell>
          <cell r="R1231">
            <v>0</v>
          </cell>
        </row>
        <row r="1232">
          <cell r="E1232">
            <v>209590</v>
          </cell>
          <cell r="F1232">
            <v>128630</v>
          </cell>
          <cell r="H1232">
            <v>339380</v>
          </cell>
          <cell r="I1232">
            <v>0</v>
          </cell>
          <cell r="J1232">
            <v>0</v>
          </cell>
          <cell r="L1232">
            <v>0</v>
          </cell>
          <cell r="M1232">
            <v>0</v>
          </cell>
          <cell r="N1232">
            <v>0</v>
          </cell>
          <cell r="P1232">
            <v>0</v>
          </cell>
          <cell r="Q1232">
            <v>0</v>
          </cell>
          <cell r="R1232">
            <v>0</v>
          </cell>
        </row>
        <row r="1233">
          <cell r="E1233">
            <v>11800</v>
          </cell>
          <cell r="F1233">
            <v>211950</v>
          </cell>
          <cell r="H1233">
            <v>0</v>
          </cell>
          <cell r="I1233">
            <v>0</v>
          </cell>
          <cell r="J1233">
            <v>0</v>
          </cell>
          <cell r="L1233">
            <v>0</v>
          </cell>
          <cell r="M1233">
            <v>0</v>
          </cell>
          <cell r="N1233">
            <v>0</v>
          </cell>
          <cell r="P1233">
            <v>0</v>
          </cell>
          <cell r="Q1233">
            <v>0</v>
          </cell>
          <cell r="R1233">
            <v>0</v>
          </cell>
        </row>
        <row r="1234">
          <cell r="E1234">
            <v>9900</v>
          </cell>
          <cell r="F1234">
            <v>18520</v>
          </cell>
          <cell r="H1234">
            <v>13100</v>
          </cell>
          <cell r="I1234">
            <v>0</v>
          </cell>
          <cell r="J1234">
            <v>0</v>
          </cell>
          <cell r="L1234">
            <v>0</v>
          </cell>
          <cell r="M1234">
            <v>0</v>
          </cell>
          <cell r="N1234">
            <v>0</v>
          </cell>
          <cell r="P1234">
            <v>0</v>
          </cell>
          <cell r="Q1234">
            <v>0</v>
          </cell>
          <cell r="R1234">
            <v>0</v>
          </cell>
        </row>
        <row r="1235">
          <cell r="E1235">
            <v>50530</v>
          </cell>
          <cell r="F1235">
            <v>214642</v>
          </cell>
          <cell r="H1235">
            <v>38021</v>
          </cell>
          <cell r="I1235">
            <v>0</v>
          </cell>
          <cell r="J1235">
            <v>0</v>
          </cell>
          <cell r="L1235">
            <v>0</v>
          </cell>
          <cell r="M1235">
            <v>0</v>
          </cell>
          <cell r="N1235">
            <v>0</v>
          </cell>
          <cell r="P1235">
            <v>0</v>
          </cell>
          <cell r="Q1235">
            <v>0</v>
          </cell>
          <cell r="R1235">
            <v>0</v>
          </cell>
        </row>
        <row r="1236">
          <cell r="E1236">
            <v>358070</v>
          </cell>
          <cell r="F1236">
            <v>419990</v>
          </cell>
          <cell r="H1236">
            <v>318570</v>
          </cell>
          <cell r="I1236">
            <v>0</v>
          </cell>
          <cell r="J1236">
            <v>0</v>
          </cell>
          <cell r="L1236">
            <v>0</v>
          </cell>
          <cell r="M1236">
            <v>0</v>
          </cell>
          <cell r="N1236">
            <v>0</v>
          </cell>
          <cell r="P1236">
            <v>0</v>
          </cell>
          <cell r="Q1236">
            <v>0</v>
          </cell>
          <cell r="R1236">
            <v>0</v>
          </cell>
        </row>
        <row r="1237">
          <cell r="E1237">
            <v>1985</v>
          </cell>
          <cell r="F1237">
            <v>320</v>
          </cell>
          <cell r="H1237">
            <v>0</v>
          </cell>
          <cell r="I1237">
            <v>0</v>
          </cell>
          <cell r="J1237">
            <v>0</v>
          </cell>
          <cell r="L1237">
            <v>0</v>
          </cell>
          <cell r="M1237">
            <v>0</v>
          </cell>
          <cell r="N1237">
            <v>0</v>
          </cell>
          <cell r="P1237">
            <v>0</v>
          </cell>
          <cell r="Q1237">
            <v>0</v>
          </cell>
          <cell r="R1237">
            <v>0</v>
          </cell>
        </row>
        <row r="1238">
          <cell r="E1238">
            <v>54690</v>
          </cell>
          <cell r="F1238">
            <v>37630</v>
          </cell>
          <cell r="H1238">
            <v>0</v>
          </cell>
          <cell r="I1238">
            <v>0</v>
          </cell>
          <cell r="J1238">
            <v>0</v>
          </cell>
          <cell r="L1238">
            <v>0</v>
          </cell>
          <cell r="M1238">
            <v>0</v>
          </cell>
          <cell r="N1238">
            <v>0</v>
          </cell>
          <cell r="P1238">
            <v>0</v>
          </cell>
          <cell r="Q1238">
            <v>0</v>
          </cell>
          <cell r="R1238">
            <v>0</v>
          </cell>
        </row>
        <row r="1239">
          <cell r="E1239">
            <v>3210</v>
          </cell>
          <cell r="F1239">
            <v>4320</v>
          </cell>
          <cell r="H1239">
            <v>2350</v>
          </cell>
          <cell r="I1239">
            <v>0</v>
          </cell>
          <cell r="J1239">
            <v>0</v>
          </cell>
          <cell r="L1239">
            <v>0</v>
          </cell>
          <cell r="M1239">
            <v>0</v>
          </cell>
          <cell r="N1239">
            <v>0</v>
          </cell>
          <cell r="P1239">
            <v>0</v>
          </cell>
          <cell r="Q1239">
            <v>0</v>
          </cell>
          <cell r="R1239">
            <v>0</v>
          </cell>
        </row>
        <row r="1240">
          <cell r="E1240">
            <v>170780</v>
          </cell>
          <cell r="F1240">
            <v>172570</v>
          </cell>
          <cell r="H1240">
            <v>150180</v>
          </cell>
          <cell r="I1240">
            <v>0</v>
          </cell>
          <cell r="J1240">
            <v>0</v>
          </cell>
          <cell r="L1240">
            <v>0</v>
          </cell>
          <cell r="M1240">
            <v>0</v>
          </cell>
          <cell r="N1240">
            <v>0</v>
          </cell>
          <cell r="P1240">
            <v>0</v>
          </cell>
          <cell r="Q1240">
            <v>0</v>
          </cell>
          <cell r="R1240">
            <v>0</v>
          </cell>
        </row>
        <row r="1241">
          <cell r="E1241">
            <v>95265</v>
          </cell>
          <cell r="F1241">
            <v>81854</v>
          </cell>
          <cell r="H1241">
            <v>77099</v>
          </cell>
          <cell r="I1241">
            <v>0</v>
          </cell>
          <cell r="J1241">
            <v>0</v>
          </cell>
          <cell r="L1241">
            <v>0</v>
          </cell>
          <cell r="M1241">
            <v>0</v>
          </cell>
          <cell r="N1241">
            <v>0</v>
          </cell>
          <cell r="P1241">
            <v>0</v>
          </cell>
          <cell r="Q1241">
            <v>0</v>
          </cell>
          <cell r="R1241">
            <v>0</v>
          </cell>
        </row>
        <row r="1242">
          <cell r="E1242">
            <v>81220</v>
          </cell>
          <cell r="F1242">
            <v>75860</v>
          </cell>
          <cell r="H1242">
            <v>67320</v>
          </cell>
          <cell r="I1242">
            <v>0</v>
          </cell>
          <cell r="J1242">
            <v>0</v>
          </cell>
          <cell r="L1242">
            <v>0</v>
          </cell>
          <cell r="M1242">
            <v>0</v>
          </cell>
          <cell r="N1242">
            <v>0</v>
          </cell>
          <cell r="P1242">
            <v>0</v>
          </cell>
          <cell r="Q1242">
            <v>0</v>
          </cell>
          <cell r="R1242">
            <v>0</v>
          </cell>
        </row>
        <row r="1243">
          <cell r="E1243">
            <v>5156</v>
          </cell>
          <cell r="F1243">
            <v>6236</v>
          </cell>
          <cell r="H1243">
            <v>421</v>
          </cell>
          <cell r="I1243">
            <v>0</v>
          </cell>
          <cell r="J1243">
            <v>0</v>
          </cell>
          <cell r="L1243">
            <v>0</v>
          </cell>
          <cell r="M1243">
            <v>0</v>
          </cell>
          <cell r="N1243">
            <v>0</v>
          </cell>
          <cell r="P1243">
            <v>0</v>
          </cell>
          <cell r="Q1243">
            <v>0</v>
          </cell>
          <cell r="R1243">
            <v>0</v>
          </cell>
        </row>
        <row r="1244">
          <cell r="E1244">
            <v>24840</v>
          </cell>
          <cell r="F1244">
            <v>1470</v>
          </cell>
          <cell r="H1244">
            <v>19410</v>
          </cell>
          <cell r="I1244">
            <v>0</v>
          </cell>
          <cell r="J1244">
            <v>0</v>
          </cell>
          <cell r="L1244">
            <v>0</v>
          </cell>
          <cell r="M1244">
            <v>0</v>
          </cell>
          <cell r="N1244">
            <v>0</v>
          </cell>
          <cell r="P1244">
            <v>0</v>
          </cell>
          <cell r="Q1244">
            <v>0</v>
          </cell>
          <cell r="R1244">
            <v>0</v>
          </cell>
        </row>
        <row r="1245">
          <cell r="E1245">
            <v>34760</v>
          </cell>
          <cell r="F1245">
            <v>25600</v>
          </cell>
          <cell r="H1245">
            <v>61070</v>
          </cell>
          <cell r="I1245">
            <v>0</v>
          </cell>
          <cell r="J1245">
            <v>0</v>
          </cell>
          <cell r="L1245">
            <v>0</v>
          </cell>
          <cell r="M1245">
            <v>0</v>
          </cell>
          <cell r="N1245">
            <v>0</v>
          </cell>
          <cell r="P1245">
            <v>0</v>
          </cell>
          <cell r="Q1245">
            <v>0</v>
          </cell>
          <cell r="R1245">
            <v>0</v>
          </cell>
        </row>
        <row r="1246">
          <cell r="E1246">
            <v>30024</v>
          </cell>
          <cell r="F1246">
            <v>28936</v>
          </cell>
          <cell r="H1246">
            <v>17828</v>
          </cell>
          <cell r="I1246">
            <v>0</v>
          </cell>
          <cell r="J1246">
            <v>0</v>
          </cell>
          <cell r="L1246">
            <v>0</v>
          </cell>
          <cell r="M1246">
            <v>0</v>
          </cell>
          <cell r="N1246">
            <v>0</v>
          </cell>
          <cell r="P1246">
            <v>0</v>
          </cell>
          <cell r="Q1246">
            <v>0</v>
          </cell>
          <cell r="R1246">
            <v>0</v>
          </cell>
        </row>
        <row r="1247">
          <cell r="E1247">
            <v>1480</v>
          </cell>
          <cell r="F1247">
            <v>1760</v>
          </cell>
          <cell r="H1247">
            <v>1360</v>
          </cell>
          <cell r="I1247">
            <v>0</v>
          </cell>
          <cell r="J1247">
            <v>0</v>
          </cell>
          <cell r="L1247">
            <v>0</v>
          </cell>
          <cell r="M1247">
            <v>0</v>
          </cell>
          <cell r="N1247">
            <v>0</v>
          </cell>
          <cell r="P1247">
            <v>0</v>
          </cell>
          <cell r="Q1247">
            <v>0</v>
          </cell>
          <cell r="R1247">
            <v>0</v>
          </cell>
        </row>
        <row r="1248">
          <cell r="E1248">
            <v>2626</v>
          </cell>
          <cell r="F1248">
            <v>2208</v>
          </cell>
          <cell r="H1248">
            <v>5495</v>
          </cell>
          <cell r="I1248">
            <v>0</v>
          </cell>
          <cell r="J1248">
            <v>0</v>
          </cell>
          <cell r="L1248">
            <v>0</v>
          </cell>
          <cell r="M1248">
            <v>0</v>
          </cell>
          <cell r="N1248">
            <v>0</v>
          </cell>
          <cell r="P1248">
            <v>0</v>
          </cell>
          <cell r="Q1248">
            <v>0</v>
          </cell>
          <cell r="R1248">
            <v>0</v>
          </cell>
        </row>
        <row r="1249">
          <cell r="E1249">
            <v>0</v>
          </cell>
          <cell r="F1249">
            <v>39000</v>
          </cell>
          <cell r="H1249">
            <v>66550</v>
          </cell>
          <cell r="I1249">
            <v>0</v>
          </cell>
          <cell r="J1249">
            <v>0</v>
          </cell>
          <cell r="L1249">
            <v>0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R1249">
            <v>0</v>
          </cell>
        </row>
        <row r="1250">
          <cell r="E1250">
            <v>15300</v>
          </cell>
          <cell r="F1250">
            <v>0</v>
          </cell>
          <cell r="H1250">
            <v>0</v>
          </cell>
          <cell r="I1250">
            <v>2110</v>
          </cell>
          <cell r="J1250">
            <v>0</v>
          </cell>
          <cell r="L1250">
            <v>0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R1250">
            <v>0</v>
          </cell>
        </row>
        <row r="1251">
          <cell r="E1251">
            <v>97730</v>
          </cell>
          <cell r="F1251">
            <v>90300</v>
          </cell>
          <cell r="H1251">
            <v>112980</v>
          </cell>
          <cell r="I1251">
            <v>0</v>
          </cell>
          <cell r="J1251">
            <v>0</v>
          </cell>
          <cell r="L1251">
            <v>0</v>
          </cell>
          <cell r="M1251">
            <v>0</v>
          </cell>
          <cell r="N1251">
            <v>0</v>
          </cell>
          <cell r="P1251">
            <v>0</v>
          </cell>
          <cell r="Q1251">
            <v>0</v>
          </cell>
          <cell r="R1251">
            <v>0</v>
          </cell>
        </row>
        <row r="1252">
          <cell r="E1252">
            <v>0</v>
          </cell>
          <cell r="F1252">
            <v>0</v>
          </cell>
          <cell r="H1252">
            <v>5000</v>
          </cell>
          <cell r="I1252">
            <v>0</v>
          </cell>
          <cell r="J1252">
            <v>0</v>
          </cell>
          <cell r="L1252">
            <v>0</v>
          </cell>
          <cell r="M1252">
            <v>0</v>
          </cell>
          <cell r="N1252">
            <v>0</v>
          </cell>
          <cell r="P1252">
            <v>0</v>
          </cell>
          <cell r="Q1252">
            <v>0</v>
          </cell>
          <cell r="R1252">
            <v>0</v>
          </cell>
        </row>
        <row r="1253">
          <cell r="E1253">
            <v>0</v>
          </cell>
          <cell r="F1253">
            <v>0</v>
          </cell>
          <cell r="H1253">
            <v>0</v>
          </cell>
          <cell r="I1253">
            <v>0</v>
          </cell>
          <cell r="J1253">
            <v>0</v>
          </cell>
          <cell r="L1253">
            <v>0</v>
          </cell>
          <cell r="M1253">
            <v>0</v>
          </cell>
          <cell r="N1253">
            <v>0</v>
          </cell>
          <cell r="P1253">
            <v>0</v>
          </cell>
          <cell r="Q1253">
            <v>0</v>
          </cell>
          <cell r="R1253">
            <v>0</v>
          </cell>
        </row>
        <row r="1254">
          <cell r="E1254">
            <v>735340</v>
          </cell>
          <cell r="F1254">
            <v>1071780</v>
          </cell>
          <cell r="H1254">
            <v>1161850</v>
          </cell>
          <cell r="I1254">
            <v>0</v>
          </cell>
          <cell r="J1254">
            <v>0</v>
          </cell>
          <cell r="L1254">
            <v>0</v>
          </cell>
          <cell r="M1254">
            <v>0</v>
          </cell>
          <cell r="N1254">
            <v>0</v>
          </cell>
          <cell r="P1254">
            <v>0</v>
          </cell>
          <cell r="Q1254">
            <v>0</v>
          </cell>
          <cell r="R1254">
            <v>0</v>
          </cell>
        </row>
        <row r="1255">
          <cell r="E1255">
            <v>11300</v>
          </cell>
          <cell r="F1255">
            <v>55790</v>
          </cell>
          <cell r="H1255">
            <v>41290</v>
          </cell>
          <cell r="I1255">
            <v>0</v>
          </cell>
          <cell r="J1255">
            <v>0</v>
          </cell>
          <cell r="L1255">
            <v>0</v>
          </cell>
          <cell r="M1255">
            <v>0</v>
          </cell>
          <cell r="N1255">
            <v>0</v>
          </cell>
          <cell r="P1255">
            <v>0</v>
          </cell>
          <cell r="Q1255">
            <v>0</v>
          </cell>
          <cell r="R1255">
            <v>0</v>
          </cell>
        </row>
        <row r="1363">
          <cell r="D1363">
            <v>2070</v>
          </cell>
          <cell r="E1363">
            <v>15390</v>
          </cell>
          <cell r="F1363">
            <v>11940</v>
          </cell>
          <cell r="H1363">
            <v>1800</v>
          </cell>
          <cell r="I1363">
            <v>0</v>
          </cell>
          <cell r="J1363">
            <v>0</v>
          </cell>
          <cell r="L1363">
            <v>0</v>
          </cell>
          <cell r="M1363">
            <v>0</v>
          </cell>
          <cell r="N1363">
            <v>0</v>
          </cell>
          <cell r="P1363">
            <v>0</v>
          </cell>
          <cell r="Q1363">
            <v>0</v>
          </cell>
          <cell r="R1363">
            <v>0</v>
          </cell>
        </row>
        <row r="1364">
          <cell r="D1364">
            <v>2120</v>
          </cell>
          <cell r="E1364">
            <v>3760</v>
          </cell>
          <cell r="F1364">
            <v>2390</v>
          </cell>
          <cell r="H1364">
            <v>750</v>
          </cell>
          <cell r="I1364">
            <v>0</v>
          </cell>
          <cell r="J1364">
            <v>0</v>
          </cell>
          <cell r="L1364">
            <v>0</v>
          </cell>
          <cell r="M1364">
            <v>0</v>
          </cell>
          <cell r="N1364">
            <v>0</v>
          </cell>
          <cell r="P1364">
            <v>0</v>
          </cell>
          <cell r="Q1364">
            <v>0</v>
          </cell>
          <cell r="R1364">
            <v>0</v>
          </cell>
        </row>
        <row r="1365">
          <cell r="D1365">
            <v>18929</v>
          </cell>
          <cell r="E1365">
            <v>3860</v>
          </cell>
          <cell r="F1365">
            <v>890</v>
          </cell>
          <cell r="H1365">
            <v>0</v>
          </cell>
          <cell r="I1365">
            <v>0</v>
          </cell>
          <cell r="J1365">
            <v>0</v>
          </cell>
          <cell r="L1365">
            <v>0</v>
          </cell>
          <cell r="M1365">
            <v>0</v>
          </cell>
          <cell r="N1365">
            <v>0</v>
          </cell>
          <cell r="P1365">
            <v>0</v>
          </cell>
          <cell r="Q1365">
            <v>0</v>
          </cell>
          <cell r="R1365">
            <v>0</v>
          </cell>
        </row>
        <row r="1366">
          <cell r="D1366">
            <v>194</v>
          </cell>
          <cell r="E1366">
            <v>50</v>
          </cell>
          <cell r="F1366">
            <v>75</v>
          </cell>
          <cell r="H1366">
            <v>0</v>
          </cell>
          <cell r="I1366">
            <v>0</v>
          </cell>
          <cell r="J1366">
            <v>0</v>
          </cell>
          <cell r="L1366">
            <v>0</v>
          </cell>
          <cell r="M1366">
            <v>0</v>
          </cell>
          <cell r="N1366">
            <v>0</v>
          </cell>
          <cell r="P1366">
            <v>0</v>
          </cell>
          <cell r="Q1366">
            <v>0</v>
          </cell>
          <cell r="R1366">
            <v>0</v>
          </cell>
        </row>
        <row r="1367">
          <cell r="D1367">
            <v>0</v>
          </cell>
          <cell r="E1367">
            <v>5650</v>
          </cell>
          <cell r="F1367">
            <v>0</v>
          </cell>
          <cell r="H1367">
            <v>0</v>
          </cell>
          <cell r="I1367">
            <v>0</v>
          </cell>
          <cell r="J1367">
            <v>0</v>
          </cell>
          <cell r="L1367">
            <v>0</v>
          </cell>
          <cell r="M1367">
            <v>0</v>
          </cell>
          <cell r="N1367">
            <v>0</v>
          </cell>
          <cell r="P1367">
            <v>0</v>
          </cell>
          <cell r="Q1367">
            <v>0</v>
          </cell>
          <cell r="R1367">
            <v>0</v>
          </cell>
        </row>
        <row r="1368">
          <cell r="D1368">
            <v>24620</v>
          </cell>
          <cell r="E1368">
            <v>34620</v>
          </cell>
          <cell r="F1368">
            <v>26410</v>
          </cell>
          <cell r="H1368">
            <v>23200</v>
          </cell>
          <cell r="I1368">
            <v>0</v>
          </cell>
          <cell r="J1368">
            <v>0</v>
          </cell>
          <cell r="L1368">
            <v>0</v>
          </cell>
          <cell r="M1368">
            <v>0</v>
          </cell>
          <cell r="N1368">
            <v>0</v>
          </cell>
          <cell r="P1368">
            <v>0</v>
          </cell>
          <cell r="Q1368">
            <v>0</v>
          </cell>
          <cell r="R1368">
            <v>0</v>
          </cell>
        </row>
        <row r="1369">
          <cell r="D1369">
            <v>0</v>
          </cell>
          <cell r="E1369">
            <v>0</v>
          </cell>
          <cell r="F1369">
            <v>5314</v>
          </cell>
          <cell r="H1369">
            <v>0</v>
          </cell>
          <cell r="I1369">
            <v>0</v>
          </cell>
          <cell r="J1369">
            <v>0</v>
          </cell>
          <cell r="L1369">
            <v>0</v>
          </cell>
          <cell r="M1369">
            <v>0</v>
          </cell>
          <cell r="N1369">
            <v>0</v>
          </cell>
          <cell r="P1369">
            <v>0</v>
          </cell>
          <cell r="Q1369">
            <v>0</v>
          </cell>
          <cell r="R1369">
            <v>0</v>
          </cell>
        </row>
        <row r="1370">
          <cell r="D1370">
            <v>1000</v>
          </cell>
          <cell r="E1370">
            <v>1310</v>
          </cell>
          <cell r="F1370">
            <v>710</v>
          </cell>
          <cell r="H1370">
            <v>1140</v>
          </cell>
          <cell r="I1370">
            <v>0</v>
          </cell>
          <cell r="J1370">
            <v>0</v>
          </cell>
          <cell r="L1370">
            <v>0</v>
          </cell>
          <cell r="M1370">
            <v>0</v>
          </cell>
          <cell r="N1370">
            <v>0</v>
          </cell>
          <cell r="P1370">
            <v>0</v>
          </cell>
          <cell r="Q1370">
            <v>0</v>
          </cell>
          <cell r="R1370">
            <v>0</v>
          </cell>
        </row>
        <row r="1371">
          <cell r="D1371">
            <v>28230</v>
          </cell>
          <cell r="E1371">
            <v>44530</v>
          </cell>
          <cell r="F1371">
            <v>26850</v>
          </cell>
          <cell r="H1371">
            <v>23770</v>
          </cell>
          <cell r="I1371">
            <v>0</v>
          </cell>
          <cell r="J1371">
            <v>0</v>
          </cell>
          <cell r="L1371">
            <v>0</v>
          </cell>
          <cell r="M1371">
            <v>0</v>
          </cell>
          <cell r="N1371">
            <v>0</v>
          </cell>
          <cell r="P1371">
            <v>0</v>
          </cell>
          <cell r="Q1371">
            <v>0</v>
          </cell>
          <cell r="R1371">
            <v>0</v>
          </cell>
        </row>
        <row r="1372">
          <cell r="D1372">
            <v>9410</v>
          </cell>
          <cell r="E1372">
            <v>11580</v>
          </cell>
          <cell r="F1372">
            <v>18000</v>
          </cell>
          <cell r="H1372">
            <v>5540</v>
          </cell>
          <cell r="I1372">
            <v>0</v>
          </cell>
          <cell r="J1372">
            <v>0</v>
          </cell>
          <cell r="L1372">
            <v>0</v>
          </cell>
          <cell r="M1372">
            <v>0</v>
          </cell>
          <cell r="N1372">
            <v>0</v>
          </cell>
          <cell r="P1372">
            <v>0</v>
          </cell>
          <cell r="Q1372">
            <v>0</v>
          </cell>
          <cell r="R1372">
            <v>0</v>
          </cell>
        </row>
        <row r="1373">
          <cell r="D1373">
            <v>68199</v>
          </cell>
          <cell r="E1373">
            <v>54827</v>
          </cell>
          <cell r="F1373">
            <v>131901</v>
          </cell>
          <cell r="H1373">
            <v>87554</v>
          </cell>
          <cell r="I1373">
            <v>0</v>
          </cell>
          <cell r="J1373">
            <v>0</v>
          </cell>
          <cell r="L1373">
            <v>0</v>
          </cell>
          <cell r="M1373">
            <v>0</v>
          </cell>
          <cell r="N1373">
            <v>0</v>
          </cell>
          <cell r="P1373">
            <v>0</v>
          </cell>
          <cell r="Q1373">
            <v>0</v>
          </cell>
          <cell r="R1373">
            <v>0</v>
          </cell>
        </row>
        <row r="1374">
          <cell r="D1374">
            <v>3600</v>
          </cell>
          <cell r="E1374">
            <v>1581</v>
          </cell>
          <cell r="F1374">
            <v>3225</v>
          </cell>
          <cell r="H1374">
            <v>0</v>
          </cell>
          <cell r="I1374">
            <v>0</v>
          </cell>
          <cell r="J1374">
            <v>0</v>
          </cell>
          <cell r="L1374">
            <v>0</v>
          </cell>
          <cell r="M1374">
            <v>0</v>
          </cell>
          <cell r="N1374">
            <v>0</v>
          </cell>
          <cell r="P1374">
            <v>0</v>
          </cell>
          <cell r="Q1374">
            <v>0</v>
          </cell>
          <cell r="R1374">
            <v>0</v>
          </cell>
        </row>
        <row r="1375">
          <cell r="D1375">
            <v>0</v>
          </cell>
          <cell r="E1375">
            <v>0</v>
          </cell>
          <cell r="F1375">
            <v>0</v>
          </cell>
          <cell r="H1375">
            <v>0</v>
          </cell>
          <cell r="I1375">
            <v>0</v>
          </cell>
          <cell r="J1375">
            <v>0</v>
          </cell>
          <cell r="L1375">
            <v>0</v>
          </cell>
          <cell r="M1375">
            <v>0</v>
          </cell>
          <cell r="N1375">
            <v>0</v>
          </cell>
          <cell r="P1375">
            <v>0</v>
          </cell>
          <cell r="Q1375">
            <v>0</v>
          </cell>
          <cell r="R1375">
            <v>0</v>
          </cell>
        </row>
        <row r="1376">
          <cell r="D1376">
            <v>15090</v>
          </cell>
          <cell r="E1376">
            <v>10050</v>
          </cell>
          <cell r="F1376">
            <v>24850</v>
          </cell>
          <cell r="H1376">
            <v>0</v>
          </cell>
          <cell r="I1376">
            <v>0</v>
          </cell>
          <cell r="J1376">
            <v>0</v>
          </cell>
          <cell r="L1376">
            <v>0</v>
          </cell>
          <cell r="M1376">
            <v>0</v>
          </cell>
          <cell r="N1376">
            <v>0</v>
          </cell>
          <cell r="P1376">
            <v>0</v>
          </cell>
          <cell r="Q1376">
            <v>0</v>
          </cell>
          <cell r="R1376">
            <v>0</v>
          </cell>
        </row>
        <row r="1377">
          <cell r="D1377">
            <v>34860</v>
          </cell>
          <cell r="E1377">
            <v>41860</v>
          </cell>
          <cell r="F1377">
            <v>20930</v>
          </cell>
          <cell r="H1377">
            <v>3930</v>
          </cell>
          <cell r="I1377">
            <v>0</v>
          </cell>
          <cell r="J1377">
            <v>0</v>
          </cell>
          <cell r="L1377">
            <v>0</v>
          </cell>
          <cell r="M1377">
            <v>0</v>
          </cell>
          <cell r="N1377">
            <v>0</v>
          </cell>
          <cell r="P1377">
            <v>0</v>
          </cell>
          <cell r="Q1377">
            <v>0</v>
          </cell>
          <cell r="R1377">
            <v>0</v>
          </cell>
        </row>
        <row r="1378">
          <cell r="D1378">
            <v>5330</v>
          </cell>
          <cell r="E1378">
            <v>5770</v>
          </cell>
          <cell r="F1378">
            <v>7190</v>
          </cell>
          <cell r="H1378">
            <v>0</v>
          </cell>
          <cell r="I1378">
            <v>0</v>
          </cell>
          <cell r="J1378">
            <v>0</v>
          </cell>
          <cell r="L1378">
            <v>0</v>
          </cell>
          <cell r="M1378">
            <v>0</v>
          </cell>
          <cell r="N1378">
            <v>0</v>
          </cell>
          <cell r="P1378">
            <v>0</v>
          </cell>
          <cell r="Q1378">
            <v>0</v>
          </cell>
          <cell r="R1378">
            <v>0</v>
          </cell>
        </row>
        <row r="1379">
          <cell r="D1379">
            <v>0</v>
          </cell>
          <cell r="E1379">
            <v>0</v>
          </cell>
          <cell r="F1379">
            <v>0</v>
          </cell>
          <cell r="H1379">
            <v>0</v>
          </cell>
          <cell r="I1379">
            <v>0</v>
          </cell>
          <cell r="J1379">
            <v>0</v>
          </cell>
          <cell r="L1379">
            <v>0</v>
          </cell>
          <cell r="M1379">
            <v>0</v>
          </cell>
          <cell r="N1379">
            <v>0</v>
          </cell>
          <cell r="P1379">
            <v>0</v>
          </cell>
          <cell r="Q1379">
            <v>0</v>
          </cell>
          <cell r="R1379">
            <v>0</v>
          </cell>
        </row>
        <row r="1380">
          <cell r="D1380">
            <v>0</v>
          </cell>
          <cell r="E1380">
            <v>0</v>
          </cell>
          <cell r="F1380">
            <v>0</v>
          </cell>
          <cell r="H1380">
            <v>0</v>
          </cell>
          <cell r="I1380">
            <v>0</v>
          </cell>
          <cell r="J1380">
            <v>0</v>
          </cell>
          <cell r="L1380">
            <v>0</v>
          </cell>
          <cell r="M1380">
            <v>0</v>
          </cell>
          <cell r="N1380">
            <v>0</v>
          </cell>
          <cell r="P1380">
            <v>0</v>
          </cell>
          <cell r="Q1380">
            <v>0</v>
          </cell>
          <cell r="R1380">
            <v>0</v>
          </cell>
        </row>
        <row r="1381">
          <cell r="D1381">
            <v>0</v>
          </cell>
          <cell r="E1381">
            <v>0</v>
          </cell>
          <cell r="F1381">
            <v>0</v>
          </cell>
          <cell r="H1381">
            <v>11000</v>
          </cell>
          <cell r="I1381">
            <v>0</v>
          </cell>
          <cell r="J1381">
            <v>0</v>
          </cell>
          <cell r="L1381">
            <v>0</v>
          </cell>
          <cell r="M1381">
            <v>0</v>
          </cell>
          <cell r="N1381">
            <v>0</v>
          </cell>
          <cell r="P1381">
            <v>0</v>
          </cell>
          <cell r="Q1381">
            <v>0</v>
          </cell>
          <cell r="R1381">
            <v>0</v>
          </cell>
        </row>
        <row r="1382">
          <cell r="D1382">
            <v>27640</v>
          </cell>
          <cell r="E1382">
            <v>8380</v>
          </cell>
          <cell r="F1382">
            <v>21585</v>
          </cell>
          <cell r="H1382">
            <v>3390</v>
          </cell>
          <cell r="I1382">
            <v>0</v>
          </cell>
          <cell r="J1382">
            <v>0</v>
          </cell>
          <cell r="L1382">
            <v>0</v>
          </cell>
          <cell r="M1382">
            <v>0</v>
          </cell>
          <cell r="N1382">
            <v>0</v>
          </cell>
          <cell r="P1382">
            <v>0</v>
          </cell>
          <cell r="Q1382">
            <v>0</v>
          </cell>
          <cell r="R1382">
            <v>0</v>
          </cell>
        </row>
        <row r="1383">
          <cell r="D1383">
            <v>0</v>
          </cell>
          <cell r="E1383">
            <v>0</v>
          </cell>
          <cell r="F1383">
            <v>0</v>
          </cell>
          <cell r="H1383">
            <v>0</v>
          </cell>
          <cell r="I1383">
            <v>0</v>
          </cell>
          <cell r="J1383">
            <v>0</v>
          </cell>
          <cell r="L1383">
            <v>0</v>
          </cell>
          <cell r="M1383">
            <v>0</v>
          </cell>
          <cell r="N1383">
            <v>0</v>
          </cell>
          <cell r="P1383">
            <v>0</v>
          </cell>
          <cell r="Q1383">
            <v>0</v>
          </cell>
          <cell r="R1383">
            <v>0</v>
          </cell>
        </row>
        <row r="1384">
          <cell r="D1384">
            <v>0</v>
          </cell>
          <cell r="E1384">
            <v>0</v>
          </cell>
          <cell r="F1384">
            <v>0</v>
          </cell>
          <cell r="H1384">
            <v>0</v>
          </cell>
          <cell r="I1384">
            <v>0</v>
          </cell>
          <cell r="J1384">
            <v>0</v>
          </cell>
          <cell r="L1384">
            <v>0</v>
          </cell>
          <cell r="M1384">
            <v>0</v>
          </cell>
          <cell r="N1384">
            <v>0</v>
          </cell>
          <cell r="P1384">
            <v>0</v>
          </cell>
          <cell r="Q1384">
            <v>0</v>
          </cell>
          <cell r="R1384">
            <v>0</v>
          </cell>
        </row>
        <row r="1385">
          <cell r="D1385">
            <v>0</v>
          </cell>
          <cell r="E1385">
            <v>4930</v>
          </cell>
          <cell r="F1385">
            <v>0</v>
          </cell>
          <cell r="H1385">
            <v>0</v>
          </cell>
          <cell r="I1385">
            <v>0</v>
          </cell>
          <cell r="J1385">
            <v>0</v>
          </cell>
          <cell r="L1385">
            <v>0</v>
          </cell>
          <cell r="M1385">
            <v>0</v>
          </cell>
          <cell r="N1385">
            <v>0</v>
          </cell>
          <cell r="P1385">
            <v>0</v>
          </cell>
          <cell r="Q1385">
            <v>0</v>
          </cell>
          <cell r="R1385">
            <v>0</v>
          </cell>
        </row>
        <row r="1386">
          <cell r="D1386">
            <v>0</v>
          </cell>
          <cell r="E1386">
            <v>0</v>
          </cell>
          <cell r="F1386">
            <v>0</v>
          </cell>
          <cell r="H1386">
            <v>0</v>
          </cell>
          <cell r="I1386">
            <v>0</v>
          </cell>
          <cell r="J1386">
            <v>0</v>
          </cell>
          <cell r="L1386">
            <v>0</v>
          </cell>
          <cell r="M1386">
            <v>0</v>
          </cell>
          <cell r="N1386">
            <v>0</v>
          </cell>
          <cell r="P1386">
            <v>0</v>
          </cell>
          <cell r="Q1386">
            <v>0</v>
          </cell>
          <cell r="R1386">
            <v>0</v>
          </cell>
        </row>
        <row r="1387">
          <cell r="D1387">
            <v>0</v>
          </cell>
          <cell r="E1387">
            <v>0</v>
          </cell>
          <cell r="F1387">
            <v>0</v>
          </cell>
          <cell r="H1387">
            <v>0</v>
          </cell>
          <cell r="I1387">
            <v>0</v>
          </cell>
          <cell r="J1387">
            <v>0</v>
          </cell>
          <cell r="L1387">
            <v>0</v>
          </cell>
          <cell r="M1387">
            <v>0</v>
          </cell>
          <cell r="N1387">
            <v>0</v>
          </cell>
          <cell r="P1387">
            <v>0</v>
          </cell>
          <cell r="Q1387">
            <v>0</v>
          </cell>
          <cell r="R1387">
            <v>0</v>
          </cell>
        </row>
        <row r="1388">
          <cell r="D1388">
            <v>0</v>
          </cell>
          <cell r="E1388">
            <v>0</v>
          </cell>
          <cell r="F1388">
            <v>0</v>
          </cell>
          <cell r="H1388">
            <v>0</v>
          </cell>
          <cell r="I1388">
            <v>0</v>
          </cell>
          <cell r="J1388">
            <v>0</v>
          </cell>
          <cell r="L1388">
            <v>0</v>
          </cell>
          <cell r="M1388">
            <v>0</v>
          </cell>
          <cell r="N1388">
            <v>0</v>
          </cell>
          <cell r="P1388">
            <v>0</v>
          </cell>
          <cell r="Q1388">
            <v>0</v>
          </cell>
          <cell r="R1388">
            <v>0</v>
          </cell>
        </row>
        <row r="1389">
          <cell r="D1389">
            <v>0</v>
          </cell>
          <cell r="E1389">
            <v>42350</v>
          </cell>
          <cell r="F1389">
            <v>0</v>
          </cell>
          <cell r="H1389">
            <v>0</v>
          </cell>
          <cell r="I1389">
            <v>0</v>
          </cell>
          <cell r="J1389">
            <v>0</v>
          </cell>
          <cell r="L1389">
            <v>0</v>
          </cell>
          <cell r="M1389">
            <v>0</v>
          </cell>
          <cell r="N1389">
            <v>0</v>
          </cell>
          <cell r="P1389">
            <v>0</v>
          </cell>
          <cell r="Q1389">
            <v>0</v>
          </cell>
          <cell r="R1389">
            <v>0</v>
          </cell>
        </row>
        <row r="1390">
          <cell r="D1390">
            <v>151200</v>
          </cell>
          <cell r="E1390">
            <v>297080</v>
          </cell>
          <cell r="F1390">
            <v>327680</v>
          </cell>
          <cell r="H1390">
            <v>267631</v>
          </cell>
          <cell r="I1390">
            <v>0</v>
          </cell>
          <cell r="J1390">
            <v>0</v>
          </cell>
          <cell r="L1390">
            <v>0</v>
          </cell>
          <cell r="M1390">
            <v>0</v>
          </cell>
          <cell r="N1390">
            <v>0</v>
          </cell>
          <cell r="P1390">
            <v>0</v>
          </cell>
          <cell r="Q1390">
            <v>0</v>
          </cell>
          <cell r="R1390">
            <v>0</v>
          </cell>
        </row>
        <row r="1391">
          <cell r="D1391">
            <v>0</v>
          </cell>
          <cell r="E1391">
            <v>5100</v>
          </cell>
          <cell r="F1391">
            <v>1500</v>
          </cell>
          <cell r="H1391">
            <v>2340</v>
          </cell>
          <cell r="I1391">
            <v>0</v>
          </cell>
          <cell r="J1391">
            <v>0</v>
          </cell>
          <cell r="L1391">
            <v>0</v>
          </cell>
          <cell r="M1391">
            <v>0</v>
          </cell>
          <cell r="N1391">
            <v>0</v>
          </cell>
          <cell r="P1391">
            <v>0</v>
          </cell>
          <cell r="Q1391">
            <v>0</v>
          </cell>
          <cell r="R1391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ion"/>
      <sheetName val="Water withdrawal"/>
      <sheetName val="Hz waste gen"/>
      <sheetName val="Non-hz waste gen"/>
      <sheetName val="Waste disposal"/>
      <sheetName val="NOx"/>
      <sheetName val="SO2"/>
      <sheetName val="VOCs"/>
      <sheetName val="Sheet1"/>
      <sheetName val="Sheet2"/>
    </sheetNames>
    <sheetDataSet>
      <sheetData sheetId="0">
        <row r="2">
          <cell r="G2">
            <v>1751560</v>
          </cell>
        </row>
        <row r="24">
          <cell r="D24">
            <v>10344745.617753649</v>
          </cell>
        </row>
      </sheetData>
      <sheetData sheetId="1">
        <row r="2">
          <cell r="G2">
            <v>3117776.8</v>
          </cell>
        </row>
        <row r="27">
          <cell r="L27">
            <v>3.013262924204104</v>
          </cell>
          <cell r="M27">
            <v>2.9758424662630598</v>
          </cell>
          <cell r="N27">
            <v>3.0251207557311637</v>
          </cell>
        </row>
        <row r="28">
          <cell r="L28">
            <v>2.9333515920732274</v>
          </cell>
          <cell r="M28">
            <v>2.9194011944849119</v>
          </cell>
          <cell r="N28">
            <v>2.9877157064308952</v>
          </cell>
        </row>
      </sheetData>
      <sheetData sheetId="2">
        <row r="27">
          <cell r="G27">
            <v>13430.117370357639</v>
          </cell>
        </row>
        <row r="58">
          <cell r="C58">
            <v>1.588990650589452</v>
          </cell>
          <cell r="D58">
            <v>1.0945726667403946</v>
          </cell>
          <cell r="E58">
            <v>1.405835177042593</v>
          </cell>
          <cell r="U58">
            <v>0.88315902603859708</v>
          </cell>
          <cell r="V58">
            <v>0.95549417338560694</v>
          </cell>
          <cell r="W58">
            <v>0.92286760944100721</v>
          </cell>
        </row>
        <row r="59">
          <cell r="C59">
            <v>1.4320631397858594</v>
          </cell>
          <cell r="D59">
            <v>1.0075551457902248</v>
          </cell>
          <cell r="E59">
            <v>1.3132584746456342</v>
          </cell>
          <cell r="U59">
            <v>0.80412860756693105</v>
          </cell>
          <cell r="V59">
            <v>0.85955811063304222</v>
          </cell>
          <cell r="W59">
            <v>0.87199984120869078</v>
          </cell>
        </row>
      </sheetData>
      <sheetData sheetId="3">
        <row r="27">
          <cell r="G27">
            <v>26394.780496963631</v>
          </cell>
        </row>
        <row r="58">
          <cell r="C58">
            <v>2.8904757535949304</v>
          </cell>
          <cell r="D58">
            <v>2.2005739439560581</v>
          </cell>
          <cell r="E58">
            <v>2.4475783136484255</v>
          </cell>
          <cell r="U58">
            <v>2.8115072675407031</v>
          </cell>
          <cell r="V58">
            <v>2.1726642991343463</v>
          </cell>
          <cell r="W58">
            <v>2.3376835224680965</v>
          </cell>
        </row>
        <row r="59">
          <cell r="C59">
            <v>2.7225056093766744</v>
          </cell>
          <cell r="D59">
            <v>1.9630567142674102</v>
          </cell>
          <cell r="E59">
            <v>2.1730824336399555</v>
          </cell>
          <cell r="U59">
            <v>2.6388363517029658</v>
          </cell>
          <cell r="V59">
            <v>1.9333472183045413</v>
          </cell>
          <cell r="W59">
            <v>2.0576743713537708</v>
          </cell>
        </row>
      </sheetData>
      <sheetData sheetId="4">
        <row r="27">
          <cell r="G27">
            <v>8190.5074162066376</v>
          </cell>
        </row>
        <row r="58">
          <cell r="C58">
            <v>1.3272270307983445</v>
          </cell>
          <cell r="D58">
            <v>0.64391855660856101</v>
          </cell>
          <cell r="E58">
            <v>0.69644023684470358</v>
          </cell>
          <cell r="U58">
            <v>1.0371532498570704</v>
          </cell>
          <cell r="V58">
            <v>0.64391855660856101</v>
          </cell>
          <cell r="W58">
            <v>0.69644023684470358</v>
          </cell>
        </row>
        <row r="59">
          <cell r="C59">
            <v>1.1539626144718642</v>
          </cell>
          <cell r="D59">
            <v>0.48961816609188996</v>
          </cell>
          <cell r="E59">
            <v>0.54858757997339114</v>
          </cell>
          <cell r="U59">
            <v>0.84662155812571782</v>
          </cell>
          <cell r="V59">
            <v>0.48961816609188996</v>
          </cell>
          <cell r="W59">
            <v>0.54858757997339103</v>
          </cell>
        </row>
      </sheetData>
      <sheetData sheetId="5">
        <row r="15">
          <cell r="D15">
            <v>1573.8287247019998</v>
          </cell>
          <cell r="G15">
            <v>1698.9826613720606</v>
          </cell>
        </row>
        <row r="16">
          <cell r="L16">
            <v>154.26721480333018</v>
          </cell>
          <cell r="M16">
            <v>159.72972109573683</v>
          </cell>
          <cell r="N16">
            <v>170.06309624406882</v>
          </cell>
        </row>
        <row r="23">
          <cell r="C23">
            <v>9.0561442384612842</v>
          </cell>
          <cell r="D23">
            <v>10.344745617753649</v>
          </cell>
          <cell r="E23">
            <v>8.5988598636000013</v>
          </cell>
        </row>
      </sheetData>
      <sheetData sheetId="6">
        <row r="12">
          <cell r="D12">
            <v>28.029308063498149</v>
          </cell>
          <cell r="G12">
            <v>22.4295869349301</v>
          </cell>
        </row>
      </sheetData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ion"/>
      <sheetName val="Water withdrawal"/>
      <sheetName val="NOx"/>
      <sheetName val="SOx"/>
      <sheetName val="Dust"/>
      <sheetName val="Hz waste gen"/>
      <sheetName val="Non-hz waste gen"/>
      <sheetName val="Waste disposal"/>
      <sheetName val="Dashboard"/>
      <sheetName val="ESG"/>
    </sheetNames>
    <sheetDataSet>
      <sheetData sheetId="0">
        <row r="23">
          <cell r="Q23">
            <v>8280614.9300000016</v>
          </cell>
        </row>
      </sheetData>
      <sheetData sheetId="1">
        <row r="59">
          <cell r="Q59">
            <v>3.1451859125394681</v>
          </cell>
        </row>
        <row r="70">
          <cell r="Z70">
            <v>10344745.617753649</v>
          </cell>
        </row>
        <row r="99">
          <cell r="E99">
            <v>2020</v>
          </cell>
          <cell r="F99">
            <v>2021</v>
          </cell>
          <cell r="G99">
            <v>2022</v>
          </cell>
          <cell r="H99" t="str">
            <v>Plan 2023</v>
          </cell>
          <cell r="I99" t="str">
            <v>Actual 2023</v>
          </cell>
          <cell r="J99" t="str">
            <v>Normalize 2023</v>
          </cell>
          <cell r="K99" t="str">
            <v>Plan 2024</v>
          </cell>
        </row>
        <row r="101">
          <cell r="E101">
            <v>9.0561442384612842</v>
          </cell>
          <cell r="F101">
            <v>10.344745617753649</v>
          </cell>
          <cell r="G101">
            <v>8.5988598636000013</v>
          </cell>
          <cell r="H101">
            <v>9.1984955120831806</v>
          </cell>
          <cell r="I101">
            <v>8280614.9300000016</v>
          </cell>
        </row>
        <row r="103">
          <cell r="E103">
            <v>8.5473448657681743</v>
          </cell>
          <cell r="F103">
            <v>9.7048037773794942</v>
          </cell>
          <cell r="G103">
            <v>7.5174074896</v>
          </cell>
          <cell r="H103">
            <v>8.6185785120831842</v>
          </cell>
          <cell r="I103">
            <v>7.7716394509999995</v>
          </cell>
        </row>
        <row r="151">
          <cell r="D151">
            <v>2020</v>
          </cell>
          <cell r="E151">
            <v>2021</v>
          </cell>
          <cell r="F151">
            <v>2022</v>
          </cell>
          <cell r="G151">
            <v>2023</v>
          </cell>
          <cell r="H151" t="str">
            <v>Plan 2024</v>
          </cell>
        </row>
        <row r="152">
          <cell r="B152" t="str">
            <v>Actual</v>
          </cell>
        </row>
        <row r="153">
          <cell r="B153" t="str">
            <v>Normalize</v>
          </cell>
        </row>
      </sheetData>
      <sheetData sheetId="2">
        <row r="55">
          <cell r="Q55">
            <v>176.58771462745756</v>
          </cell>
        </row>
        <row r="99">
          <cell r="M99" t="str">
            <v>ton product</v>
          </cell>
          <cell r="N99">
            <v>10344745.617753649</v>
          </cell>
          <cell r="P99">
            <v>8280614.9300000016</v>
          </cell>
        </row>
        <row r="170">
          <cell r="L170">
            <v>10344745.617753649</v>
          </cell>
        </row>
      </sheetData>
      <sheetData sheetId="3"/>
      <sheetData sheetId="4"/>
      <sheetData sheetId="5">
        <row r="59">
          <cell r="Q59">
            <v>1.3054520098035491</v>
          </cell>
        </row>
        <row r="68">
          <cell r="B68" t="str">
            <v>Actual 2020</v>
          </cell>
          <cell r="C68" t="str">
            <v>Actual 2021</v>
          </cell>
          <cell r="D68" t="str">
            <v>Actual 2022</v>
          </cell>
          <cell r="E68">
            <v>44927</v>
          </cell>
          <cell r="F68">
            <v>44958</v>
          </cell>
          <cell r="G68">
            <v>44986</v>
          </cell>
          <cell r="H68">
            <v>45017</v>
          </cell>
          <cell r="I68">
            <v>45047</v>
          </cell>
          <cell r="J68">
            <v>45078</v>
          </cell>
          <cell r="K68">
            <v>45108</v>
          </cell>
          <cell r="L68">
            <v>45139</v>
          </cell>
          <cell r="M68">
            <v>45170</v>
          </cell>
          <cell r="N68">
            <v>45200</v>
          </cell>
          <cell r="O68">
            <v>45231</v>
          </cell>
          <cell r="P68">
            <v>45261</v>
          </cell>
          <cell r="Q68" t="str">
            <v>Actual 2023</v>
          </cell>
          <cell r="R68" t="str">
            <v>Plan 2024</v>
          </cell>
        </row>
        <row r="70">
          <cell r="A70" t="str">
            <v>Actual</v>
          </cell>
        </row>
        <row r="71">
          <cell r="A71" t="str">
            <v>Normalize</v>
          </cell>
        </row>
        <row r="99">
          <cell r="E99">
            <v>2020</v>
          </cell>
          <cell r="F99">
            <v>2021</v>
          </cell>
          <cell r="G99">
            <v>2022</v>
          </cell>
          <cell r="H99" t="str">
            <v>Plan 2023</v>
          </cell>
          <cell r="I99" t="str">
            <v>Actual 2023</v>
          </cell>
          <cell r="J99" t="str">
            <v>Normalize 2023</v>
          </cell>
          <cell r="K99" t="str">
            <v>Plan 2024</v>
          </cell>
        </row>
        <row r="103">
          <cell r="K103">
            <v>8.5300867756288596</v>
          </cell>
        </row>
        <row r="107">
          <cell r="K107">
            <v>8.0037267756288593</v>
          </cell>
        </row>
        <row r="179">
          <cell r="L179">
            <v>10344745.617753649</v>
          </cell>
        </row>
      </sheetData>
      <sheetData sheetId="6">
        <row r="59">
          <cell r="Q59">
            <v>2.5242002367409522</v>
          </cell>
        </row>
        <row r="103">
          <cell r="K103">
            <v>8.5300867756288596</v>
          </cell>
        </row>
        <row r="107">
          <cell r="K107">
            <v>8.0037267756288593</v>
          </cell>
        </row>
        <row r="178">
          <cell r="K178">
            <v>10344745.617753649</v>
          </cell>
        </row>
      </sheetData>
      <sheetData sheetId="7">
        <row r="93">
          <cell r="Q93">
            <v>0.58324098401228264</v>
          </cell>
        </row>
      </sheetData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ion"/>
      <sheetName val="Water withdrawal"/>
      <sheetName val="NOx"/>
      <sheetName val="SOx"/>
      <sheetName val="Dust"/>
      <sheetName val="Hz waste gen"/>
      <sheetName val="Non-hz waste gen"/>
      <sheetName val="Waste disposal"/>
      <sheetName val="Dashboard"/>
      <sheetName val="ESG"/>
    </sheetNames>
    <sheetDataSet>
      <sheetData sheetId="0">
        <row r="24">
          <cell r="Q24">
            <v>7771639.4610000001</v>
          </cell>
        </row>
      </sheetData>
      <sheetData sheetId="1">
        <row r="60">
          <cell r="Q60">
            <v>3.0907485486864377</v>
          </cell>
        </row>
      </sheetData>
      <sheetData sheetId="2">
        <row r="56">
          <cell r="Q56">
            <v>185.53273442935387</v>
          </cell>
        </row>
      </sheetData>
      <sheetData sheetId="3"/>
      <sheetData sheetId="4"/>
      <sheetData sheetId="5">
        <row r="60">
          <cell r="Q60">
            <v>1.1413270062914977</v>
          </cell>
        </row>
      </sheetData>
      <sheetData sheetId="6"/>
      <sheetData sheetId="7">
        <row r="94">
          <cell r="Q94">
            <v>0.40664045416143885</v>
          </cell>
        </row>
      </sheetData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ion"/>
      <sheetName val="Water withdrawal"/>
      <sheetName val="NOx"/>
      <sheetName val="SOx"/>
      <sheetName val="Dust"/>
      <sheetName val="Hz waste gen"/>
      <sheetName val="Non-hz waste gen"/>
      <sheetName val="Waste disposal"/>
      <sheetName val="Dashboard"/>
      <sheetName val="ESG Dashboard"/>
    </sheetNames>
    <sheetDataSet>
      <sheetData sheetId="0">
        <row r="23">
          <cell r="Q23">
            <v>8406569.9373519644</v>
          </cell>
        </row>
        <row r="24">
          <cell r="Q24">
            <v>7887026.059976832</v>
          </cell>
        </row>
      </sheetData>
      <sheetData sheetId="1">
        <row r="59">
          <cell r="Q59">
            <v>3.171595648089264</v>
          </cell>
        </row>
        <row r="60">
          <cell r="Q60">
            <v>3.104852680141323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8">
          <cell r="B18">
            <v>12240.337525304518</v>
          </cell>
        </row>
        <row r="40">
          <cell r="B40">
            <v>8547344.8657681737</v>
          </cell>
          <cell r="C40">
            <v>9704803.7773794942</v>
          </cell>
          <cell r="D40">
            <v>7517407.4896</v>
          </cell>
        </row>
        <row r="63">
          <cell r="E63">
            <v>2.3836961389993312</v>
          </cell>
        </row>
        <row r="64">
          <cell r="E64">
            <v>2.8936871866971146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get"/>
      <sheetName val="Production"/>
      <sheetName val="Water"/>
      <sheetName val="Hz waste gen"/>
      <sheetName val="Non Hz waste gen"/>
      <sheetName val="Waste direct to disposal"/>
      <sheetName val="NOx"/>
      <sheetName val="SOx"/>
      <sheetName val="VOC"/>
      <sheetName val="VOC (พี่หนุ่ม)"/>
      <sheetName val="VOC TPE (พี่หนุ่ม)"/>
      <sheetName val="Flare Esimation (พี่หนุ่ม)"/>
    </sheetNames>
    <sheetDataSet>
      <sheetData sheetId="0"/>
      <sheetData sheetId="1">
        <row r="30">
          <cell r="K30">
            <v>8618578.512083184</v>
          </cell>
        </row>
      </sheetData>
      <sheetData sheetId="2">
        <row r="63">
          <cell r="M63">
            <v>2.9906634522725741</v>
          </cell>
        </row>
      </sheetData>
      <sheetData sheetId="3">
        <row r="63">
          <cell r="H63">
            <v>0.88315902603859719</v>
          </cell>
        </row>
      </sheetData>
      <sheetData sheetId="4">
        <row r="21">
          <cell r="T21">
            <v>2.8904757535949308</v>
          </cell>
        </row>
      </sheetData>
      <sheetData sheetId="5">
        <row r="10">
          <cell r="T10">
            <v>559.37</v>
          </cell>
        </row>
        <row r="68">
          <cell r="L68">
            <v>0.51939699718788701</v>
          </cell>
        </row>
        <row r="102">
          <cell r="I102">
            <v>0.29007378094127423</v>
          </cell>
          <cell r="J102">
            <v>0.08</v>
          </cell>
          <cell r="K102">
            <v>0.08</v>
          </cell>
        </row>
      </sheetData>
      <sheetData sheetId="6"/>
      <sheetData sheetId="7"/>
      <sheetData sheetId="8">
        <row r="10">
          <cell r="E10">
            <v>29.954708498416228</v>
          </cell>
        </row>
      </sheetData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ion"/>
      <sheetName val="Water withdrawal"/>
      <sheetName val="Hz waste gen"/>
      <sheetName val="Non-hz waste gen"/>
      <sheetName val="Waste disposal"/>
      <sheetName val="NOx"/>
      <sheetName val="SOx"/>
      <sheetName val="Dust"/>
      <sheetName val="Water Analysis"/>
      <sheetName val="Dashboard ส่ง ESG"/>
    </sheetNames>
    <sheetDataSet>
      <sheetData sheetId="0"/>
      <sheetData sheetId="1"/>
      <sheetData sheetId="2">
        <row r="72">
          <cell r="B72">
            <v>2020</v>
          </cell>
          <cell r="C72">
            <v>2021</v>
          </cell>
          <cell r="D72">
            <v>2022</v>
          </cell>
          <cell r="E72">
            <v>2023</v>
          </cell>
          <cell r="G72">
            <v>45323</v>
          </cell>
          <cell r="R72" t="str">
            <v>YTD 2024</v>
          </cell>
        </row>
        <row r="76">
          <cell r="A76" t="str">
            <v>Production</v>
          </cell>
          <cell r="B76">
            <v>9.0561442384612807</v>
          </cell>
          <cell r="C76">
            <v>10.3315058334617</v>
          </cell>
          <cell r="D76">
            <v>8.0495006936000006</v>
          </cell>
          <cell r="E76">
            <v>8.2806149300000023</v>
          </cell>
        </row>
      </sheetData>
      <sheetData sheetId="3"/>
      <sheetData sheetId="4">
        <row r="73">
          <cell r="B73">
            <v>2020</v>
          </cell>
          <cell r="C73">
            <v>2021</v>
          </cell>
          <cell r="D73">
            <v>2022</v>
          </cell>
          <cell r="E73">
            <v>2023</v>
          </cell>
          <cell r="J73">
            <v>45413</v>
          </cell>
          <cell r="R73" t="str">
            <v>YTD 2024</v>
          </cell>
        </row>
        <row r="76">
          <cell r="B76"/>
          <cell r="C76"/>
          <cell r="D76"/>
          <cell r="E76"/>
          <cell r="F76"/>
          <cell r="G76"/>
          <cell r="H76"/>
          <cell r="I76"/>
          <cell r="J76">
            <v>0.26624484781711893</v>
          </cell>
          <cell r="K76"/>
          <cell r="L76"/>
          <cell r="M76"/>
          <cell r="N76"/>
          <cell r="O76"/>
          <cell r="P76"/>
          <cell r="Q76"/>
          <cell r="R76">
            <v>0.38064880524467326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ED262-239E-46A5-A3F4-DD89587F18CB}">
  <dimension ref="A1:AL48"/>
  <sheetViews>
    <sheetView tabSelected="1" view="pageBreakPreview" zoomScaleNormal="100" zoomScaleSheetLayoutView="100" workbookViewId="0">
      <pane xSplit="2" ySplit="2" topLeftCell="C15" activePane="bottomRight" state="frozen"/>
      <selection pane="topRight" activeCell="C1" sqref="C1"/>
      <selection pane="bottomLeft" activeCell="A3" sqref="A3"/>
      <selection pane="bottomRight" activeCell="G12" sqref="G12"/>
    </sheetView>
  </sheetViews>
  <sheetFormatPr defaultRowHeight="14.5"/>
  <cols>
    <col min="1" max="1" width="24" bestFit="1" customWidth="1"/>
    <col min="2" max="2" width="14" bestFit="1" customWidth="1"/>
    <col min="3" max="3" width="11" bestFit="1" customWidth="1"/>
    <col min="5" max="6" width="13.90625" bestFit="1" customWidth="1"/>
    <col min="7" max="11" width="13.26953125" bestFit="1" customWidth="1"/>
    <col min="12" max="12" width="13.08984375" bestFit="1" customWidth="1"/>
    <col min="13" max="14" width="13.6328125" bestFit="1" customWidth="1"/>
    <col min="15" max="15" width="12.08984375" bestFit="1" customWidth="1"/>
    <col min="16" max="16" width="11.6328125" bestFit="1" customWidth="1"/>
    <col min="17" max="17" width="15.7265625" bestFit="1" customWidth="1"/>
    <col min="18" max="18" width="13.6328125" bestFit="1" customWidth="1"/>
    <col min="19" max="21" width="10.6328125" bestFit="1" customWidth="1"/>
    <col min="22" max="22" width="13.6328125" bestFit="1" customWidth="1"/>
    <col min="23" max="23" width="10.6328125" bestFit="1" customWidth="1"/>
    <col min="25" max="25" width="11.6328125" bestFit="1" customWidth="1"/>
    <col min="26" max="35" width="10.6328125" bestFit="1" customWidth="1"/>
    <col min="38" max="38" width="10.6328125" bestFit="1" customWidth="1"/>
  </cols>
  <sheetData>
    <row r="1" spans="1:38" ht="15.5">
      <c r="A1" s="409" t="s">
        <v>0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  <c r="R1" s="409"/>
      <c r="S1" s="409"/>
      <c r="T1" s="409"/>
      <c r="U1" s="409"/>
      <c r="V1" s="409"/>
      <c r="W1" s="409"/>
      <c r="Y1" t="s">
        <v>1</v>
      </c>
      <c r="Z1">
        <v>31</v>
      </c>
      <c r="AA1">
        <v>28</v>
      </c>
      <c r="AB1">
        <v>31</v>
      </c>
      <c r="AC1">
        <v>30</v>
      </c>
      <c r="AD1">
        <v>31</v>
      </c>
      <c r="AE1">
        <v>30</v>
      </c>
      <c r="AF1">
        <v>31</v>
      </c>
      <c r="AG1">
        <v>31</v>
      </c>
      <c r="AH1">
        <v>30</v>
      </c>
      <c r="AI1">
        <v>31</v>
      </c>
      <c r="AJ1">
        <v>30</v>
      </c>
      <c r="AK1">
        <v>31</v>
      </c>
      <c r="AL1">
        <f>SUM(Z1:AJ1)</f>
        <v>334</v>
      </c>
    </row>
    <row r="2" spans="1:38" ht="20.25" customHeight="1">
      <c r="A2" s="1"/>
      <c r="B2" s="2" t="s">
        <v>2</v>
      </c>
      <c r="C2" s="2" t="s">
        <v>3</v>
      </c>
      <c r="D2" s="8" t="s">
        <v>4</v>
      </c>
      <c r="E2" s="3">
        <v>46023</v>
      </c>
      <c r="F2" s="3">
        <v>46054</v>
      </c>
      <c r="G2" s="3">
        <v>46082</v>
      </c>
      <c r="H2" s="3">
        <v>46113</v>
      </c>
      <c r="I2" s="3">
        <v>46143</v>
      </c>
      <c r="J2" s="3">
        <v>46174</v>
      </c>
      <c r="K2" s="3">
        <v>46204</v>
      </c>
      <c r="L2" s="3">
        <v>46235</v>
      </c>
      <c r="M2" s="3">
        <v>46266</v>
      </c>
      <c r="N2" s="3">
        <v>46296</v>
      </c>
      <c r="O2" s="3">
        <v>46327</v>
      </c>
      <c r="P2" s="3">
        <v>46357</v>
      </c>
      <c r="Q2" s="4" t="s">
        <v>55</v>
      </c>
      <c r="R2" s="5" t="s">
        <v>5</v>
      </c>
      <c r="S2" s="5" t="s">
        <v>6</v>
      </c>
      <c r="T2" s="5" t="s">
        <v>7</v>
      </c>
      <c r="U2" s="5" t="s">
        <v>8</v>
      </c>
      <c r="V2" s="5" t="s">
        <v>9</v>
      </c>
      <c r="W2" s="5" t="s">
        <v>10</v>
      </c>
      <c r="Y2" s="5" t="s">
        <v>11</v>
      </c>
      <c r="Z2" s="122">
        <v>46023</v>
      </c>
      <c r="AA2" s="122">
        <v>46054</v>
      </c>
      <c r="AB2" s="122">
        <v>46082</v>
      </c>
      <c r="AC2" s="122">
        <v>46113</v>
      </c>
      <c r="AD2" s="122">
        <v>46143</v>
      </c>
      <c r="AE2" s="122">
        <v>46174</v>
      </c>
      <c r="AF2" s="122">
        <v>46204</v>
      </c>
      <c r="AG2" s="122">
        <v>46235</v>
      </c>
      <c r="AH2" s="122">
        <v>46266</v>
      </c>
      <c r="AI2" s="122">
        <v>46296</v>
      </c>
      <c r="AJ2" s="122">
        <v>46327</v>
      </c>
      <c r="AK2" s="122">
        <v>46357</v>
      </c>
      <c r="AL2" s="122" t="str">
        <f t="shared" ref="AL2" si="0">Q2</f>
        <v>YTD 2026</v>
      </c>
    </row>
    <row r="3" spans="1:38">
      <c r="A3" s="410" t="s">
        <v>12</v>
      </c>
      <c r="B3" s="10" t="s">
        <v>13</v>
      </c>
      <c r="C3" s="10" t="s">
        <v>14</v>
      </c>
      <c r="D3" s="9"/>
      <c r="E3" s="118">
        <f>[1]in!$D$15</f>
        <v>235440</v>
      </c>
      <c r="F3" s="118">
        <f>[1]in!$E$15</f>
        <v>214287</v>
      </c>
      <c r="G3" s="118">
        <f>[1]in!$F$15</f>
        <v>240157</v>
      </c>
      <c r="H3" s="118">
        <f>[1]in!$H$15</f>
        <v>239150</v>
      </c>
      <c r="I3" s="118">
        <f>[1]in!$I$15</f>
        <v>0</v>
      </c>
      <c r="J3" s="118">
        <f>[1]in!$J$15</f>
        <v>0</v>
      </c>
      <c r="K3" s="118">
        <f>[1]in!$L$15</f>
        <v>0</v>
      </c>
      <c r="L3" s="118">
        <f>[1]in!$M$15</f>
        <v>0</v>
      </c>
      <c r="M3" s="118">
        <f>[1]in!$N$15</f>
        <v>0</v>
      </c>
      <c r="N3" s="118">
        <f>[1]in!$P$15</f>
        <v>0</v>
      </c>
      <c r="O3" s="118">
        <f>[1]in!$Q$15</f>
        <v>0</v>
      </c>
      <c r="P3" s="118">
        <f>[1]in!$R$15</f>
        <v>0</v>
      </c>
      <c r="Q3" s="103">
        <f>SUM(E3:P3)</f>
        <v>929034</v>
      </c>
      <c r="R3" s="14">
        <f>SUM(E3:G3)</f>
        <v>689884</v>
      </c>
      <c r="S3" s="14">
        <f>SUM(H3:J3)</f>
        <v>239150</v>
      </c>
      <c r="T3" s="14">
        <f>SUM(K3:M3)</f>
        <v>0</v>
      </c>
      <c r="U3" s="14">
        <f>SUM(N3:P3)</f>
        <v>0</v>
      </c>
      <c r="V3" s="14">
        <f>SUM(E3:J3)</f>
        <v>929034</v>
      </c>
      <c r="W3" s="14">
        <f>SUM(K3:P3)</f>
        <v>0</v>
      </c>
      <c r="Y3" s="7" t="s">
        <v>13</v>
      </c>
      <c r="Z3" s="26">
        <f>E3/$Z$1</f>
        <v>7594.8387096774195</v>
      </c>
      <c r="AA3" s="26">
        <f>F3/$AA$1</f>
        <v>7653.1071428571431</v>
      </c>
      <c r="AB3" s="26">
        <f>G3/$AB$1</f>
        <v>7747</v>
      </c>
      <c r="AC3" s="26">
        <f>H3/$AC$1</f>
        <v>7971.666666666667</v>
      </c>
      <c r="AD3" s="26">
        <f>I3/$AD$1</f>
        <v>0</v>
      </c>
      <c r="AE3" s="26">
        <f>J3/$AE$1</f>
        <v>0</v>
      </c>
      <c r="AF3" s="26">
        <f>K3/$AF$1</f>
        <v>0</v>
      </c>
      <c r="AG3" s="26">
        <f>L3/$AG$1</f>
        <v>0</v>
      </c>
      <c r="AH3" s="26">
        <f>M3/$AH$1</f>
        <v>0</v>
      </c>
      <c r="AI3" s="26">
        <f>N3/$AI$1</f>
        <v>0</v>
      </c>
      <c r="AJ3" s="26">
        <f>O3/$AJ$1</f>
        <v>0</v>
      </c>
      <c r="AK3" s="26">
        <f>P3/$AK$1</f>
        <v>0</v>
      </c>
      <c r="AL3" s="26">
        <f>Q3/$AL$1</f>
        <v>2781.5389221556884</v>
      </c>
    </row>
    <row r="4" spans="1:38">
      <c r="A4" s="410"/>
      <c r="B4" s="10" t="s">
        <v>15</v>
      </c>
      <c r="C4" s="10" t="s">
        <v>14</v>
      </c>
      <c r="D4" s="9"/>
      <c r="E4" s="118">
        <f>[1]in!$D$16</f>
        <v>159180.34</v>
      </c>
      <c r="F4" s="118">
        <f>[1]in!$E$16</f>
        <v>145266.85</v>
      </c>
      <c r="G4" s="118">
        <f>[1]in!$F$16</f>
        <v>54076.84</v>
      </c>
      <c r="H4" s="118">
        <f>[1]in!$H$16</f>
        <v>6132.7190000000001</v>
      </c>
      <c r="I4" s="118">
        <f>[1]in!$I$16</f>
        <v>0</v>
      </c>
      <c r="J4" s="118">
        <f>[1]in!$J$16</f>
        <v>0</v>
      </c>
      <c r="K4" s="118">
        <f>[1]in!$L$16</f>
        <v>0</v>
      </c>
      <c r="L4" s="118">
        <f>[1]in!$M$16</f>
        <v>0</v>
      </c>
      <c r="M4" s="118">
        <f>[1]in!$N$16</f>
        <v>0</v>
      </c>
      <c r="N4" s="118">
        <f>[1]in!$P$16</f>
        <v>0</v>
      </c>
      <c r="O4" s="118">
        <f>[1]in!$Q$16</f>
        <v>0</v>
      </c>
      <c r="P4" s="118">
        <f>[1]in!$R$16</f>
        <v>0</v>
      </c>
      <c r="Q4" s="103">
        <f>SUM(E4:P4)</f>
        <v>364656.74900000001</v>
      </c>
      <c r="R4" s="14">
        <f>SUM(E4:G4)</f>
        <v>358524.03</v>
      </c>
      <c r="S4" s="14">
        <f>SUM(H4:J4)</f>
        <v>6132.7190000000001</v>
      </c>
      <c r="T4" s="14">
        <f>SUM(K4:M4)</f>
        <v>0</v>
      </c>
      <c r="U4" s="14">
        <f>SUM(N4:P4)</f>
        <v>0</v>
      </c>
      <c r="V4" s="14">
        <f>SUM(E4:J4)</f>
        <v>364656.74900000001</v>
      </c>
      <c r="W4" s="14">
        <f>SUM(K4:P4)</f>
        <v>0</v>
      </c>
      <c r="Y4" s="7" t="s">
        <v>15</v>
      </c>
      <c r="Z4" s="26">
        <f>E4/$Z$1</f>
        <v>5134.8496774193545</v>
      </c>
      <c r="AA4" s="26">
        <f t="shared" ref="AA4:AA32" si="1">F4/$AA$1</f>
        <v>5188.1017857142861</v>
      </c>
      <c r="AB4" s="26">
        <f t="shared" ref="AB4:AB33" si="2">G4/$AB$1</f>
        <v>1744.4141935483869</v>
      </c>
      <c r="AC4" s="26">
        <f t="shared" ref="AC4:AC33" si="3">H4/$AC$1</f>
        <v>204.42396666666667</v>
      </c>
      <c r="AD4" s="26">
        <f t="shared" ref="AD4:AD33" si="4">I4/$AD$1</f>
        <v>0</v>
      </c>
      <c r="AE4" s="26">
        <f t="shared" ref="AE4:AE33" si="5">J4/$AE$1</f>
        <v>0</v>
      </c>
      <c r="AF4" s="26">
        <f t="shared" ref="AF4:AF33" si="6">K4/$AF$1</f>
        <v>0</v>
      </c>
      <c r="AG4" s="26">
        <f t="shared" ref="AG4:AG33" si="7">L4/$AG$1</f>
        <v>0</v>
      </c>
      <c r="AH4" s="26">
        <f t="shared" ref="AH4:AH33" si="8">M4/$AH$1</f>
        <v>0</v>
      </c>
      <c r="AI4" s="26">
        <f t="shared" ref="AI4:AI33" si="9">N4/$AI$1</f>
        <v>0</v>
      </c>
      <c r="AJ4" s="26">
        <f t="shared" ref="AJ4:AJ33" si="10">O4/$AJ$1</f>
        <v>0</v>
      </c>
      <c r="AK4" s="26">
        <f t="shared" ref="AK4:AK33" si="11">P4/$AK$1</f>
        <v>0</v>
      </c>
      <c r="AL4" s="26">
        <f t="shared" ref="AL4:AL33" si="12">Q4/$AL$1</f>
        <v>1091.7866736526946</v>
      </c>
    </row>
    <row r="5" spans="1:38">
      <c r="A5" s="410"/>
      <c r="B5" s="2" t="s">
        <v>16</v>
      </c>
      <c r="C5" s="7" t="s">
        <v>14</v>
      </c>
      <c r="D5" s="9"/>
      <c r="E5" s="11">
        <f>SUM(E3:E4)</f>
        <v>394620.33999999997</v>
      </c>
      <c r="F5" s="11">
        <f>SUM(F3:F4)</f>
        <v>359553.85</v>
      </c>
      <c r="G5" s="11">
        <f>SUM(G3:G4)</f>
        <v>294233.83999999997</v>
      </c>
      <c r="H5" s="11">
        <f>SUM(H3:H4)</f>
        <v>245282.71900000001</v>
      </c>
      <c r="I5" s="11">
        <f t="shared" ref="I5:P5" si="13">SUM(I3:I4)</f>
        <v>0</v>
      </c>
      <c r="J5" s="11">
        <f t="shared" si="13"/>
        <v>0</v>
      </c>
      <c r="K5" s="11">
        <f t="shared" si="13"/>
        <v>0</v>
      </c>
      <c r="L5" s="11">
        <f t="shared" si="13"/>
        <v>0</v>
      </c>
      <c r="M5" s="11">
        <f t="shared" si="13"/>
        <v>0</v>
      </c>
      <c r="N5" s="11">
        <f t="shared" si="13"/>
        <v>0</v>
      </c>
      <c r="O5" s="11">
        <f t="shared" si="13"/>
        <v>0</v>
      </c>
      <c r="P5" s="11">
        <f t="shared" si="13"/>
        <v>0</v>
      </c>
      <c r="Q5" s="13">
        <f>SUM(Q3:Q4)</f>
        <v>1293690.7490000001</v>
      </c>
      <c r="R5" s="12">
        <f>SUM(R3:R4)</f>
        <v>1048408.03</v>
      </c>
      <c r="S5" s="12">
        <f t="shared" ref="S5:W5" si="14">SUM(S3:S4)</f>
        <v>245282.71900000001</v>
      </c>
      <c r="T5" s="12">
        <f t="shared" si="14"/>
        <v>0</v>
      </c>
      <c r="U5" s="12">
        <f t="shared" si="14"/>
        <v>0</v>
      </c>
      <c r="V5" s="12">
        <f>SUM(V3:V4)</f>
        <v>1293690.7490000001</v>
      </c>
      <c r="W5" s="12">
        <f t="shared" si="14"/>
        <v>0</v>
      </c>
      <c r="Y5" s="7" t="s">
        <v>16</v>
      </c>
      <c r="Z5" s="26">
        <f>E5/$Z$1</f>
        <v>12729.688387096774</v>
      </c>
      <c r="AA5" s="26">
        <f>F5/$AA$1</f>
        <v>12841.208928571428</v>
      </c>
      <c r="AB5" s="26">
        <f t="shared" si="2"/>
        <v>9491.4141935483858</v>
      </c>
      <c r="AC5" s="26">
        <f t="shared" si="3"/>
        <v>8176.0906333333342</v>
      </c>
      <c r="AD5" s="26">
        <f t="shared" si="4"/>
        <v>0</v>
      </c>
      <c r="AE5" s="26">
        <f t="shared" si="5"/>
        <v>0</v>
      </c>
      <c r="AF5" s="26">
        <f t="shared" si="6"/>
        <v>0</v>
      </c>
      <c r="AG5" s="26">
        <f t="shared" si="7"/>
        <v>0</v>
      </c>
      <c r="AH5" s="26">
        <f t="shared" si="8"/>
        <v>0</v>
      </c>
      <c r="AI5" s="26">
        <f t="shared" si="9"/>
        <v>0</v>
      </c>
      <c r="AJ5" s="26">
        <f t="shared" si="10"/>
        <v>0</v>
      </c>
      <c r="AK5" s="26">
        <f t="shared" si="11"/>
        <v>0</v>
      </c>
      <c r="AL5" s="26">
        <f t="shared" si="12"/>
        <v>3873.3255958083832</v>
      </c>
    </row>
    <row r="6" spans="1:38">
      <c r="A6" s="410"/>
      <c r="B6" s="2" t="s">
        <v>17</v>
      </c>
      <c r="C6" s="7" t="s">
        <v>14</v>
      </c>
      <c r="D6" s="9"/>
      <c r="E6" s="55">
        <f>[1]in!$D$21</f>
        <v>102985.09</v>
      </c>
      <c r="F6" s="55">
        <f>[1]in!$E$21</f>
        <v>91532.37</v>
      </c>
      <c r="G6" s="109">
        <f>[1]in!$F$21</f>
        <v>96333.69</v>
      </c>
      <c r="H6" s="109">
        <f>[1]in!$H$21</f>
        <v>83152.3</v>
      </c>
      <c r="I6" s="109">
        <f>[1]in!$I$21</f>
        <v>0</v>
      </c>
      <c r="J6" s="109">
        <f>[1]in!$J$21</f>
        <v>0</v>
      </c>
      <c r="K6" s="109">
        <f>[1]in!$L$21</f>
        <v>0</v>
      </c>
      <c r="L6" s="109">
        <f>[1]in!$M$21</f>
        <v>0</v>
      </c>
      <c r="M6" s="109">
        <f>[1]in!$N$21</f>
        <v>0</v>
      </c>
      <c r="N6" s="109">
        <f>[1]in!$P$21</f>
        <v>0</v>
      </c>
      <c r="O6" s="109">
        <f>[1]in!$Q$21</f>
        <v>0</v>
      </c>
      <c r="P6" s="109">
        <f>[1]in!$R$21</f>
        <v>0</v>
      </c>
      <c r="Q6" s="22">
        <f>SUM(E6:P6)</f>
        <v>374003.45</v>
      </c>
      <c r="R6" s="15">
        <f>SUM(E6:G6)</f>
        <v>290851.15000000002</v>
      </c>
      <c r="S6" s="15">
        <f>SUM(H6:J6)</f>
        <v>83152.3</v>
      </c>
      <c r="T6" s="15">
        <f>SUM(K6:M6)</f>
        <v>0</v>
      </c>
      <c r="U6" s="15">
        <f>SUM(N6:P6)</f>
        <v>0</v>
      </c>
      <c r="V6" s="15">
        <f>SUM(E6:J6)</f>
        <v>374003.45</v>
      </c>
      <c r="W6" s="15">
        <f>SUM(K6:P6)</f>
        <v>0</v>
      </c>
      <c r="Y6" s="7" t="s">
        <v>17</v>
      </c>
      <c r="Z6" s="26">
        <f>E6/$Z$1</f>
        <v>3322.0996774193545</v>
      </c>
      <c r="AA6" s="26">
        <f t="shared" si="1"/>
        <v>3269.0132142857142</v>
      </c>
      <c r="AB6" s="26">
        <f t="shared" si="2"/>
        <v>3107.5383870967744</v>
      </c>
      <c r="AC6" s="26">
        <f t="shared" si="3"/>
        <v>2771.7433333333333</v>
      </c>
      <c r="AD6" s="26">
        <f t="shared" si="4"/>
        <v>0</v>
      </c>
      <c r="AE6" s="26">
        <f t="shared" si="5"/>
        <v>0</v>
      </c>
      <c r="AF6" s="26">
        <f t="shared" si="6"/>
        <v>0</v>
      </c>
      <c r="AG6" s="26">
        <f t="shared" si="7"/>
        <v>0</v>
      </c>
      <c r="AH6" s="26">
        <f t="shared" si="8"/>
        <v>0</v>
      </c>
      <c r="AI6" s="26">
        <f t="shared" si="9"/>
        <v>0</v>
      </c>
      <c r="AJ6" s="26">
        <f t="shared" si="10"/>
        <v>0</v>
      </c>
      <c r="AK6" s="26">
        <f t="shared" si="11"/>
        <v>0</v>
      </c>
      <c r="AL6" s="26">
        <f t="shared" si="12"/>
        <v>1119.7708083832335</v>
      </c>
    </row>
    <row r="7" spans="1:38">
      <c r="A7" s="410"/>
      <c r="B7" s="2" t="s">
        <v>18</v>
      </c>
      <c r="C7" s="7" t="s">
        <v>14</v>
      </c>
      <c r="D7" s="9"/>
      <c r="E7" s="11">
        <f>[1]in!$D$27</f>
        <v>138964</v>
      </c>
      <c r="F7" s="11">
        <f>[1]in!$E$27</f>
        <v>138700</v>
      </c>
      <c r="G7" s="12">
        <f>[1]in!$F$27</f>
        <v>104291</v>
      </c>
      <c r="H7" s="12">
        <f>[1]in!$H$27</f>
        <v>99132</v>
      </c>
      <c r="I7" s="12">
        <f>[1]in!$I$27</f>
        <v>0</v>
      </c>
      <c r="J7" s="12">
        <f>[1]in!$J$27</f>
        <v>0</v>
      </c>
      <c r="K7" s="12">
        <f>[1]in!$L$27</f>
        <v>0</v>
      </c>
      <c r="L7" s="12">
        <f>[1]in!$M$27</f>
        <v>0</v>
      </c>
      <c r="M7" s="12">
        <f>[1]in!$N$27</f>
        <v>0</v>
      </c>
      <c r="N7" s="12">
        <f>[1]in!$P$27</f>
        <v>0</v>
      </c>
      <c r="O7" s="12">
        <f>[1]in!$Q$27</f>
        <v>0</v>
      </c>
      <c r="P7" s="12">
        <f>[1]in!$R$27</f>
        <v>0</v>
      </c>
      <c r="Q7" s="22">
        <f>SUM(E7:P7)</f>
        <v>481087</v>
      </c>
      <c r="R7" s="15">
        <f t="shared" ref="R7:R24" si="15">SUM(E7:G7)</f>
        <v>381955</v>
      </c>
      <c r="S7" s="15">
        <f t="shared" ref="S7:S24" si="16">SUM(H7:J7)</f>
        <v>99132</v>
      </c>
      <c r="T7" s="15">
        <f t="shared" ref="T7:T24" si="17">SUM(K7:M7)</f>
        <v>0</v>
      </c>
      <c r="U7" s="15">
        <f t="shared" ref="U7:U24" si="18">SUM(N7:P7)</f>
        <v>0</v>
      </c>
      <c r="V7" s="15">
        <f>SUM(E7:J7)</f>
        <v>481087</v>
      </c>
      <c r="W7" s="15">
        <f t="shared" ref="W7:W24" si="19">SUM(K7:P7)</f>
        <v>0</v>
      </c>
      <c r="Y7" s="7" t="s">
        <v>18</v>
      </c>
      <c r="Z7" s="26">
        <f t="shared" ref="Z7:Z26" si="20">E7/$Z$1</f>
        <v>4482.7096774193551</v>
      </c>
      <c r="AA7" s="26">
        <f t="shared" si="1"/>
        <v>4953.5714285714284</v>
      </c>
      <c r="AB7" s="26">
        <f t="shared" si="2"/>
        <v>3364.2258064516127</v>
      </c>
      <c r="AC7" s="26">
        <f t="shared" si="3"/>
        <v>3304.4</v>
      </c>
      <c r="AD7" s="26">
        <f t="shared" si="4"/>
        <v>0</v>
      </c>
      <c r="AE7" s="26">
        <f t="shared" si="5"/>
        <v>0</v>
      </c>
      <c r="AF7" s="26">
        <f t="shared" si="6"/>
        <v>0</v>
      </c>
      <c r="AG7" s="26">
        <f t="shared" si="7"/>
        <v>0</v>
      </c>
      <c r="AH7" s="26">
        <f t="shared" si="8"/>
        <v>0</v>
      </c>
      <c r="AI7" s="26">
        <f t="shared" si="9"/>
        <v>0</v>
      </c>
      <c r="AJ7" s="26">
        <f t="shared" si="10"/>
        <v>0</v>
      </c>
      <c r="AK7" s="26">
        <f t="shared" si="11"/>
        <v>0</v>
      </c>
      <c r="AL7" s="26">
        <f t="shared" si="12"/>
        <v>1440.3802395209582</v>
      </c>
    </row>
    <row r="8" spans="1:38">
      <c r="A8" s="410"/>
      <c r="B8" s="2" t="s">
        <v>19</v>
      </c>
      <c r="C8" s="7" t="s">
        <v>14</v>
      </c>
      <c r="D8" s="9"/>
      <c r="E8" s="11">
        <f>[1]in!$D$33</f>
        <v>3893</v>
      </c>
      <c r="F8" s="11">
        <f>[1]in!$E$33</f>
        <v>4079</v>
      </c>
      <c r="G8" s="12">
        <f>[1]in!$F33</f>
        <v>5156</v>
      </c>
      <c r="H8" s="12">
        <f>[1]in!$H33</f>
        <v>4095</v>
      </c>
      <c r="I8" s="12">
        <f>[1]in!$I33</f>
        <v>0</v>
      </c>
      <c r="J8" s="12">
        <f>[1]in!$J33</f>
        <v>0</v>
      </c>
      <c r="K8" s="12">
        <f>[1]in!$L33</f>
        <v>0</v>
      </c>
      <c r="L8" s="12">
        <f>[1]in!$M33</f>
        <v>0</v>
      </c>
      <c r="M8" s="12">
        <f>[1]in!$N33</f>
        <v>0</v>
      </c>
      <c r="N8" s="12">
        <f>[1]in!$P33</f>
        <v>0</v>
      </c>
      <c r="O8" s="12">
        <f>[1]in!$Q33</f>
        <v>0</v>
      </c>
      <c r="P8" s="12">
        <f>[1]in!$R33</f>
        <v>0</v>
      </c>
      <c r="Q8" s="22">
        <f>SUM(E8:P8)</f>
        <v>17223</v>
      </c>
      <c r="R8" s="15">
        <f t="shared" si="15"/>
        <v>13128</v>
      </c>
      <c r="S8" s="15">
        <f t="shared" si="16"/>
        <v>4095</v>
      </c>
      <c r="T8" s="15">
        <f>SUM(K8:M8)</f>
        <v>0</v>
      </c>
      <c r="U8" s="15">
        <f t="shared" si="18"/>
        <v>0</v>
      </c>
      <c r="V8" s="15">
        <f t="shared" ref="V8:V24" si="21">SUM(E8:J8)</f>
        <v>17223</v>
      </c>
      <c r="W8" s="15">
        <f t="shared" si="19"/>
        <v>0</v>
      </c>
      <c r="Y8" s="7" t="s">
        <v>19</v>
      </c>
      <c r="Z8" s="26">
        <f t="shared" si="20"/>
        <v>125.58064516129032</v>
      </c>
      <c r="AA8" s="26">
        <f t="shared" si="1"/>
        <v>145.67857142857142</v>
      </c>
      <c r="AB8" s="26">
        <f t="shared" si="2"/>
        <v>166.32258064516128</v>
      </c>
      <c r="AC8" s="26">
        <f t="shared" si="3"/>
        <v>136.5</v>
      </c>
      <c r="AD8" s="26">
        <f t="shared" si="4"/>
        <v>0</v>
      </c>
      <c r="AE8" s="26">
        <f t="shared" si="5"/>
        <v>0</v>
      </c>
      <c r="AF8" s="26">
        <f t="shared" si="6"/>
        <v>0</v>
      </c>
      <c r="AG8" s="26">
        <f t="shared" si="7"/>
        <v>0</v>
      </c>
      <c r="AH8" s="26">
        <f t="shared" si="8"/>
        <v>0</v>
      </c>
      <c r="AI8" s="26">
        <f t="shared" si="9"/>
        <v>0</v>
      </c>
      <c r="AJ8" s="26">
        <f t="shared" si="10"/>
        <v>0</v>
      </c>
      <c r="AK8" s="26">
        <f t="shared" si="11"/>
        <v>0</v>
      </c>
      <c r="AL8" s="26">
        <f t="shared" si="12"/>
        <v>51.565868263473057</v>
      </c>
    </row>
    <row r="9" spans="1:38">
      <c r="A9" s="410"/>
      <c r="B9" s="2" t="s">
        <v>20</v>
      </c>
      <c r="C9" s="7" t="s">
        <v>14</v>
      </c>
      <c r="D9" s="9"/>
      <c r="E9" s="11">
        <f>[1]in!$D$34</f>
        <v>7977.9</v>
      </c>
      <c r="F9" s="11">
        <f>[1]in!$E$34</f>
        <v>8185</v>
      </c>
      <c r="G9" s="12">
        <f>[1]in!$F$34</f>
        <v>9035</v>
      </c>
      <c r="H9" s="12">
        <f>[1]in!$H$34</f>
        <v>6812</v>
      </c>
      <c r="I9" s="12">
        <f>[1]in!$I$34</f>
        <v>0</v>
      </c>
      <c r="J9" s="12">
        <f>[1]in!$J$34</f>
        <v>0</v>
      </c>
      <c r="K9" s="12">
        <f>[1]in!$L$34</f>
        <v>0</v>
      </c>
      <c r="L9" s="12">
        <f>[1]in!$M$34</f>
        <v>0</v>
      </c>
      <c r="M9" s="12">
        <f>[1]in!$N$34</f>
        <v>0</v>
      </c>
      <c r="N9" s="12">
        <f>[1]in!$P$34</f>
        <v>0</v>
      </c>
      <c r="O9" s="12">
        <f>[1]in!$Q$34</f>
        <v>0</v>
      </c>
      <c r="P9" s="12">
        <f>[1]in!$R$34</f>
        <v>0</v>
      </c>
      <c r="Q9" s="22">
        <f>SUM(E9:P9)</f>
        <v>32009.9</v>
      </c>
      <c r="R9" s="15">
        <f t="shared" si="15"/>
        <v>25197.9</v>
      </c>
      <c r="S9" s="15">
        <f>SUM(H9:J9)</f>
        <v>6812</v>
      </c>
      <c r="T9" s="15">
        <f t="shared" si="17"/>
        <v>0</v>
      </c>
      <c r="U9" s="15">
        <f t="shared" si="18"/>
        <v>0</v>
      </c>
      <c r="V9" s="15">
        <f t="shared" si="21"/>
        <v>32009.9</v>
      </c>
      <c r="W9" s="15">
        <f t="shared" si="19"/>
        <v>0</v>
      </c>
      <c r="Y9" s="7" t="s">
        <v>20</v>
      </c>
      <c r="Z9" s="26">
        <f t="shared" si="20"/>
        <v>257.35161290322577</v>
      </c>
      <c r="AA9" s="26">
        <f t="shared" si="1"/>
        <v>292.32142857142856</v>
      </c>
      <c r="AB9" s="26">
        <f t="shared" si="2"/>
        <v>291.45161290322579</v>
      </c>
      <c r="AC9" s="26">
        <f t="shared" si="3"/>
        <v>227.06666666666666</v>
      </c>
      <c r="AD9" s="26">
        <f t="shared" si="4"/>
        <v>0</v>
      </c>
      <c r="AE9" s="26">
        <f t="shared" si="5"/>
        <v>0</v>
      </c>
      <c r="AF9" s="26">
        <f t="shared" si="6"/>
        <v>0</v>
      </c>
      <c r="AG9" s="26">
        <f t="shared" si="7"/>
        <v>0</v>
      </c>
      <c r="AH9" s="26">
        <f t="shared" si="8"/>
        <v>0</v>
      </c>
      <c r="AI9" s="26">
        <f t="shared" si="9"/>
        <v>0</v>
      </c>
      <c r="AJ9" s="26">
        <f t="shared" si="10"/>
        <v>0</v>
      </c>
      <c r="AK9" s="26">
        <f t="shared" si="11"/>
        <v>0</v>
      </c>
      <c r="AL9" s="26">
        <f t="shared" si="12"/>
        <v>95.83802395209581</v>
      </c>
    </row>
    <row r="10" spans="1:38">
      <c r="A10" s="410"/>
      <c r="B10" s="2" t="s">
        <v>21</v>
      </c>
      <c r="C10" s="7" t="s">
        <v>14</v>
      </c>
      <c r="D10" s="9"/>
      <c r="E10" s="11">
        <f>[1]in!$D$36</f>
        <v>3910.46</v>
      </c>
      <c r="F10" s="11">
        <f>[1]in!$E$36</f>
        <v>3429.8359999999998</v>
      </c>
      <c r="G10" s="12">
        <f>[1]in!$F$36</f>
        <v>2412.8490000000002</v>
      </c>
      <c r="H10" s="12">
        <f>[1]in!$H$36</f>
        <v>1988.8720000000001</v>
      </c>
      <c r="I10" s="12">
        <f>[1]in!$I$36</f>
        <v>0</v>
      </c>
      <c r="J10" s="12">
        <f>[1]in!$J$36</f>
        <v>0</v>
      </c>
      <c r="K10" s="12">
        <f>[1]in!$L$36</f>
        <v>0</v>
      </c>
      <c r="L10" s="12">
        <f>[1]in!$M$36</f>
        <v>0</v>
      </c>
      <c r="M10" s="12">
        <f>[1]in!$N$36</f>
        <v>0</v>
      </c>
      <c r="N10" s="12">
        <f>[1]in!$P$36</f>
        <v>0</v>
      </c>
      <c r="O10" s="12">
        <f>[1]in!$Q$36</f>
        <v>0</v>
      </c>
      <c r="P10" s="12">
        <f>[1]in!$R$36</f>
        <v>0</v>
      </c>
      <c r="Q10" s="22">
        <f t="shared" ref="Q10:Q26" si="22">SUM(E10:P10)</f>
        <v>11742.017</v>
      </c>
      <c r="R10" s="15">
        <f t="shared" si="15"/>
        <v>9753.1450000000004</v>
      </c>
      <c r="S10" s="15">
        <f t="shared" si="16"/>
        <v>1988.8720000000001</v>
      </c>
      <c r="T10" s="15">
        <f t="shared" si="17"/>
        <v>0</v>
      </c>
      <c r="U10" s="15">
        <f t="shared" si="18"/>
        <v>0</v>
      </c>
      <c r="V10" s="15">
        <f t="shared" si="21"/>
        <v>11742.017</v>
      </c>
      <c r="W10" s="15">
        <f t="shared" si="19"/>
        <v>0</v>
      </c>
      <c r="Y10" s="7" t="s">
        <v>21</v>
      </c>
      <c r="Z10" s="26">
        <f t="shared" si="20"/>
        <v>126.14387096774193</v>
      </c>
      <c r="AA10" s="26">
        <f t="shared" si="1"/>
        <v>122.49414285714285</v>
      </c>
      <c r="AB10" s="26">
        <f t="shared" si="2"/>
        <v>77.833838709677423</v>
      </c>
      <c r="AC10" s="26">
        <f t="shared" si="3"/>
        <v>66.295733333333331</v>
      </c>
      <c r="AD10" s="26">
        <f t="shared" si="4"/>
        <v>0</v>
      </c>
      <c r="AE10" s="26">
        <f t="shared" si="5"/>
        <v>0</v>
      </c>
      <c r="AF10" s="26">
        <f t="shared" si="6"/>
        <v>0</v>
      </c>
      <c r="AG10" s="26">
        <f t="shared" si="7"/>
        <v>0</v>
      </c>
      <c r="AH10" s="26">
        <f t="shared" si="8"/>
        <v>0</v>
      </c>
      <c r="AI10" s="26">
        <f t="shared" si="9"/>
        <v>0</v>
      </c>
      <c r="AJ10" s="26">
        <f t="shared" si="10"/>
        <v>0</v>
      </c>
      <c r="AK10" s="26">
        <f t="shared" si="11"/>
        <v>0</v>
      </c>
      <c r="AL10" s="26">
        <f t="shared" si="12"/>
        <v>35.155739520958086</v>
      </c>
    </row>
    <row r="11" spans="1:38">
      <c r="A11" s="410"/>
      <c r="B11" s="2" t="s">
        <v>22</v>
      </c>
      <c r="C11" s="7" t="s">
        <v>14</v>
      </c>
      <c r="D11" s="231"/>
      <c r="E11" s="232">
        <f>[1]in!$D$45</f>
        <v>164.28200000000001</v>
      </c>
      <c r="F11" s="232">
        <f>[1]in!$E$45</f>
        <v>153.81299999999999</v>
      </c>
      <c r="G11" s="232">
        <f>[1]in!$F$45</f>
        <v>163.98400000000001</v>
      </c>
      <c r="H11" s="232">
        <f>[1]in!$H$45</f>
        <v>154.69300000000001</v>
      </c>
      <c r="I11" s="232">
        <f>[1]in!$I$45</f>
        <v>0</v>
      </c>
      <c r="J11" s="232">
        <f>[1]in!$J$45</f>
        <v>0</v>
      </c>
      <c r="K11" s="232">
        <f>[1]in!$L$45</f>
        <v>0</v>
      </c>
      <c r="L11" s="232">
        <f>[1]in!$M$45</f>
        <v>0</v>
      </c>
      <c r="M11" s="232">
        <f>[1]in!$N$45</f>
        <v>0</v>
      </c>
      <c r="N11" s="232">
        <f>[1]in!$P$45</f>
        <v>0</v>
      </c>
      <c r="O11" s="232">
        <f>[1]in!$Q$45</f>
        <v>0</v>
      </c>
      <c r="P11" s="232">
        <f>[1]in!$R$45</f>
        <v>0</v>
      </c>
      <c r="Q11" s="22">
        <f t="shared" si="22"/>
        <v>636.77200000000005</v>
      </c>
      <c r="R11" s="15">
        <f>SUM(E11:G11)</f>
        <v>482.07900000000006</v>
      </c>
      <c r="S11" s="15">
        <f t="shared" si="16"/>
        <v>154.69300000000001</v>
      </c>
      <c r="T11" s="15">
        <f t="shared" si="17"/>
        <v>0</v>
      </c>
      <c r="U11" s="15">
        <f t="shared" si="18"/>
        <v>0</v>
      </c>
      <c r="V11" s="15">
        <f t="shared" si="21"/>
        <v>636.77200000000005</v>
      </c>
      <c r="W11" s="15">
        <f t="shared" si="19"/>
        <v>0</v>
      </c>
      <c r="Y11" s="7" t="s">
        <v>22</v>
      </c>
      <c r="Z11" s="26">
        <f t="shared" si="20"/>
        <v>5.2994193548387099</v>
      </c>
      <c r="AA11" s="26">
        <f t="shared" si="1"/>
        <v>5.493321428571428</v>
      </c>
      <c r="AB11" s="26">
        <f t="shared" si="2"/>
        <v>5.2898064516129031</v>
      </c>
      <c r="AC11" s="26">
        <f t="shared" si="3"/>
        <v>5.1564333333333341</v>
      </c>
      <c r="AD11" s="26">
        <f t="shared" si="4"/>
        <v>0</v>
      </c>
      <c r="AE11" s="26">
        <f t="shared" si="5"/>
        <v>0</v>
      </c>
      <c r="AF11" s="26">
        <f t="shared" si="6"/>
        <v>0</v>
      </c>
      <c r="AG11" s="26">
        <f t="shared" si="7"/>
        <v>0</v>
      </c>
      <c r="AH11" s="26">
        <f t="shared" si="8"/>
        <v>0</v>
      </c>
      <c r="AI11" s="26">
        <f t="shared" si="9"/>
        <v>0</v>
      </c>
      <c r="AJ11" s="26">
        <f t="shared" si="10"/>
        <v>0</v>
      </c>
      <c r="AK11" s="26">
        <f t="shared" si="11"/>
        <v>0</v>
      </c>
      <c r="AL11" s="26">
        <f t="shared" si="12"/>
        <v>1.9065029940119762</v>
      </c>
    </row>
    <row r="12" spans="1:38">
      <c r="A12" s="410"/>
      <c r="B12" s="2" t="s">
        <v>23</v>
      </c>
      <c r="C12" s="7" t="s">
        <v>14</v>
      </c>
      <c r="D12" s="9"/>
      <c r="E12" s="11">
        <f>[1]in!$D$47</f>
        <v>2628.63</v>
      </c>
      <c r="F12" s="11">
        <f>[1]in!$E$47</f>
        <v>2342.79</v>
      </c>
      <c r="G12" s="11">
        <f>[1]in!$F$47</f>
        <v>2032.34</v>
      </c>
      <c r="H12" s="11">
        <f>[1]in!$H$47</f>
        <v>1914.63</v>
      </c>
      <c r="I12" s="11">
        <f>[1]in!$I$47</f>
        <v>0</v>
      </c>
      <c r="J12" s="11">
        <f>[1]in!$J$47</f>
        <v>0</v>
      </c>
      <c r="K12" s="11">
        <f>[1]in!$L$47</f>
        <v>0</v>
      </c>
      <c r="L12" s="11">
        <f>[1]in!$M$47</f>
        <v>0</v>
      </c>
      <c r="M12" s="11">
        <f>[1]in!$N$47</f>
        <v>0</v>
      </c>
      <c r="N12" s="11">
        <f>[1]in!$P$47</f>
        <v>0</v>
      </c>
      <c r="O12" s="11">
        <f>[1]in!$Q$47</f>
        <v>0</v>
      </c>
      <c r="P12" s="11">
        <f>[1]in!$R$47</f>
        <v>0</v>
      </c>
      <c r="Q12" s="22">
        <f t="shared" si="22"/>
        <v>8918.39</v>
      </c>
      <c r="R12" s="15">
        <f>SUM(E12:G12)</f>
        <v>7003.76</v>
      </c>
      <c r="S12" s="15">
        <f t="shared" ref="S12" si="23">SUM(H12:J12)</f>
        <v>1914.63</v>
      </c>
      <c r="T12" s="15">
        <f t="shared" ref="T12" si="24">SUM(K12:M12)</f>
        <v>0</v>
      </c>
      <c r="U12" s="15">
        <f t="shared" ref="U12" si="25">SUM(N12:P12)</f>
        <v>0</v>
      </c>
      <c r="V12" s="15">
        <f t="shared" si="21"/>
        <v>8918.39</v>
      </c>
      <c r="W12" s="15">
        <f t="shared" si="19"/>
        <v>0</v>
      </c>
      <c r="Y12" s="202" t="s">
        <v>23</v>
      </c>
      <c r="Z12" s="26">
        <f t="shared" ref="Z12" si="26">E12/$Z$1</f>
        <v>84.79451612903226</v>
      </c>
      <c r="AA12" s="26">
        <f t="shared" ref="AA12" si="27">F12/$AA$1</f>
        <v>83.671071428571423</v>
      </c>
      <c r="AB12" s="26">
        <f t="shared" ref="AB12" si="28">G12/$AB$1</f>
        <v>65.55935483870968</v>
      </c>
      <c r="AC12" s="26">
        <f t="shared" ref="AC12" si="29">H12/$AC$1</f>
        <v>63.821000000000005</v>
      </c>
      <c r="AD12" s="26">
        <f t="shared" ref="AD12" si="30">I12/$AD$1</f>
        <v>0</v>
      </c>
      <c r="AE12" s="26">
        <f t="shared" ref="AE12" si="31">J12/$AE$1</f>
        <v>0</v>
      </c>
      <c r="AF12" s="26">
        <f t="shared" ref="AF12" si="32">K12/$AF$1</f>
        <v>0</v>
      </c>
      <c r="AG12" s="26">
        <f t="shared" ref="AG12" si="33">L12/$AG$1</f>
        <v>0</v>
      </c>
      <c r="AH12" s="26">
        <f t="shared" ref="AH12" si="34">M12/$AH$1</f>
        <v>0</v>
      </c>
      <c r="AI12" s="26">
        <f t="shared" ref="AI12" si="35">N12/$AI$1</f>
        <v>0</v>
      </c>
      <c r="AJ12" s="26">
        <f t="shared" ref="AJ12" si="36">O12/$AJ$1</f>
        <v>0</v>
      </c>
      <c r="AK12" s="26">
        <f t="shared" ref="AK12" si="37">P12/$AK$1</f>
        <v>0</v>
      </c>
      <c r="AL12" s="26">
        <f t="shared" ref="AL12" si="38">Q12/$AL$1</f>
        <v>26.701766467065866</v>
      </c>
    </row>
    <row r="13" spans="1:38">
      <c r="A13" s="410"/>
      <c r="B13" s="128" t="s">
        <v>24</v>
      </c>
      <c r="C13" s="7" t="s">
        <v>14</v>
      </c>
      <c r="D13" s="9"/>
      <c r="E13" s="11">
        <f>[1]in!$D$25</f>
        <v>26349</v>
      </c>
      <c r="F13" s="11">
        <f>[1]in!$E$25</f>
        <v>25398</v>
      </c>
      <c r="G13" s="12">
        <f>[1]in!$F$25</f>
        <v>24330</v>
      </c>
      <c r="H13" s="12">
        <f>[1]in!$H$25</f>
        <v>23769</v>
      </c>
      <c r="I13" s="12">
        <f>[1]in!$I$25</f>
        <v>0</v>
      </c>
      <c r="J13" s="12">
        <f>[1]in!$J$25</f>
        <v>0</v>
      </c>
      <c r="K13" s="12">
        <f>[1]in!$L$25</f>
        <v>0</v>
      </c>
      <c r="L13" s="12">
        <f>[1]in!$M$25</f>
        <v>0</v>
      </c>
      <c r="M13" s="12">
        <f>[1]in!$N$25</f>
        <v>0</v>
      </c>
      <c r="N13" s="12">
        <f>[1]in!$P$25</f>
        <v>0</v>
      </c>
      <c r="O13" s="12">
        <f>[1]in!$Q$25</f>
        <v>0</v>
      </c>
      <c r="P13" s="12">
        <f>[1]in!$R$25</f>
        <v>0</v>
      </c>
      <c r="Q13" s="22">
        <f t="shared" si="22"/>
        <v>99846</v>
      </c>
      <c r="R13" s="15">
        <f t="shared" si="15"/>
        <v>76077</v>
      </c>
      <c r="S13" s="15">
        <f t="shared" si="16"/>
        <v>23769</v>
      </c>
      <c r="T13" s="15">
        <f t="shared" si="17"/>
        <v>0</v>
      </c>
      <c r="U13" s="15">
        <f t="shared" si="18"/>
        <v>0</v>
      </c>
      <c r="V13" s="15">
        <f t="shared" si="21"/>
        <v>99846</v>
      </c>
      <c r="W13" s="15">
        <f t="shared" si="19"/>
        <v>0</v>
      </c>
      <c r="Y13" s="7" t="s">
        <v>24</v>
      </c>
      <c r="Z13" s="26">
        <f t="shared" si="20"/>
        <v>849.9677419354839</v>
      </c>
      <c r="AA13" s="26">
        <f t="shared" si="1"/>
        <v>907.07142857142856</v>
      </c>
      <c r="AB13" s="26">
        <f t="shared" si="2"/>
        <v>784.83870967741939</v>
      </c>
      <c r="AC13" s="26">
        <f t="shared" si="3"/>
        <v>792.3</v>
      </c>
      <c r="AD13" s="26">
        <f t="shared" si="4"/>
        <v>0</v>
      </c>
      <c r="AE13" s="26">
        <f t="shared" si="5"/>
        <v>0</v>
      </c>
      <c r="AF13" s="26">
        <f t="shared" si="6"/>
        <v>0</v>
      </c>
      <c r="AG13" s="26">
        <f t="shared" si="7"/>
        <v>0</v>
      </c>
      <c r="AH13" s="26">
        <f t="shared" si="8"/>
        <v>0</v>
      </c>
      <c r="AI13" s="26">
        <f t="shared" si="9"/>
        <v>0</v>
      </c>
      <c r="AJ13" s="26">
        <f t="shared" si="10"/>
        <v>0</v>
      </c>
      <c r="AK13" s="26">
        <f t="shared" si="11"/>
        <v>0</v>
      </c>
      <c r="AL13" s="26">
        <f t="shared" si="12"/>
        <v>298.94011976047904</v>
      </c>
    </row>
    <row r="14" spans="1:38">
      <c r="A14" s="410"/>
      <c r="B14" s="128" t="s">
        <v>25</v>
      </c>
      <c r="C14" s="7" t="s">
        <v>14</v>
      </c>
      <c r="D14" s="9"/>
      <c r="E14" s="11">
        <f>[1]in!$D$32</f>
        <v>12506.621999999999</v>
      </c>
      <c r="F14" s="11">
        <f>[1]in!$E$32</f>
        <v>12176.861000000001</v>
      </c>
      <c r="G14" s="12">
        <f>[1]in!$F$32</f>
        <v>11926.138999999999</v>
      </c>
      <c r="H14" s="12">
        <f>[1]in!$H$32</f>
        <v>11233.093000000001</v>
      </c>
      <c r="I14" s="12">
        <f>[1]in!$I$32</f>
        <v>0</v>
      </c>
      <c r="J14" s="12">
        <f>[1]in!$J$32</f>
        <v>0</v>
      </c>
      <c r="K14" s="12">
        <f>[1]in!$L$32</f>
        <v>0</v>
      </c>
      <c r="L14" s="12">
        <f>[1]in!$M$32</f>
        <v>0</v>
      </c>
      <c r="M14" s="12">
        <f>[1]in!$N$32</f>
        <v>0</v>
      </c>
      <c r="N14" s="12">
        <f>[1]in!$P$32</f>
        <v>0</v>
      </c>
      <c r="O14" s="12">
        <f>[1]in!$Q$32</f>
        <v>0</v>
      </c>
      <c r="P14" s="12">
        <f>[1]in!$R$32</f>
        <v>0</v>
      </c>
      <c r="Q14" s="22">
        <f t="shared" si="22"/>
        <v>47842.715000000004</v>
      </c>
      <c r="R14" s="15">
        <f t="shared" si="15"/>
        <v>36609.622000000003</v>
      </c>
      <c r="S14" s="15">
        <f t="shared" si="16"/>
        <v>11233.093000000001</v>
      </c>
      <c r="T14" s="15">
        <f t="shared" si="17"/>
        <v>0</v>
      </c>
      <c r="U14" s="15">
        <f t="shared" si="18"/>
        <v>0</v>
      </c>
      <c r="V14" s="15">
        <f t="shared" si="21"/>
        <v>47842.715000000004</v>
      </c>
      <c r="W14" s="15">
        <f t="shared" si="19"/>
        <v>0</v>
      </c>
      <c r="Y14" s="7" t="s">
        <v>25</v>
      </c>
      <c r="Z14" s="26">
        <f t="shared" si="20"/>
        <v>403.43941935483866</v>
      </c>
      <c r="AA14" s="26">
        <f t="shared" si="1"/>
        <v>434.8878928571429</v>
      </c>
      <c r="AB14" s="26">
        <f t="shared" si="2"/>
        <v>384.71416129032258</v>
      </c>
      <c r="AC14" s="26">
        <f t="shared" si="3"/>
        <v>374.43643333333335</v>
      </c>
      <c r="AD14" s="26">
        <f t="shared" si="4"/>
        <v>0</v>
      </c>
      <c r="AE14" s="26">
        <f t="shared" si="5"/>
        <v>0</v>
      </c>
      <c r="AF14" s="26">
        <f t="shared" si="6"/>
        <v>0</v>
      </c>
      <c r="AG14" s="26">
        <f t="shared" si="7"/>
        <v>0</v>
      </c>
      <c r="AH14" s="26">
        <f t="shared" si="8"/>
        <v>0</v>
      </c>
      <c r="AI14" s="26">
        <f t="shared" si="9"/>
        <v>0</v>
      </c>
      <c r="AJ14" s="26">
        <f t="shared" si="10"/>
        <v>0</v>
      </c>
      <c r="AK14" s="26">
        <f t="shared" si="11"/>
        <v>0</v>
      </c>
      <c r="AL14" s="26">
        <f t="shared" si="12"/>
        <v>143.24166167664671</v>
      </c>
    </row>
    <row r="15" spans="1:38">
      <c r="A15" s="410"/>
      <c r="B15" s="128" t="s">
        <v>26</v>
      </c>
      <c r="C15" s="7" t="s">
        <v>14</v>
      </c>
      <c r="D15" s="9"/>
      <c r="E15" s="11">
        <f>[1]in!$D$37</f>
        <v>585.23</v>
      </c>
      <c r="F15" s="11">
        <f>[1]in!$E$37</f>
        <v>428.71</v>
      </c>
      <c r="G15" s="12">
        <f>[1]in!$F$37</f>
        <v>882.28</v>
      </c>
      <c r="H15" s="12">
        <f>[1]in!$H$37</f>
        <v>648.41</v>
      </c>
      <c r="I15" s="12">
        <f>[1]in!$I$37</f>
        <v>0</v>
      </c>
      <c r="J15" s="12">
        <f>[1]in!$J$37</f>
        <v>0</v>
      </c>
      <c r="K15" s="12">
        <f>[1]in!$L$37</f>
        <v>0</v>
      </c>
      <c r="L15" s="12">
        <f>[1]in!$M$37</f>
        <v>0</v>
      </c>
      <c r="M15" s="12">
        <f>[1]in!$N$37</f>
        <v>0</v>
      </c>
      <c r="N15" s="12">
        <f>[1]in!$P$37</f>
        <v>0</v>
      </c>
      <c r="O15" s="12">
        <f>[1]in!$Q$37</f>
        <v>0</v>
      </c>
      <c r="P15" s="12">
        <f>[1]in!$R$37</f>
        <v>0</v>
      </c>
      <c r="Q15" s="22">
        <f t="shared" si="22"/>
        <v>2544.63</v>
      </c>
      <c r="R15" s="15">
        <f t="shared" si="15"/>
        <v>1896.22</v>
      </c>
      <c r="S15" s="15">
        <f t="shared" si="16"/>
        <v>648.41</v>
      </c>
      <c r="T15" s="15">
        <f t="shared" si="17"/>
        <v>0</v>
      </c>
      <c r="U15" s="15">
        <f t="shared" si="18"/>
        <v>0</v>
      </c>
      <c r="V15" s="15">
        <f t="shared" si="21"/>
        <v>2544.63</v>
      </c>
      <c r="W15" s="15">
        <f t="shared" si="19"/>
        <v>0</v>
      </c>
      <c r="Y15" s="7" t="s">
        <v>26</v>
      </c>
      <c r="Z15" s="26">
        <f t="shared" si="20"/>
        <v>18.878387096774194</v>
      </c>
      <c r="AA15" s="26">
        <f t="shared" si="1"/>
        <v>15.311071428571427</v>
      </c>
      <c r="AB15" s="26">
        <f t="shared" si="2"/>
        <v>28.460645161290323</v>
      </c>
      <c r="AC15" s="26">
        <f t="shared" si="3"/>
        <v>21.613666666666667</v>
      </c>
      <c r="AD15" s="26">
        <f t="shared" si="4"/>
        <v>0</v>
      </c>
      <c r="AE15" s="26">
        <f t="shared" si="5"/>
        <v>0</v>
      </c>
      <c r="AF15" s="26">
        <f t="shared" si="6"/>
        <v>0</v>
      </c>
      <c r="AG15" s="26">
        <f t="shared" si="7"/>
        <v>0</v>
      </c>
      <c r="AH15" s="26">
        <f t="shared" si="8"/>
        <v>0</v>
      </c>
      <c r="AI15" s="26">
        <f t="shared" si="9"/>
        <v>0</v>
      </c>
      <c r="AJ15" s="26">
        <f t="shared" si="10"/>
        <v>0</v>
      </c>
      <c r="AK15" s="26">
        <f t="shared" si="11"/>
        <v>0</v>
      </c>
      <c r="AL15" s="26">
        <f t="shared" si="12"/>
        <v>7.6186526946107787</v>
      </c>
    </row>
    <row r="16" spans="1:38">
      <c r="A16" s="410"/>
      <c r="B16" s="128" t="s">
        <v>27</v>
      </c>
      <c r="C16" s="7" t="s">
        <v>14</v>
      </c>
      <c r="D16" s="9"/>
      <c r="E16" s="11">
        <f>[1]in!$D$38</f>
        <v>1394.98</v>
      </c>
      <c r="F16" s="11">
        <f>[1]in!$E$38</f>
        <v>1431.84</v>
      </c>
      <c r="G16" s="12">
        <f>[1]in!$F$38</f>
        <v>1499.44</v>
      </c>
      <c r="H16" s="12">
        <f>[1]in!$H$38</f>
        <v>1490.27</v>
      </c>
      <c r="I16" s="12">
        <f>[1]in!$I$38</f>
        <v>0</v>
      </c>
      <c r="J16" s="12">
        <f>[1]in!$J$38</f>
        <v>0</v>
      </c>
      <c r="K16" s="12">
        <f>[1]in!$L$38</f>
        <v>0</v>
      </c>
      <c r="L16" s="12">
        <f>[1]in!$M$38</f>
        <v>0</v>
      </c>
      <c r="M16" s="12">
        <f>[1]in!$N$38</f>
        <v>0</v>
      </c>
      <c r="N16" s="12">
        <f>[1]in!$P$38</f>
        <v>0</v>
      </c>
      <c r="O16" s="12">
        <f>[1]in!$Q$38</f>
        <v>0</v>
      </c>
      <c r="P16" s="12">
        <f>[1]in!$R$38</f>
        <v>0</v>
      </c>
      <c r="Q16" s="22">
        <f t="shared" si="22"/>
        <v>5816.5300000000007</v>
      </c>
      <c r="R16" s="15">
        <f t="shared" si="15"/>
        <v>4326.26</v>
      </c>
      <c r="S16" s="15">
        <f t="shared" si="16"/>
        <v>1490.27</v>
      </c>
      <c r="T16" s="15">
        <f t="shared" si="17"/>
        <v>0</v>
      </c>
      <c r="U16" s="15">
        <f t="shared" si="18"/>
        <v>0</v>
      </c>
      <c r="V16" s="15">
        <f t="shared" si="21"/>
        <v>5816.5300000000007</v>
      </c>
      <c r="W16" s="15">
        <f t="shared" si="19"/>
        <v>0</v>
      </c>
      <c r="Y16" s="7" t="s">
        <v>27</v>
      </c>
      <c r="Z16" s="26">
        <f t="shared" si="20"/>
        <v>44.999354838709678</v>
      </c>
      <c r="AA16" s="26">
        <f t="shared" si="1"/>
        <v>51.137142857142855</v>
      </c>
      <c r="AB16" s="26">
        <f t="shared" si="2"/>
        <v>48.369032258064514</v>
      </c>
      <c r="AC16" s="26">
        <f t="shared" si="3"/>
        <v>49.675666666666665</v>
      </c>
      <c r="AD16" s="26">
        <f t="shared" si="4"/>
        <v>0</v>
      </c>
      <c r="AE16" s="26">
        <f t="shared" si="5"/>
        <v>0</v>
      </c>
      <c r="AF16" s="26">
        <f t="shared" si="6"/>
        <v>0</v>
      </c>
      <c r="AG16" s="26">
        <f t="shared" si="7"/>
        <v>0</v>
      </c>
      <c r="AH16" s="26">
        <f t="shared" si="8"/>
        <v>0</v>
      </c>
      <c r="AI16" s="26">
        <f t="shared" si="9"/>
        <v>0</v>
      </c>
      <c r="AJ16" s="26">
        <f t="shared" si="10"/>
        <v>0</v>
      </c>
      <c r="AK16" s="26">
        <f t="shared" si="11"/>
        <v>0</v>
      </c>
      <c r="AL16" s="26">
        <f t="shared" si="12"/>
        <v>17.414760479041917</v>
      </c>
    </row>
    <row r="17" spans="1:38">
      <c r="A17" s="410" t="s">
        <v>28</v>
      </c>
      <c r="B17" s="2" t="s">
        <v>29</v>
      </c>
      <c r="C17" s="7" t="s">
        <v>14</v>
      </c>
      <c r="D17" s="9"/>
      <c r="E17" s="55">
        <f>[1]in!$D$19</f>
        <v>757.57</v>
      </c>
      <c r="F17" s="55">
        <f>[1]in!$E$19</f>
        <v>666.95</v>
      </c>
      <c r="G17" s="109">
        <f>[1]in!$F$19</f>
        <v>779.59</v>
      </c>
      <c r="H17" s="109">
        <f>[1]in!$H$19</f>
        <v>856.76</v>
      </c>
      <c r="I17" s="109">
        <f>[1]in!$I$19</f>
        <v>0</v>
      </c>
      <c r="J17" s="109">
        <f>[1]in!$J$19</f>
        <v>0</v>
      </c>
      <c r="K17" s="109">
        <f>[1]in!$L$19</f>
        <v>0</v>
      </c>
      <c r="L17" s="109">
        <f>[1]in!$M$19</f>
        <v>0</v>
      </c>
      <c r="M17" s="109">
        <f>[1]in!$N$19</f>
        <v>0</v>
      </c>
      <c r="N17" s="109">
        <f>[1]in!$P$19</f>
        <v>0</v>
      </c>
      <c r="O17" s="109">
        <f>[1]in!$Q$19</f>
        <v>0</v>
      </c>
      <c r="P17" s="109">
        <f>[1]in!$R$19</f>
        <v>0</v>
      </c>
      <c r="Q17" s="22">
        <f t="shared" si="22"/>
        <v>3060.87</v>
      </c>
      <c r="R17" s="15">
        <f t="shared" si="15"/>
        <v>2204.11</v>
      </c>
      <c r="S17" s="15">
        <f t="shared" si="16"/>
        <v>856.76</v>
      </c>
      <c r="T17" s="15">
        <f t="shared" si="17"/>
        <v>0</v>
      </c>
      <c r="U17" s="15">
        <f t="shared" si="18"/>
        <v>0</v>
      </c>
      <c r="V17" s="15">
        <f t="shared" si="21"/>
        <v>3060.87</v>
      </c>
      <c r="W17" s="15">
        <f t="shared" si="19"/>
        <v>0</v>
      </c>
      <c r="Y17" s="7" t="s">
        <v>29</v>
      </c>
      <c r="Z17" s="26">
        <f t="shared" si="20"/>
        <v>24.437741935483874</v>
      </c>
      <c r="AA17" s="26">
        <f t="shared" si="1"/>
        <v>23.81964285714286</v>
      </c>
      <c r="AB17" s="26">
        <f t="shared" si="2"/>
        <v>25.148064516129033</v>
      </c>
      <c r="AC17" s="26">
        <f t="shared" si="3"/>
        <v>28.558666666666667</v>
      </c>
      <c r="AD17" s="26">
        <f t="shared" si="4"/>
        <v>0</v>
      </c>
      <c r="AE17" s="26">
        <f t="shared" si="5"/>
        <v>0</v>
      </c>
      <c r="AF17" s="26">
        <f t="shared" si="6"/>
        <v>0</v>
      </c>
      <c r="AG17" s="26">
        <f t="shared" si="7"/>
        <v>0</v>
      </c>
      <c r="AH17" s="26">
        <f t="shared" si="8"/>
        <v>0</v>
      </c>
      <c r="AI17" s="26">
        <f t="shared" si="9"/>
        <v>0</v>
      </c>
      <c r="AJ17" s="26">
        <f t="shared" si="10"/>
        <v>0</v>
      </c>
      <c r="AK17" s="26">
        <f t="shared" si="11"/>
        <v>0</v>
      </c>
      <c r="AL17" s="26">
        <f t="shared" si="12"/>
        <v>9.1642814371257479</v>
      </c>
    </row>
    <row r="18" spans="1:38">
      <c r="A18" s="410"/>
      <c r="B18" s="2" t="s">
        <v>30</v>
      </c>
      <c r="C18" s="7" t="s">
        <v>14</v>
      </c>
      <c r="D18" s="9"/>
      <c r="E18" s="55">
        <f>[1]in!$D$20</f>
        <v>6519.68</v>
      </c>
      <c r="F18" s="55">
        <f>[1]in!$E$20</f>
        <v>8061.68</v>
      </c>
      <c r="G18" s="109">
        <f>[1]in!$F$20</f>
        <v>8182.08</v>
      </c>
      <c r="H18" s="109">
        <f>[1]in!$H$20</f>
        <v>0</v>
      </c>
      <c r="I18" s="109">
        <f>[1]in!$I$20</f>
        <v>0</v>
      </c>
      <c r="J18" s="109">
        <f>[1]in!$J$20</f>
        <v>0</v>
      </c>
      <c r="K18" s="109">
        <f>[1]in!$L$20</f>
        <v>0</v>
      </c>
      <c r="L18" s="109">
        <f>[1]in!$M$20</f>
        <v>0</v>
      </c>
      <c r="M18" s="109">
        <f>[1]in!$N$20</f>
        <v>0</v>
      </c>
      <c r="N18" s="109">
        <f>[1]in!$P$20</f>
        <v>0</v>
      </c>
      <c r="O18" s="109">
        <f>[1]in!$Q$20</f>
        <v>0</v>
      </c>
      <c r="P18" s="109">
        <f>[1]in!$R$20</f>
        <v>0</v>
      </c>
      <c r="Q18" s="22">
        <f t="shared" si="22"/>
        <v>22763.440000000002</v>
      </c>
      <c r="R18" s="15">
        <f t="shared" si="15"/>
        <v>22763.440000000002</v>
      </c>
      <c r="S18" s="15">
        <f t="shared" si="16"/>
        <v>0</v>
      </c>
      <c r="T18" s="15">
        <f t="shared" si="17"/>
        <v>0</v>
      </c>
      <c r="U18" s="15">
        <f t="shared" si="18"/>
        <v>0</v>
      </c>
      <c r="V18" s="15">
        <f t="shared" si="21"/>
        <v>22763.440000000002</v>
      </c>
      <c r="W18" s="15">
        <f t="shared" si="19"/>
        <v>0</v>
      </c>
      <c r="Y18" s="7" t="s">
        <v>30</v>
      </c>
      <c r="Z18" s="26">
        <f t="shared" si="20"/>
        <v>210.31225806451613</v>
      </c>
      <c r="AA18" s="26">
        <f t="shared" si="1"/>
        <v>287.91714285714289</v>
      </c>
      <c r="AB18" s="26">
        <f t="shared" si="2"/>
        <v>263.93806451612903</v>
      </c>
      <c r="AC18" s="26">
        <f t="shared" si="3"/>
        <v>0</v>
      </c>
      <c r="AD18" s="26">
        <f t="shared" si="4"/>
        <v>0</v>
      </c>
      <c r="AE18" s="26">
        <f t="shared" si="5"/>
        <v>0</v>
      </c>
      <c r="AF18" s="26">
        <f t="shared" si="6"/>
        <v>0</v>
      </c>
      <c r="AG18" s="26">
        <f t="shared" si="7"/>
        <v>0</v>
      </c>
      <c r="AH18" s="26">
        <f t="shared" si="8"/>
        <v>0</v>
      </c>
      <c r="AI18" s="26">
        <f t="shared" si="9"/>
        <v>0</v>
      </c>
      <c r="AJ18" s="26">
        <f t="shared" si="10"/>
        <v>0</v>
      </c>
      <c r="AK18" s="26">
        <f t="shared" si="11"/>
        <v>0</v>
      </c>
      <c r="AL18" s="26">
        <f t="shared" si="12"/>
        <v>68.154011976047912</v>
      </c>
    </row>
    <row r="19" spans="1:38">
      <c r="A19" s="410"/>
      <c r="B19" s="2" t="s">
        <v>31</v>
      </c>
      <c r="C19" s="7" t="s">
        <v>14</v>
      </c>
      <c r="D19" s="9"/>
      <c r="E19" s="11">
        <f>[1]in!$D$22</f>
        <v>14685.199000000001</v>
      </c>
      <c r="F19" s="11">
        <f>[1]in!$E$22</f>
        <v>8901.3160000000007</v>
      </c>
      <c r="G19" s="12">
        <f>[1]in!$F$22</f>
        <v>10005.102000000001</v>
      </c>
      <c r="H19" s="12">
        <f>[1]in!$H$22</f>
        <v>8558.7620000000006</v>
      </c>
      <c r="I19" s="12">
        <f>[1]in!$I$22</f>
        <v>0</v>
      </c>
      <c r="J19" s="12">
        <f>[1]in!$J$22</f>
        <v>0</v>
      </c>
      <c r="K19" s="12">
        <f>[1]in!$L$22</f>
        <v>0</v>
      </c>
      <c r="L19" s="12">
        <f>[1]in!$M$22</f>
        <v>0</v>
      </c>
      <c r="M19" s="12">
        <f>[1]in!$N$22</f>
        <v>0</v>
      </c>
      <c r="N19" s="12">
        <f>[1]in!$P$22</f>
        <v>0</v>
      </c>
      <c r="O19" s="12">
        <f>[1]in!$Q$22</f>
        <v>0</v>
      </c>
      <c r="P19" s="12">
        <f>[1]in!$R$22</f>
        <v>0</v>
      </c>
      <c r="Q19" s="22">
        <f t="shared" si="22"/>
        <v>42150.379000000001</v>
      </c>
      <c r="R19" s="15">
        <f t="shared" si="15"/>
        <v>33591.616999999998</v>
      </c>
      <c r="S19" s="15">
        <f t="shared" si="16"/>
        <v>8558.7620000000006</v>
      </c>
      <c r="T19" s="15">
        <f t="shared" si="17"/>
        <v>0</v>
      </c>
      <c r="U19" s="15">
        <f t="shared" si="18"/>
        <v>0</v>
      </c>
      <c r="V19" s="15">
        <f t="shared" si="21"/>
        <v>42150.379000000001</v>
      </c>
      <c r="W19" s="15">
        <f t="shared" si="19"/>
        <v>0</v>
      </c>
      <c r="Y19" s="7" t="s">
        <v>31</v>
      </c>
      <c r="Z19" s="26">
        <f t="shared" si="20"/>
        <v>473.71609677419355</v>
      </c>
      <c r="AA19" s="26">
        <f t="shared" si="1"/>
        <v>317.90414285714286</v>
      </c>
      <c r="AB19" s="26">
        <f t="shared" si="2"/>
        <v>322.74522580645163</v>
      </c>
      <c r="AC19" s="26">
        <f t="shared" si="3"/>
        <v>285.2920666666667</v>
      </c>
      <c r="AD19" s="26">
        <f t="shared" si="4"/>
        <v>0</v>
      </c>
      <c r="AE19" s="26">
        <f t="shared" si="5"/>
        <v>0</v>
      </c>
      <c r="AF19" s="26">
        <f t="shared" si="6"/>
        <v>0</v>
      </c>
      <c r="AG19" s="26">
        <f t="shared" si="7"/>
        <v>0</v>
      </c>
      <c r="AH19" s="26">
        <f t="shared" si="8"/>
        <v>0</v>
      </c>
      <c r="AI19" s="26">
        <f t="shared" si="9"/>
        <v>0</v>
      </c>
      <c r="AJ19" s="26">
        <f t="shared" si="10"/>
        <v>0</v>
      </c>
      <c r="AK19" s="26">
        <f t="shared" si="11"/>
        <v>0</v>
      </c>
      <c r="AL19" s="26">
        <f t="shared" si="12"/>
        <v>126.19873952095809</v>
      </c>
    </row>
    <row r="20" spans="1:38">
      <c r="A20" s="410"/>
      <c r="B20" s="2" t="s">
        <v>32</v>
      </c>
      <c r="C20" s="7" t="s">
        <v>14</v>
      </c>
      <c r="D20" s="231"/>
      <c r="E20" s="254">
        <f>[1]in!$D$23</f>
        <v>1885.8</v>
      </c>
      <c r="F20" s="254">
        <f>[1]in!$E$23</f>
        <v>996.18</v>
      </c>
      <c r="G20" s="233">
        <f>[1]in!$F$23</f>
        <v>1115.9000000000001</v>
      </c>
      <c r="H20" s="233">
        <f>[1]in!$H$23</f>
        <v>1288.9000000000001</v>
      </c>
      <c r="I20" s="233">
        <f>[1]in!$I$23</f>
        <v>0</v>
      </c>
      <c r="J20" s="233">
        <f>[1]in!$J$23</f>
        <v>0</v>
      </c>
      <c r="K20" s="233">
        <f>[1]in!$L$23</f>
        <v>0</v>
      </c>
      <c r="L20" s="233">
        <f>[1]in!$M$23</f>
        <v>0</v>
      </c>
      <c r="M20" s="233">
        <f>[1]in!$N$23</f>
        <v>0</v>
      </c>
      <c r="N20" s="233">
        <f>[1]in!$P$23</f>
        <v>0</v>
      </c>
      <c r="O20" s="233">
        <f>[1]in!$Q$23</f>
        <v>0</v>
      </c>
      <c r="P20" s="233">
        <f>[1]in!$R$23</f>
        <v>0</v>
      </c>
      <c r="Q20" s="22">
        <f t="shared" si="22"/>
        <v>5286.7800000000007</v>
      </c>
      <c r="R20" s="15">
        <f>SUM(E20:G20)</f>
        <v>3997.88</v>
      </c>
      <c r="S20" s="15">
        <f t="shared" si="16"/>
        <v>1288.9000000000001</v>
      </c>
      <c r="T20" s="15">
        <f t="shared" si="17"/>
        <v>0</v>
      </c>
      <c r="U20" s="15">
        <f t="shared" si="18"/>
        <v>0</v>
      </c>
      <c r="V20" s="15">
        <f t="shared" si="21"/>
        <v>5286.7800000000007</v>
      </c>
      <c r="W20" s="15">
        <f t="shared" si="19"/>
        <v>0</v>
      </c>
      <c r="Y20" s="7" t="s">
        <v>32</v>
      </c>
      <c r="Z20" s="26">
        <f t="shared" si="20"/>
        <v>60.832258064516125</v>
      </c>
      <c r="AA20" s="26">
        <f t="shared" si="1"/>
        <v>35.577857142857141</v>
      </c>
      <c r="AB20" s="26">
        <f t="shared" si="2"/>
        <v>35.99677419354839</v>
      </c>
      <c r="AC20" s="26">
        <f t="shared" si="3"/>
        <v>42.963333333333338</v>
      </c>
      <c r="AD20" s="26">
        <f t="shared" si="4"/>
        <v>0</v>
      </c>
      <c r="AE20" s="26">
        <f t="shared" si="5"/>
        <v>0</v>
      </c>
      <c r="AF20" s="26">
        <f t="shared" si="6"/>
        <v>0</v>
      </c>
      <c r="AG20" s="26">
        <f t="shared" si="7"/>
        <v>0</v>
      </c>
      <c r="AH20" s="26">
        <f t="shared" si="8"/>
        <v>0</v>
      </c>
      <c r="AI20" s="26">
        <f t="shared" si="9"/>
        <v>0</v>
      </c>
      <c r="AJ20" s="26">
        <f t="shared" si="10"/>
        <v>0</v>
      </c>
      <c r="AK20" s="26">
        <f t="shared" si="11"/>
        <v>0</v>
      </c>
      <c r="AL20" s="26">
        <f t="shared" si="12"/>
        <v>15.828682634730541</v>
      </c>
    </row>
    <row r="21" spans="1:38">
      <c r="A21" s="410"/>
      <c r="B21" s="2" t="s">
        <v>33</v>
      </c>
      <c r="C21" s="7" t="s">
        <v>14</v>
      </c>
      <c r="D21" s="9"/>
      <c r="E21" s="55">
        <f>[1]in!$D$30</f>
        <v>7155.08</v>
      </c>
      <c r="F21" s="55">
        <f>[1]in!$E$30</f>
        <v>2579.1999999999998</v>
      </c>
      <c r="G21" s="109">
        <f>[1]in!$F$30</f>
        <v>9907.9599999999991</v>
      </c>
      <c r="H21" s="109">
        <f>[1]in!$H$30</f>
        <v>0</v>
      </c>
      <c r="I21" s="109">
        <f>[1]in!$I$30</f>
        <v>0</v>
      </c>
      <c r="J21" s="109">
        <f>[1]in!$J$30</f>
        <v>0</v>
      </c>
      <c r="K21" s="109">
        <f>[1]in!$L$30</f>
        <v>0</v>
      </c>
      <c r="L21" s="109">
        <f>[1]in!$M$30</f>
        <v>0</v>
      </c>
      <c r="M21" s="109">
        <f>[1]in!$N$30</f>
        <v>0</v>
      </c>
      <c r="N21" s="109">
        <f>[1]in!$P$30</f>
        <v>0</v>
      </c>
      <c r="O21" s="109">
        <f>[1]in!$Q$30</f>
        <v>0</v>
      </c>
      <c r="P21" s="109">
        <f>[1]in!$R$30</f>
        <v>0</v>
      </c>
      <c r="Q21" s="22">
        <f t="shared" si="22"/>
        <v>19642.239999999998</v>
      </c>
      <c r="R21" s="15">
        <f t="shared" si="15"/>
        <v>19642.239999999998</v>
      </c>
      <c r="S21" s="15">
        <f t="shared" si="16"/>
        <v>0</v>
      </c>
      <c r="T21" s="15">
        <f t="shared" si="17"/>
        <v>0</v>
      </c>
      <c r="U21" s="15">
        <f t="shared" si="18"/>
        <v>0</v>
      </c>
      <c r="V21" s="15">
        <f t="shared" si="21"/>
        <v>19642.239999999998</v>
      </c>
      <c r="W21" s="15">
        <f t="shared" si="19"/>
        <v>0</v>
      </c>
      <c r="Y21" s="7" t="s">
        <v>33</v>
      </c>
      <c r="Z21" s="26">
        <f t="shared" si="20"/>
        <v>230.80903225806452</v>
      </c>
      <c r="AA21" s="26">
        <f t="shared" si="1"/>
        <v>92.114285714285714</v>
      </c>
      <c r="AB21" s="26">
        <f t="shared" si="2"/>
        <v>319.61161290322576</v>
      </c>
      <c r="AC21" s="26">
        <f t="shared" si="3"/>
        <v>0</v>
      </c>
      <c r="AD21" s="26">
        <f t="shared" si="4"/>
        <v>0</v>
      </c>
      <c r="AE21" s="26">
        <f t="shared" si="5"/>
        <v>0</v>
      </c>
      <c r="AF21" s="26">
        <f t="shared" si="6"/>
        <v>0</v>
      </c>
      <c r="AG21" s="26">
        <f t="shared" si="7"/>
        <v>0</v>
      </c>
      <c r="AH21" s="26">
        <f t="shared" si="8"/>
        <v>0</v>
      </c>
      <c r="AI21" s="26">
        <f t="shared" si="9"/>
        <v>0</v>
      </c>
      <c r="AJ21" s="26">
        <f t="shared" si="10"/>
        <v>0</v>
      </c>
      <c r="AK21" s="26">
        <f t="shared" si="11"/>
        <v>0</v>
      </c>
      <c r="AL21" s="26">
        <f t="shared" si="12"/>
        <v>58.809101796407177</v>
      </c>
    </row>
    <row r="22" spans="1:38">
      <c r="A22" s="410"/>
      <c r="B22" s="2" t="s">
        <v>34</v>
      </c>
      <c r="C22" s="7" t="s">
        <v>14</v>
      </c>
      <c r="D22" s="9"/>
      <c r="E22" s="55">
        <f>[1]in!$D$35</f>
        <v>357.92</v>
      </c>
      <c r="F22" s="55">
        <f>[1]in!$E$35</f>
        <v>303.005</v>
      </c>
      <c r="G22" s="109">
        <f>[1]in!$F$35</f>
        <v>497.90499999999997</v>
      </c>
      <c r="H22" s="109">
        <f>[1]in!$H$35</f>
        <v>446.11</v>
      </c>
      <c r="I22" s="109">
        <f>[1]in!$I$35</f>
        <v>0</v>
      </c>
      <c r="J22" s="109">
        <f>[1]in!$J$35</f>
        <v>0</v>
      </c>
      <c r="K22" s="109">
        <f>[1]in!$L$35</f>
        <v>0</v>
      </c>
      <c r="L22" s="109">
        <f>[1]in!$M$35</f>
        <v>0</v>
      </c>
      <c r="M22" s="109">
        <f>[1]in!$N$35</f>
        <v>0</v>
      </c>
      <c r="N22" s="109">
        <f>[1]in!$P$35</f>
        <v>0</v>
      </c>
      <c r="O22" s="109">
        <f>[1]in!$Q$35</f>
        <v>0</v>
      </c>
      <c r="P22" s="109">
        <f>[1]in!$R$35</f>
        <v>0</v>
      </c>
      <c r="Q22" s="22">
        <f t="shared" si="22"/>
        <v>1604.94</v>
      </c>
      <c r="R22" s="15">
        <f t="shared" si="15"/>
        <v>1158.83</v>
      </c>
      <c r="S22" s="15">
        <f t="shared" si="16"/>
        <v>446.11</v>
      </c>
      <c r="T22" s="15">
        <f t="shared" si="17"/>
        <v>0</v>
      </c>
      <c r="U22" s="15">
        <f t="shared" si="18"/>
        <v>0</v>
      </c>
      <c r="V22" s="15">
        <f t="shared" si="21"/>
        <v>1604.94</v>
      </c>
      <c r="W22" s="15">
        <f t="shared" si="19"/>
        <v>0</v>
      </c>
      <c r="Y22" s="7" t="s">
        <v>34</v>
      </c>
      <c r="Z22" s="26">
        <f t="shared" si="20"/>
        <v>11.545806451612904</v>
      </c>
      <c r="AA22" s="26">
        <f t="shared" si="1"/>
        <v>10.821607142857143</v>
      </c>
      <c r="AB22" s="26">
        <f t="shared" si="2"/>
        <v>16.061451612903223</v>
      </c>
      <c r="AC22" s="26">
        <f t="shared" si="3"/>
        <v>14.870333333333333</v>
      </c>
      <c r="AD22" s="26">
        <f t="shared" si="4"/>
        <v>0</v>
      </c>
      <c r="AE22" s="26">
        <f t="shared" si="5"/>
        <v>0</v>
      </c>
      <c r="AF22" s="26">
        <f t="shared" si="6"/>
        <v>0</v>
      </c>
      <c r="AG22" s="26">
        <f t="shared" si="7"/>
        <v>0</v>
      </c>
      <c r="AH22" s="26">
        <f t="shared" si="8"/>
        <v>0</v>
      </c>
      <c r="AI22" s="26">
        <f t="shared" si="9"/>
        <v>0</v>
      </c>
      <c r="AJ22" s="26">
        <f t="shared" si="10"/>
        <v>0</v>
      </c>
      <c r="AK22" s="26">
        <f t="shared" si="11"/>
        <v>0</v>
      </c>
      <c r="AL22" s="26">
        <f t="shared" si="12"/>
        <v>4.8052095808383237</v>
      </c>
    </row>
    <row r="23" spans="1:38">
      <c r="A23" s="410"/>
      <c r="B23" s="2" t="s">
        <v>35</v>
      </c>
      <c r="C23" s="7" t="s">
        <v>14</v>
      </c>
      <c r="D23" s="9"/>
      <c r="E23" s="11">
        <f>[1]in!$D$39</f>
        <v>640.952</v>
      </c>
      <c r="F23" s="11">
        <f>[1]in!$E$39</f>
        <v>464.29500000000002</v>
      </c>
      <c r="G23" s="12">
        <f>[1]in!$F$39</f>
        <v>969.30499999999995</v>
      </c>
      <c r="H23" s="12">
        <f>[1]in!$H$39</f>
        <v>669.13199999999995</v>
      </c>
      <c r="I23" s="12">
        <f>[1]in!$I$39</f>
        <v>0</v>
      </c>
      <c r="J23" s="12">
        <f>[1]in!$J$39</f>
        <v>0</v>
      </c>
      <c r="K23" s="12">
        <f>[1]in!$L$39</f>
        <v>0</v>
      </c>
      <c r="L23" s="12">
        <f>[1]in!$M$39</f>
        <v>0</v>
      </c>
      <c r="M23" s="12">
        <f>[1]in!$N$39</f>
        <v>0</v>
      </c>
      <c r="N23" s="12">
        <f>[1]in!$P$39</f>
        <v>0</v>
      </c>
      <c r="O23" s="12">
        <f>[1]in!$Q$39</f>
        <v>0</v>
      </c>
      <c r="P23" s="12">
        <f>[1]in!$R$39</f>
        <v>0</v>
      </c>
      <c r="Q23" s="22">
        <f t="shared" si="22"/>
        <v>2743.6840000000002</v>
      </c>
      <c r="R23" s="15">
        <f t="shared" si="15"/>
        <v>2074.5520000000001</v>
      </c>
      <c r="S23" s="15">
        <f t="shared" si="16"/>
        <v>669.13199999999995</v>
      </c>
      <c r="T23" s="15">
        <f t="shared" si="17"/>
        <v>0</v>
      </c>
      <c r="U23" s="15">
        <f t="shared" si="18"/>
        <v>0</v>
      </c>
      <c r="V23" s="15">
        <f t="shared" si="21"/>
        <v>2743.6840000000002</v>
      </c>
      <c r="W23" s="15">
        <f t="shared" si="19"/>
        <v>0</v>
      </c>
      <c r="Y23" s="224" t="s">
        <v>35</v>
      </c>
      <c r="Z23" s="26">
        <f t="shared" si="20"/>
        <v>20.675870967741936</v>
      </c>
      <c r="AA23" s="26">
        <f t="shared" si="1"/>
        <v>16.581964285714285</v>
      </c>
      <c r="AB23" s="26">
        <f t="shared" si="2"/>
        <v>31.26790322580645</v>
      </c>
      <c r="AC23" s="26">
        <f t="shared" si="3"/>
        <v>22.304399999999998</v>
      </c>
      <c r="AD23" s="26">
        <f t="shared" si="4"/>
        <v>0</v>
      </c>
      <c r="AE23" s="26">
        <f t="shared" si="5"/>
        <v>0</v>
      </c>
      <c r="AF23" s="26">
        <f t="shared" si="6"/>
        <v>0</v>
      </c>
      <c r="AG23" s="26">
        <f t="shared" si="7"/>
        <v>0</v>
      </c>
      <c r="AH23" s="26">
        <f t="shared" si="8"/>
        <v>0</v>
      </c>
      <c r="AI23" s="26">
        <f t="shared" si="9"/>
        <v>0</v>
      </c>
      <c r="AJ23" s="26">
        <f t="shared" si="10"/>
        <v>0</v>
      </c>
      <c r="AK23" s="26">
        <f t="shared" si="11"/>
        <v>0</v>
      </c>
      <c r="AL23" s="26">
        <f t="shared" si="12"/>
        <v>8.2146227544910193</v>
      </c>
    </row>
    <row r="24" spans="1:38">
      <c r="A24" s="410"/>
      <c r="B24" s="2" t="s">
        <v>36</v>
      </c>
      <c r="C24" s="7" t="s">
        <v>14</v>
      </c>
      <c r="D24" s="9"/>
      <c r="E24" s="11">
        <f>[1]in!$D$40</f>
        <v>814</v>
      </c>
      <c r="F24" s="11">
        <f>[1]in!$E$40</f>
        <v>733.5</v>
      </c>
      <c r="G24" s="12">
        <f>[1]in!$F$40</f>
        <v>556.6</v>
      </c>
      <c r="H24" s="12">
        <f>[1]in!$H$40</f>
        <v>721.6</v>
      </c>
      <c r="I24" s="12">
        <f>[1]in!$I$40</f>
        <v>0</v>
      </c>
      <c r="J24" s="12">
        <f>[1]in!$J$40</f>
        <v>0</v>
      </c>
      <c r="K24" s="12">
        <f>[1]in!$L$40</f>
        <v>0</v>
      </c>
      <c r="L24" s="12">
        <f>[1]in!$M$40</f>
        <v>0</v>
      </c>
      <c r="M24" s="12">
        <f>[1]in!$N$40</f>
        <v>0</v>
      </c>
      <c r="N24" s="12">
        <f>[1]in!$P$40</f>
        <v>0</v>
      </c>
      <c r="O24" s="12">
        <f>[1]in!$Q$40</f>
        <v>0</v>
      </c>
      <c r="P24" s="12">
        <f>[1]in!$R$40</f>
        <v>0</v>
      </c>
      <c r="Q24" s="22">
        <f t="shared" si="22"/>
        <v>2825.7</v>
      </c>
      <c r="R24" s="15">
        <f t="shared" si="15"/>
        <v>2104.1</v>
      </c>
      <c r="S24" s="15">
        <f t="shared" si="16"/>
        <v>721.6</v>
      </c>
      <c r="T24" s="15">
        <f t="shared" si="17"/>
        <v>0</v>
      </c>
      <c r="U24" s="15">
        <f t="shared" si="18"/>
        <v>0</v>
      </c>
      <c r="V24" s="15">
        <f t="shared" si="21"/>
        <v>2825.7</v>
      </c>
      <c r="W24" s="15">
        <f t="shared" si="19"/>
        <v>0</v>
      </c>
      <c r="Y24" s="224" t="s">
        <v>36</v>
      </c>
      <c r="Z24" s="26">
        <f t="shared" si="20"/>
        <v>26.258064516129032</v>
      </c>
      <c r="AA24" s="26">
        <f t="shared" si="1"/>
        <v>26.196428571428573</v>
      </c>
      <c r="AB24" s="26">
        <f t="shared" si="2"/>
        <v>17.954838709677421</v>
      </c>
      <c r="AC24" s="26">
        <f t="shared" si="3"/>
        <v>24.053333333333335</v>
      </c>
      <c r="AD24" s="26">
        <f t="shared" si="4"/>
        <v>0</v>
      </c>
      <c r="AE24" s="26">
        <f t="shared" si="5"/>
        <v>0</v>
      </c>
      <c r="AF24" s="26">
        <f t="shared" si="6"/>
        <v>0</v>
      </c>
      <c r="AG24" s="26">
        <f t="shared" si="7"/>
        <v>0</v>
      </c>
      <c r="AH24" s="26">
        <f t="shared" si="8"/>
        <v>0</v>
      </c>
      <c r="AI24" s="26">
        <f t="shared" si="9"/>
        <v>0</v>
      </c>
      <c r="AJ24" s="26">
        <f t="shared" si="10"/>
        <v>0</v>
      </c>
      <c r="AK24" s="26">
        <f t="shared" si="11"/>
        <v>0</v>
      </c>
      <c r="AL24" s="26">
        <f t="shared" si="12"/>
        <v>8.4601796407185628</v>
      </c>
    </row>
    <row r="25" spans="1:38">
      <c r="A25" s="410"/>
      <c r="B25" s="2" t="s">
        <v>37</v>
      </c>
      <c r="C25" s="7" t="s">
        <v>14</v>
      </c>
      <c r="D25" s="9"/>
      <c r="E25" s="11">
        <f>[1]in!$D$46</f>
        <v>1825.471</v>
      </c>
      <c r="F25" s="11">
        <f>[1]in!$E$46</f>
        <v>2232.6469999999999</v>
      </c>
      <c r="G25" s="12">
        <f>[1]in!$F$46</f>
        <v>2818.5050000000001</v>
      </c>
      <c r="H25" s="12">
        <f>[1]in!$H$46</f>
        <v>2933.973</v>
      </c>
      <c r="I25" s="12">
        <f>[1]in!$I$46</f>
        <v>0</v>
      </c>
      <c r="J25" s="12">
        <f>[1]in!$J$46</f>
        <v>0</v>
      </c>
      <c r="K25" s="12">
        <f>[1]in!$L$46</f>
        <v>0</v>
      </c>
      <c r="L25" s="12">
        <f>[1]in!$M$46</f>
        <v>0</v>
      </c>
      <c r="M25" s="12">
        <f>[1]in!$N$46</f>
        <v>0</v>
      </c>
      <c r="N25" s="12">
        <f>[1]in!$P$46</f>
        <v>0</v>
      </c>
      <c r="O25" s="12">
        <f>[1]in!$Q$46</f>
        <v>0</v>
      </c>
      <c r="P25" s="12">
        <f>[1]in!$R$46</f>
        <v>0</v>
      </c>
      <c r="Q25" s="22">
        <f t="shared" si="22"/>
        <v>9810.5959999999995</v>
      </c>
      <c r="R25" s="15">
        <f t="shared" ref="R25:R29" si="39">SUM(E25:G25)</f>
        <v>6876.6229999999996</v>
      </c>
      <c r="S25" s="15">
        <f t="shared" ref="S25:S29" si="40">SUM(H25:J25)</f>
        <v>2933.973</v>
      </c>
      <c r="T25" s="15">
        <f t="shared" ref="T25:T29" si="41">SUM(K25:M25)</f>
        <v>0</v>
      </c>
      <c r="U25" s="15">
        <f t="shared" ref="U25:U29" si="42">SUM(N25:P25)</f>
        <v>0</v>
      </c>
      <c r="V25" s="15">
        <f t="shared" ref="V25:V29" si="43">SUM(E25:J25)</f>
        <v>9810.5959999999995</v>
      </c>
      <c r="W25" s="15">
        <f t="shared" ref="W25:W29" si="44">SUM(K25:P25)</f>
        <v>0</v>
      </c>
      <c r="Y25" s="224" t="s">
        <v>37</v>
      </c>
      <c r="Z25" s="26">
        <f t="shared" si="20"/>
        <v>58.886161290322583</v>
      </c>
      <c r="AA25" s="26">
        <f t="shared" si="1"/>
        <v>79.737392857142851</v>
      </c>
      <c r="AB25" s="26">
        <f t="shared" si="2"/>
        <v>90.91951612903226</v>
      </c>
      <c r="AC25" s="26">
        <f t="shared" si="3"/>
        <v>97.799099999999996</v>
      </c>
      <c r="AD25" s="26">
        <f t="shared" si="4"/>
        <v>0</v>
      </c>
      <c r="AE25" s="26">
        <f t="shared" si="5"/>
        <v>0</v>
      </c>
      <c r="AF25" s="26">
        <f t="shared" si="6"/>
        <v>0</v>
      </c>
      <c r="AG25" s="26">
        <f t="shared" si="7"/>
        <v>0</v>
      </c>
      <c r="AH25" s="26">
        <f t="shared" si="8"/>
        <v>0</v>
      </c>
      <c r="AI25" s="26">
        <f t="shared" si="9"/>
        <v>0</v>
      </c>
      <c r="AJ25" s="26">
        <f t="shared" si="10"/>
        <v>0</v>
      </c>
      <c r="AK25" s="26">
        <f t="shared" si="11"/>
        <v>0</v>
      </c>
      <c r="AL25" s="26">
        <f t="shared" si="12"/>
        <v>29.373041916167665</v>
      </c>
    </row>
    <row r="26" spans="1:38">
      <c r="A26" s="410"/>
      <c r="B26" s="395" t="s">
        <v>38</v>
      </c>
      <c r="C26" s="10" t="s">
        <v>14</v>
      </c>
      <c r="D26" s="9"/>
      <c r="E26" s="396">
        <f>[1]in!$D$17</f>
        <v>165864.29999999999</v>
      </c>
      <c r="F26" s="396">
        <f>[1]in!$E$17</f>
        <v>144372.95000000001</v>
      </c>
      <c r="G26" s="14">
        <f>[1]in!$F$17</f>
        <v>182694.99</v>
      </c>
      <c r="H26" s="14">
        <f>[1]in!$H$17</f>
        <v>197818.2</v>
      </c>
      <c r="I26" s="14">
        <f>[1]in!$I$17</f>
        <v>0</v>
      </c>
      <c r="J26" s="14">
        <f>[1]in!$J$17</f>
        <v>0</v>
      </c>
      <c r="K26" s="14">
        <f>[1]in!$L$17</f>
        <v>0</v>
      </c>
      <c r="L26" s="14">
        <f>[1]in!$M$17</f>
        <v>0</v>
      </c>
      <c r="M26" s="14">
        <f>[1]in!$N$17</f>
        <v>0</v>
      </c>
      <c r="N26" s="14">
        <f>[1]in!$P$17</f>
        <v>0</v>
      </c>
      <c r="O26" s="14">
        <f>[1]in!$Q$17</f>
        <v>0</v>
      </c>
      <c r="P26" s="14">
        <f>[1]in!$R$17</f>
        <v>0</v>
      </c>
      <c r="Q26" s="103">
        <f t="shared" si="22"/>
        <v>690750.44</v>
      </c>
      <c r="R26" s="14">
        <f t="shared" si="39"/>
        <v>492932.24</v>
      </c>
      <c r="S26" s="14">
        <f t="shared" si="40"/>
        <v>197818.2</v>
      </c>
      <c r="T26" s="14">
        <f t="shared" si="41"/>
        <v>0</v>
      </c>
      <c r="U26" s="14">
        <f t="shared" si="42"/>
        <v>0</v>
      </c>
      <c r="V26" s="14">
        <f t="shared" si="43"/>
        <v>690750.44</v>
      </c>
      <c r="W26" s="14">
        <f t="shared" si="44"/>
        <v>0</v>
      </c>
      <c r="Y26" s="224" t="s">
        <v>38</v>
      </c>
      <c r="Z26" s="26">
        <f t="shared" si="20"/>
        <v>5350.4612903225807</v>
      </c>
      <c r="AA26" s="26">
        <f t="shared" si="1"/>
        <v>5156.1767857142859</v>
      </c>
      <c r="AB26" s="26">
        <f t="shared" si="2"/>
        <v>5893.3867741935483</v>
      </c>
      <c r="AC26" s="26">
        <f t="shared" si="3"/>
        <v>6593.9400000000005</v>
      </c>
      <c r="AD26" s="26">
        <f t="shared" si="4"/>
        <v>0</v>
      </c>
      <c r="AE26" s="26">
        <f t="shared" si="5"/>
        <v>0</v>
      </c>
      <c r="AF26" s="26">
        <f t="shared" si="6"/>
        <v>0</v>
      </c>
      <c r="AG26" s="26">
        <f t="shared" si="7"/>
        <v>0</v>
      </c>
      <c r="AH26" s="26">
        <f t="shared" si="8"/>
        <v>0</v>
      </c>
      <c r="AI26" s="26">
        <f t="shared" si="9"/>
        <v>0</v>
      </c>
      <c r="AJ26" s="26">
        <f t="shared" si="10"/>
        <v>0</v>
      </c>
      <c r="AK26" s="26">
        <f t="shared" si="11"/>
        <v>0</v>
      </c>
      <c r="AL26" s="26">
        <f t="shared" si="12"/>
        <v>2068.1150898203591</v>
      </c>
    </row>
    <row r="27" spans="1:38">
      <c r="A27" s="410"/>
      <c r="B27" s="395" t="s">
        <v>39</v>
      </c>
      <c r="C27" s="10" t="s">
        <v>14</v>
      </c>
      <c r="D27" s="9"/>
      <c r="E27" s="396">
        <f>[1]in!$D$28</f>
        <v>111121.82</v>
      </c>
      <c r="F27" s="396">
        <f>[1]in!$E$28</f>
        <v>96206.48</v>
      </c>
      <c r="G27" s="14">
        <f>[1]in!$F$28</f>
        <v>125019.93</v>
      </c>
      <c r="H27" s="14">
        <f>[1]in!$H$28</f>
        <v>102149.03</v>
      </c>
      <c r="I27" s="14">
        <f>[1]in!$I$28</f>
        <v>0</v>
      </c>
      <c r="J27" s="14">
        <f>[1]in!$J$28</f>
        <v>0</v>
      </c>
      <c r="K27" s="14">
        <f>[1]in!$L$28</f>
        <v>0</v>
      </c>
      <c r="L27" s="14">
        <f>[1]in!$M$28</f>
        <v>0</v>
      </c>
      <c r="M27" s="14">
        <f>[1]in!$N$28</f>
        <v>0</v>
      </c>
      <c r="N27" s="14">
        <f>[1]in!$P$28</f>
        <v>0</v>
      </c>
      <c r="O27" s="14">
        <f>[1]in!$Q$28</f>
        <v>0</v>
      </c>
      <c r="P27" s="14">
        <f>[1]in!$R$28</f>
        <v>0</v>
      </c>
      <c r="Q27" s="103">
        <f>SUM(E27:P27)</f>
        <v>434497.26</v>
      </c>
      <c r="R27" s="14">
        <f t="shared" si="39"/>
        <v>332348.23</v>
      </c>
      <c r="S27" s="14">
        <f>SUM(H27:J27)</f>
        <v>102149.03</v>
      </c>
      <c r="T27" s="14">
        <f t="shared" si="41"/>
        <v>0</v>
      </c>
      <c r="U27" s="14">
        <f t="shared" si="42"/>
        <v>0</v>
      </c>
      <c r="V27" s="14">
        <f t="shared" si="43"/>
        <v>434497.26</v>
      </c>
      <c r="W27" s="14">
        <f t="shared" si="44"/>
        <v>0</v>
      </c>
      <c r="Y27" s="7" t="s">
        <v>39</v>
      </c>
      <c r="Z27" s="26">
        <f>E27/$Z$1</f>
        <v>3584.5748387096778</v>
      </c>
      <c r="AA27" s="26">
        <f t="shared" si="1"/>
        <v>3435.9457142857141</v>
      </c>
      <c r="AB27" s="26">
        <f t="shared" si="2"/>
        <v>4032.9009677419353</v>
      </c>
      <c r="AC27" s="26">
        <f t="shared" si="3"/>
        <v>3404.9676666666664</v>
      </c>
      <c r="AD27" s="26">
        <f t="shared" si="4"/>
        <v>0</v>
      </c>
      <c r="AE27" s="26">
        <f t="shared" si="5"/>
        <v>0</v>
      </c>
      <c r="AF27" s="26">
        <f t="shared" si="6"/>
        <v>0</v>
      </c>
      <c r="AG27" s="26">
        <f t="shared" si="7"/>
        <v>0</v>
      </c>
      <c r="AH27" s="26">
        <f t="shared" si="8"/>
        <v>0</v>
      </c>
      <c r="AI27" s="26">
        <f t="shared" si="9"/>
        <v>0</v>
      </c>
      <c r="AJ27" s="26">
        <f t="shared" si="10"/>
        <v>0</v>
      </c>
      <c r="AK27" s="26">
        <f t="shared" si="11"/>
        <v>0</v>
      </c>
      <c r="AL27" s="26">
        <f>Q27/$AL$1</f>
        <v>1300.8900000000001</v>
      </c>
    </row>
    <row r="28" spans="1:38">
      <c r="A28" s="410"/>
      <c r="B28" s="2" t="s">
        <v>40</v>
      </c>
      <c r="C28" s="7" t="s">
        <v>14</v>
      </c>
      <c r="D28" s="9"/>
      <c r="E28" s="11">
        <f>SUM(E26:E27)</f>
        <v>276986.12</v>
      </c>
      <c r="F28" s="11">
        <f t="shared" ref="F28:P28" si="45">SUM(F26:F27)</f>
        <v>240579.43</v>
      </c>
      <c r="G28" s="11">
        <f t="shared" si="45"/>
        <v>307714.92</v>
      </c>
      <c r="H28" s="11">
        <f t="shared" si="45"/>
        <v>299967.23</v>
      </c>
      <c r="I28" s="11">
        <f t="shared" si="45"/>
        <v>0</v>
      </c>
      <c r="J28" s="11">
        <f t="shared" si="45"/>
        <v>0</v>
      </c>
      <c r="K28" s="11">
        <f t="shared" si="45"/>
        <v>0</v>
      </c>
      <c r="L28" s="11">
        <f t="shared" si="45"/>
        <v>0</v>
      </c>
      <c r="M28" s="11">
        <f t="shared" si="45"/>
        <v>0</v>
      </c>
      <c r="N28" s="11">
        <f t="shared" si="45"/>
        <v>0</v>
      </c>
      <c r="O28" s="11">
        <f t="shared" si="45"/>
        <v>0</v>
      </c>
      <c r="P28" s="11">
        <f t="shared" si="45"/>
        <v>0</v>
      </c>
      <c r="Q28" s="22">
        <f>SUM(E28:P28)</f>
        <v>1125247.7</v>
      </c>
      <c r="R28" s="15">
        <f>SUM(E28:G28)</f>
        <v>825280.47</v>
      </c>
      <c r="S28" s="15">
        <f>SUM(H28:J28)</f>
        <v>299967.23</v>
      </c>
      <c r="T28" s="15">
        <f>SUM(K28:M28)</f>
        <v>0</v>
      </c>
      <c r="U28" s="15">
        <f t="shared" ref="U28" si="46">SUM(N28:P28)</f>
        <v>0</v>
      </c>
      <c r="V28" s="15">
        <f t="shared" ref="V28" si="47">SUM(E28:J28)</f>
        <v>1125247.7</v>
      </c>
      <c r="W28" s="15">
        <f t="shared" ref="W28" si="48">SUM(K28:P28)</f>
        <v>0</v>
      </c>
      <c r="Y28" s="7" t="s">
        <v>41</v>
      </c>
      <c r="Z28" s="26">
        <f>E28/$Z$1</f>
        <v>8935.036129032258</v>
      </c>
      <c r="AA28" s="26">
        <f t="shared" ref="AA28" si="49">F28/$AA$1</f>
        <v>8592.1224999999995</v>
      </c>
      <c r="AB28" s="26">
        <f>G28/$Z$1</f>
        <v>9926.2877419354827</v>
      </c>
      <c r="AC28" s="26">
        <f t="shared" ref="AC28" si="50">H28/$AA$1</f>
        <v>10713.115357142857</v>
      </c>
      <c r="AD28" s="26">
        <f t="shared" ref="AD28" si="51">I28/$Z$1</f>
        <v>0</v>
      </c>
      <c r="AE28" s="26">
        <f t="shared" ref="AE28" si="52">J28/$AA$1</f>
        <v>0</v>
      </c>
      <c r="AF28" s="26">
        <f t="shared" ref="AF28" si="53">K28/$Z$1</f>
        <v>0</v>
      </c>
      <c r="AG28" s="26">
        <f t="shared" ref="AG28" si="54">L28/$AA$1</f>
        <v>0</v>
      </c>
      <c r="AH28" s="26">
        <f t="shared" ref="AH28" si="55">M28/$Z$1</f>
        <v>0</v>
      </c>
      <c r="AI28" s="26">
        <f t="shared" ref="AI28" si="56">N28/$AA$1</f>
        <v>0</v>
      </c>
      <c r="AJ28" s="26">
        <f t="shared" ref="AJ28" si="57">O28/$Z$1</f>
        <v>0</v>
      </c>
      <c r="AK28" s="26">
        <f t="shared" ref="AK28" si="58">P28/$AA$1</f>
        <v>0</v>
      </c>
      <c r="AL28" s="26">
        <f>Q28/$AL$1</f>
        <v>3369.005089820359</v>
      </c>
    </row>
    <row r="29" spans="1:38">
      <c r="A29" s="413"/>
      <c r="B29" s="2" t="s">
        <v>42</v>
      </c>
      <c r="C29" s="7" t="s">
        <v>14</v>
      </c>
      <c r="D29" s="9"/>
      <c r="E29" s="11">
        <f>[1]in!$D$31</f>
        <v>644.77</v>
      </c>
      <c r="F29" s="11">
        <f>[1]in!$E$31</f>
        <v>484.93</v>
      </c>
      <c r="G29" s="11">
        <f>[1]in!$F$31</f>
        <v>792.89</v>
      </c>
      <c r="H29" s="11">
        <f>[1]in!$H$31</f>
        <v>359.56</v>
      </c>
      <c r="I29" s="11">
        <f>[1]in!$I$31</f>
        <v>0</v>
      </c>
      <c r="J29" s="11">
        <f>[1]in!$J$31</f>
        <v>0</v>
      </c>
      <c r="K29" s="11">
        <f>[1]in!$L$31</f>
        <v>0</v>
      </c>
      <c r="L29" s="11">
        <f>[1]in!$M$31</f>
        <v>0</v>
      </c>
      <c r="M29" s="11">
        <f>[1]in!$N$31</f>
        <v>0</v>
      </c>
      <c r="N29" s="11">
        <f>[1]in!$P$31</f>
        <v>0</v>
      </c>
      <c r="O29" s="11">
        <f>[1]in!$Q$31</f>
        <v>0</v>
      </c>
      <c r="P29" s="11">
        <f>[1]in!$R$31</f>
        <v>0</v>
      </c>
      <c r="Q29" s="398">
        <f>SUM(E29:P29)</f>
        <v>2282.15</v>
      </c>
      <c r="R29" s="15">
        <f t="shared" si="39"/>
        <v>1922.5900000000001</v>
      </c>
      <c r="S29" s="15">
        <f t="shared" si="40"/>
        <v>359.56</v>
      </c>
      <c r="T29" s="15">
        <f t="shared" si="41"/>
        <v>0</v>
      </c>
      <c r="U29" s="15">
        <f t="shared" si="42"/>
        <v>0</v>
      </c>
      <c r="V29" s="15">
        <f t="shared" si="43"/>
        <v>2282.15</v>
      </c>
      <c r="W29" s="15">
        <f t="shared" si="44"/>
        <v>0</v>
      </c>
      <c r="Y29" s="7" t="s">
        <v>42</v>
      </c>
      <c r="Z29" s="26">
        <f>E29/$Z$1</f>
        <v>20.799032258064514</v>
      </c>
      <c r="AA29" s="26">
        <f t="shared" si="1"/>
        <v>17.318928571428572</v>
      </c>
      <c r="AB29" s="26">
        <f t="shared" si="2"/>
        <v>25.577096774193549</v>
      </c>
      <c r="AC29" s="26">
        <f t="shared" si="3"/>
        <v>11.985333333333333</v>
      </c>
      <c r="AD29" s="26">
        <f t="shared" si="4"/>
        <v>0</v>
      </c>
      <c r="AE29" s="26">
        <f t="shared" si="5"/>
        <v>0</v>
      </c>
      <c r="AF29" s="26">
        <f t="shared" si="6"/>
        <v>0</v>
      </c>
      <c r="AG29" s="26">
        <f t="shared" si="7"/>
        <v>0</v>
      </c>
      <c r="AH29" s="26">
        <f t="shared" si="8"/>
        <v>0</v>
      </c>
      <c r="AI29" s="26">
        <f t="shared" si="9"/>
        <v>0</v>
      </c>
      <c r="AJ29" s="26">
        <f t="shared" si="10"/>
        <v>0</v>
      </c>
      <c r="AK29" s="26">
        <f t="shared" si="11"/>
        <v>0</v>
      </c>
      <c r="AL29" s="26">
        <f t="shared" si="12"/>
        <v>6.8327844311377248</v>
      </c>
    </row>
    <row r="30" spans="1:38">
      <c r="A30" s="72"/>
      <c r="B30" s="2" t="s">
        <v>43</v>
      </c>
      <c r="C30" s="7" t="s">
        <v>14</v>
      </c>
      <c r="D30" s="9"/>
      <c r="E30" s="11">
        <f>SUM(E8:E9,E21:E24,E29)</f>
        <v>21483.621999999999</v>
      </c>
      <c r="F30" s="11">
        <f t="shared" ref="F30:P30" si="59">SUM(F8:F9,F21:F24,F29)</f>
        <v>16828.93</v>
      </c>
      <c r="G30" s="11">
        <f t="shared" si="59"/>
        <v>26915.659999999996</v>
      </c>
      <c r="H30" s="11">
        <f t="shared" si="59"/>
        <v>13103.402</v>
      </c>
      <c r="I30" s="11">
        <f t="shared" si="59"/>
        <v>0</v>
      </c>
      <c r="J30" s="11">
        <f t="shared" si="59"/>
        <v>0</v>
      </c>
      <c r="K30" s="11">
        <f t="shared" si="59"/>
        <v>0</v>
      </c>
      <c r="L30" s="11">
        <f t="shared" si="59"/>
        <v>0</v>
      </c>
      <c r="M30" s="11">
        <f t="shared" si="59"/>
        <v>0</v>
      </c>
      <c r="N30" s="11">
        <f t="shared" si="59"/>
        <v>0</v>
      </c>
      <c r="O30" s="11">
        <f t="shared" si="59"/>
        <v>0</v>
      </c>
      <c r="P30" s="11">
        <f t="shared" si="59"/>
        <v>0</v>
      </c>
      <c r="Q30" s="398">
        <f>SUM(E30:P30)</f>
        <v>78331.613999999987</v>
      </c>
      <c r="R30" s="15">
        <f>SUM(E30:G30)</f>
        <v>65228.211999999992</v>
      </c>
      <c r="S30" s="15">
        <f>SUM(H30:J30)</f>
        <v>13103.402</v>
      </c>
      <c r="T30" s="15">
        <f>SUM(K30:M30)</f>
        <v>0</v>
      </c>
      <c r="U30" s="15">
        <f>SUM(N30:P30)</f>
        <v>0</v>
      </c>
      <c r="V30" s="15">
        <f>SUM(E30:J30)</f>
        <v>78331.613999999987</v>
      </c>
      <c r="W30" s="15">
        <f>SUM(K30:P30)</f>
        <v>0</v>
      </c>
      <c r="Y30" s="7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</row>
    <row r="31" spans="1:38"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</row>
    <row r="32" spans="1:38" ht="16">
      <c r="A32" s="411" t="s">
        <v>44</v>
      </c>
      <c r="B32" s="411"/>
      <c r="C32" s="7" t="s">
        <v>14</v>
      </c>
      <c r="D32" s="231"/>
      <c r="E32" s="239">
        <f>SUM(E5:E25,E28:E29)</f>
        <v>1008252.096</v>
      </c>
      <c r="F32" s="239">
        <f>SUM(F5:F25,F28:F29)</f>
        <v>913415.2030000001</v>
      </c>
      <c r="G32" s="239">
        <f t="shared" ref="G32:P32" si="60">SUM(G5:G25,G28:G29)</f>
        <v>895637.31899999978</v>
      </c>
      <c r="H32" s="239">
        <f>SUM(H5:H25,H28:H29)</f>
        <v>795475.01399999997</v>
      </c>
      <c r="I32" s="239">
        <f t="shared" si="60"/>
        <v>0</v>
      </c>
      <c r="J32" s="239">
        <f t="shared" si="60"/>
        <v>0</v>
      </c>
      <c r="K32" s="239">
        <f t="shared" si="60"/>
        <v>0</v>
      </c>
      <c r="L32" s="239">
        <f t="shared" si="60"/>
        <v>0</v>
      </c>
      <c r="M32" s="239">
        <f t="shared" si="60"/>
        <v>0</v>
      </c>
      <c r="N32" s="239">
        <f t="shared" si="60"/>
        <v>0</v>
      </c>
      <c r="O32" s="239">
        <f t="shared" si="60"/>
        <v>0</v>
      </c>
      <c r="P32" s="239">
        <f t="shared" si="60"/>
        <v>0</v>
      </c>
      <c r="Q32" s="135">
        <f>SUM(Q5:Q25,Q28:Q29)</f>
        <v>3612779.6319999998</v>
      </c>
      <c r="R32" s="16">
        <f>SUM(R5:R25,R28:R29)</f>
        <v>2817304.6179999998</v>
      </c>
      <c r="S32" s="16">
        <f>SUM(S5:S25,S28:S29)</f>
        <v>795475.01399999997</v>
      </c>
      <c r="T32" s="16">
        <f t="shared" ref="T32:U32" si="61">SUM(T5:T25,T28:T29)</f>
        <v>0</v>
      </c>
      <c r="U32" s="16">
        <f t="shared" si="61"/>
        <v>0</v>
      </c>
      <c r="V32" s="16">
        <f>SUM(V5:V25,V28:V29)</f>
        <v>3612779.6319999998</v>
      </c>
      <c r="W32" s="16">
        <f>SUM(W5:W25,W28:W29)</f>
        <v>0</v>
      </c>
      <c r="Z32" s="121">
        <f>E32/$Z$1</f>
        <v>32524.261161290324</v>
      </c>
      <c r="AA32" s="121">
        <f t="shared" si="1"/>
        <v>32621.971535714289</v>
      </c>
      <c r="AB32" s="121">
        <f t="shared" si="2"/>
        <v>28891.526419354832</v>
      </c>
      <c r="AC32" s="121">
        <f>H32/$AC$1</f>
        <v>26515.8338</v>
      </c>
      <c r="AD32" s="121">
        <f t="shared" si="4"/>
        <v>0</v>
      </c>
      <c r="AE32" s="121">
        <f t="shared" si="5"/>
        <v>0</v>
      </c>
      <c r="AF32" s="121">
        <f t="shared" si="6"/>
        <v>0</v>
      </c>
      <c r="AG32" s="121">
        <f t="shared" si="7"/>
        <v>0</v>
      </c>
      <c r="AH32" s="121">
        <f t="shared" si="8"/>
        <v>0</v>
      </c>
      <c r="AI32" s="121">
        <f t="shared" si="9"/>
        <v>0</v>
      </c>
      <c r="AJ32" s="121">
        <f t="shared" si="10"/>
        <v>0</v>
      </c>
      <c r="AK32" s="121">
        <f t="shared" si="11"/>
        <v>0</v>
      </c>
      <c r="AL32" s="121">
        <f t="shared" si="12"/>
        <v>10816.705485029939</v>
      </c>
    </row>
    <row r="33" spans="1:38" ht="16" customHeight="1">
      <c r="A33" s="412" t="s">
        <v>45</v>
      </c>
      <c r="B33" s="412"/>
      <c r="C33" s="7" t="s">
        <v>14</v>
      </c>
      <c r="D33" s="9"/>
      <c r="E33" s="258">
        <f>SUM(E5:E12,E17:E25,E28:E29)</f>
        <v>967416.26400000008</v>
      </c>
      <c r="F33" s="258">
        <f>SUM(F5:F12,F17:F25,F28:F29)</f>
        <v>873979.79200000002</v>
      </c>
      <c r="G33" s="258">
        <f t="shared" ref="G33:O33" si="62">SUM(G5:G12,G17:G25,G28:G29)</f>
        <v>856999.46000000008</v>
      </c>
      <c r="H33" s="258">
        <f>SUM(H5:H12,H17:H25,H28:H29)</f>
        <v>758334.24100000004</v>
      </c>
      <c r="I33" s="258">
        <f t="shared" si="62"/>
        <v>0</v>
      </c>
      <c r="J33" s="258">
        <f t="shared" si="62"/>
        <v>0</v>
      </c>
      <c r="K33" s="258">
        <f t="shared" si="62"/>
        <v>0</v>
      </c>
      <c r="L33" s="258">
        <f t="shared" si="62"/>
        <v>0</v>
      </c>
      <c r="M33" s="258">
        <f t="shared" si="62"/>
        <v>0</v>
      </c>
      <c r="N33" s="258">
        <f t="shared" si="62"/>
        <v>0</v>
      </c>
      <c r="O33" s="258">
        <f t="shared" si="62"/>
        <v>0</v>
      </c>
      <c r="P33" s="258">
        <f>SUM(P5:P12,P17:P25,P28:P29)</f>
        <v>0</v>
      </c>
      <c r="Q33" s="259">
        <f>SUM(Q5:Q12,Q17:Q25,Q28:Q29)</f>
        <v>3456729.7569999998</v>
      </c>
      <c r="R33" s="16">
        <f>SUM(R5:R12,R17:R25,R28:R29)</f>
        <v>2698395.5159999998</v>
      </c>
      <c r="S33" s="16">
        <f t="shared" ref="S33:T33" si="63">SUM(S5:S12,S17:S25,S28:S29)</f>
        <v>758334.24100000004</v>
      </c>
      <c r="T33" s="16">
        <f t="shared" si="63"/>
        <v>0</v>
      </c>
      <c r="U33" s="16">
        <f>SUM(U5:U12,U17:U25,U28:U29)</f>
        <v>0</v>
      </c>
      <c r="V33" s="16">
        <f>SUM(V5:V12,V17:V25,V28:V29)</f>
        <v>3456729.7569999998</v>
      </c>
      <c r="W33" s="16">
        <f>SUM(W5:W12,W17:W25,W28:W29)</f>
        <v>0</v>
      </c>
      <c r="Z33" s="50">
        <f>E33/$Z$1</f>
        <v>31206.976258064518</v>
      </c>
      <c r="AA33" s="50">
        <f>F33/$AA$1</f>
        <v>31213.564000000002</v>
      </c>
      <c r="AB33" s="50">
        <f t="shared" si="2"/>
        <v>27645.143870967746</v>
      </c>
      <c r="AC33" s="50">
        <f t="shared" si="3"/>
        <v>25277.808033333335</v>
      </c>
      <c r="AD33" s="50">
        <f t="shared" si="4"/>
        <v>0</v>
      </c>
      <c r="AE33" s="50">
        <f t="shared" si="5"/>
        <v>0</v>
      </c>
      <c r="AF33" s="50">
        <f t="shared" si="6"/>
        <v>0</v>
      </c>
      <c r="AG33" s="50">
        <f t="shared" si="7"/>
        <v>0</v>
      </c>
      <c r="AH33" s="50">
        <f t="shared" si="8"/>
        <v>0</v>
      </c>
      <c r="AI33" s="50">
        <f t="shared" si="9"/>
        <v>0</v>
      </c>
      <c r="AJ33" s="50">
        <f t="shared" si="10"/>
        <v>0</v>
      </c>
      <c r="AK33" s="50">
        <f t="shared" si="11"/>
        <v>0</v>
      </c>
      <c r="AL33" s="50">
        <f t="shared" si="12"/>
        <v>10349.49029041916</v>
      </c>
    </row>
    <row r="34" spans="1:38">
      <c r="A34" s="225"/>
      <c r="B34" s="226"/>
      <c r="C34" s="18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20"/>
      <c r="S34" s="20"/>
      <c r="T34" s="20"/>
      <c r="U34" s="20"/>
      <c r="V34" s="20"/>
      <c r="W34" s="21"/>
    </row>
    <row r="36" spans="1:38">
      <c r="A36" s="408" t="s">
        <v>46</v>
      </c>
      <c r="B36" s="408"/>
      <c r="C36" s="7" t="s">
        <v>14</v>
      </c>
      <c r="D36" s="9"/>
      <c r="E36" s="16">
        <f>SUM(E5:E12)</f>
        <v>655143.70199999993</v>
      </c>
      <c r="F36" s="16">
        <f>SUM(F5:F11)</f>
        <v>605633.86899999995</v>
      </c>
      <c r="G36" s="16">
        <f>SUM(G5:G11)</f>
        <v>511626.36299999995</v>
      </c>
      <c r="H36" s="16">
        <f t="shared" ref="H36:P36" si="64">SUM(H5:H11)</f>
        <v>440617.58400000003</v>
      </c>
      <c r="I36" s="16">
        <f t="shared" si="64"/>
        <v>0</v>
      </c>
      <c r="J36" s="16">
        <f t="shared" si="64"/>
        <v>0</v>
      </c>
      <c r="K36" s="16">
        <f t="shared" si="64"/>
        <v>0</v>
      </c>
      <c r="L36" s="16">
        <f t="shared" si="64"/>
        <v>0</v>
      </c>
      <c r="M36" s="16">
        <f t="shared" si="64"/>
        <v>0</v>
      </c>
      <c r="N36" s="16">
        <f t="shared" si="64"/>
        <v>0</v>
      </c>
      <c r="O36" s="16">
        <f t="shared" si="64"/>
        <v>0</v>
      </c>
      <c r="P36" s="16">
        <f t="shared" si="64"/>
        <v>0</v>
      </c>
      <c r="Q36" s="16">
        <f>SUM(Q5:Q12)</f>
        <v>2219311.2779999999</v>
      </c>
    </row>
    <row r="37" spans="1:38">
      <c r="A37" s="408" t="s">
        <v>47</v>
      </c>
      <c r="B37" s="408"/>
      <c r="C37" s="7" t="s">
        <v>14</v>
      </c>
      <c r="D37" s="9"/>
      <c r="E37" s="16">
        <f>SUM(E17:E25,E28:E29)</f>
        <v>312272.56200000003</v>
      </c>
      <c r="F37" s="16">
        <f t="shared" ref="F37:Q37" si="65">SUM(F17:F25,F28:F29)</f>
        <v>266003.13299999997</v>
      </c>
      <c r="G37" s="16">
        <f t="shared" si="65"/>
        <v>343340.75699999998</v>
      </c>
      <c r="H37" s="16">
        <f t="shared" si="65"/>
        <v>315802.027</v>
      </c>
      <c r="I37" s="16">
        <f t="shared" si="65"/>
        <v>0</v>
      </c>
      <c r="J37" s="16">
        <f t="shared" si="65"/>
        <v>0</v>
      </c>
      <c r="K37" s="16">
        <f t="shared" si="65"/>
        <v>0</v>
      </c>
      <c r="L37" s="16">
        <f t="shared" si="65"/>
        <v>0</v>
      </c>
      <c r="M37" s="16">
        <f t="shared" si="65"/>
        <v>0</v>
      </c>
      <c r="N37" s="16">
        <f t="shared" si="65"/>
        <v>0</v>
      </c>
      <c r="O37" s="16">
        <f t="shared" si="65"/>
        <v>0</v>
      </c>
      <c r="P37" s="16">
        <f t="shared" si="65"/>
        <v>0</v>
      </c>
      <c r="Q37" s="16">
        <f t="shared" si="65"/>
        <v>1237418.4789999998</v>
      </c>
    </row>
    <row r="40" spans="1:38">
      <c r="C40" s="70" t="s">
        <v>5</v>
      </c>
    </row>
    <row r="41" spans="1:38">
      <c r="B41" s="70" t="s">
        <v>16</v>
      </c>
      <c r="C41" s="89">
        <f>SUM(R5,R26)</f>
        <v>1541340.27</v>
      </c>
      <c r="E41" s="89"/>
      <c r="F41" s="89"/>
      <c r="G41" s="89"/>
    </row>
    <row r="42" spans="1:38">
      <c r="B42" s="70" t="s">
        <v>48</v>
      </c>
      <c r="C42" s="407">
        <f>SUM(R17:R20,R6)</f>
        <v>353408.19700000004</v>
      </c>
      <c r="E42" s="89"/>
      <c r="F42" s="89"/>
      <c r="G42" s="89"/>
    </row>
    <row r="43" spans="1:38">
      <c r="B43" s="70" t="s">
        <v>49</v>
      </c>
      <c r="C43" s="89">
        <f>SUM(R7,R27)</f>
        <v>714303.23</v>
      </c>
      <c r="E43" s="89"/>
      <c r="F43" s="89"/>
      <c r="G43" s="89"/>
    </row>
    <row r="44" spans="1:38">
      <c r="B44" s="70" t="s">
        <v>50</v>
      </c>
      <c r="C44" s="89">
        <f>SUM(R8:R10,R21:R24,R29)</f>
        <v>74981.357000000004</v>
      </c>
      <c r="E44" s="89"/>
      <c r="F44" s="89"/>
      <c r="G44" s="89"/>
    </row>
    <row r="45" spans="1:38">
      <c r="B45" s="70" t="s">
        <v>51</v>
      </c>
      <c r="C45" s="317">
        <v>2540400.4528999999</v>
      </c>
      <c r="E45" s="125"/>
      <c r="F45" s="125"/>
      <c r="G45" s="125"/>
    </row>
    <row r="46" spans="1:38">
      <c r="B46" s="70" t="s">
        <v>52</v>
      </c>
      <c r="C46" s="89">
        <f>SUM(R11:R12,R25)</f>
        <v>14362.462</v>
      </c>
      <c r="E46" s="50"/>
      <c r="F46" s="50"/>
      <c r="G46" s="50"/>
    </row>
    <row r="47" spans="1:38">
      <c r="B47" s="70" t="s">
        <v>53</v>
      </c>
    </row>
    <row r="48" spans="1:38">
      <c r="C48" s="89">
        <f>SUM(C41:C44,C46)</f>
        <v>2698395.5159999998</v>
      </c>
    </row>
  </sheetData>
  <mergeCells count="7">
    <mergeCell ref="A36:B36"/>
    <mergeCell ref="A37:B37"/>
    <mergeCell ref="A1:W1"/>
    <mergeCell ref="A3:A16"/>
    <mergeCell ref="A32:B32"/>
    <mergeCell ref="A33:B33"/>
    <mergeCell ref="A17:A29"/>
  </mergeCells>
  <pageMargins left="0.7" right="0.7" top="0.75" bottom="0.75" header="0.3" footer="0.3"/>
  <pageSetup paperSize="9" scale="43" orientation="landscape" r:id="rId1"/>
  <colBreaks count="1" manualBreakCount="1">
    <brk id="2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D2F6-A839-439D-806B-40C487EEE780}">
  <dimension ref="A1:AN171"/>
  <sheetViews>
    <sheetView zoomScale="80" zoomScaleNormal="80" workbookViewId="0">
      <pane xSplit="2" ySplit="2" topLeftCell="D3" activePane="bottomRight" state="frozen"/>
      <selection pane="topRight" activeCell="C1" sqref="C1"/>
      <selection pane="bottomLeft" activeCell="A3" sqref="A3"/>
      <selection pane="bottomRight" activeCell="Q2" sqref="Q2"/>
    </sheetView>
  </sheetViews>
  <sheetFormatPr defaultRowHeight="14.5"/>
  <cols>
    <col min="1" max="1" width="24" bestFit="1" customWidth="1"/>
    <col min="2" max="2" width="16" customWidth="1"/>
    <col min="3" max="3" width="15.26953125" bestFit="1" customWidth="1"/>
    <col min="4" max="4" width="14.26953125" bestFit="1" customWidth="1"/>
    <col min="5" max="5" width="20" bestFit="1" customWidth="1"/>
    <col min="6" max="6" width="19.6328125" bestFit="1" customWidth="1"/>
    <col min="7" max="7" width="20" bestFit="1" customWidth="1"/>
    <col min="8" max="8" width="19.6328125" bestFit="1" customWidth="1"/>
    <col min="9" max="9" width="19.08984375" bestFit="1" customWidth="1"/>
    <col min="10" max="10" width="23.90625" bestFit="1" customWidth="1"/>
    <col min="11" max="11" width="19.08984375" bestFit="1" customWidth="1"/>
    <col min="12" max="14" width="19.6328125" bestFit="1" customWidth="1"/>
    <col min="15" max="15" width="17.36328125" bestFit="1" customWidth="1"/>
    <col min="16" max="16" width="13.26953125" bestFit="1" customWidth="1"/>
    <col min="17" max="17" width="21" bestFit="1" customWidth="1"/>
    <col min="18" max="21" width="13.26953125" bestFit="1" customWidth="1"/>
    <col min="22" max="22" width="14.26953125" bestFit="1" customWidth="1"/>
    <col min="23" max="23" width="13.26953125" bestFit="1" customWidth="1"/>
    <col min="24" max="24" width="11.08984375" bestFit="1" customWidth="1"/>
    <col min="25" max="25" width="10.08984375" bestFit="1" customWidth="1"/>
    <col min="26" max="26" width="20.08984375" bestFit="1" customWidth="1"/>
    <col min="27" max="27" width="16" bestFit="1" customWidth="1"/>
    <col min="28" max="28" width="11.08984375" bestFit="1" customWidth="1"/>
    <col min="29" max="36" width="10.6328125" bestFit="1" customWidth="1"/>
    <col min="37" max="37" width="10.08984375" bestFit="1" customWidth="1"/>
    <col min="38" max="38" width="10.26953125" bestFit="1" customWidth="1"/>
    <col min="39" max="39" width="16" bestFit="1" customWidth="1"/>
    <col min="40" max="40" width="9.6328125" bestFit="1" customWidth="1"/>
  </cols>
  <sheetData>
    <row r="1" spans="1:39" ht="15.5">
      <c r="A1" s="422" t="s">
        <v>54</v>
      </c>
      <c r="B1" s="422"/>
      <c r="C1" s="422"/>
      <c r="D1" s="422"/>
      <c r="E1" s="422"/>
      <c r="F1" s="422"/>
      <c r="G1" s="422"/>
      <c r="H1" s="422"/>
      <c r="I1" s="422"/>
      <c r="J1" s="422"/>
      <c r="K1" s="422"/>
      <c r="L1" s="422"/>
      <c r="M1" s="422"/>
      <c r="N1" s="422"/>
      <c r="O1" s="422"/>
      <c r="P1" s="422"/>
      <c r="Q1" s="422"/>
      <c r="R1" s="422"/>
      <c r="S1" s="422"/>
      <c r="T1" s="422"/>
      <c r="U1" s="422"/>
      <c r="V1" s="422"/>
      <c r="W1" s="422"/>
      <c r="Z1" s="120" t="s">
        <v>1</v>
      </c>
      <c r="AA1">
        <v>31</v>
      </c>
      <c r="AB1">
        <v>28</v>
      </c>
      <c r="AC1">
        <v>31</v>
      </c>
      <c r="AD1">
        <v>30</v>
      </c>
      <c r="AE1">
        <v>31</v>
      </c>
      <c r="AF1">
        <v>30</v>
      </c>
      <c r="AG1">
        <v>31</v>
      </c>
      <c r="AH1">
        <v>31</v>
      </c>
      <c r="AI1">
        <v>30</v>
      </c>
      <c r="AJ1">
        <v>31</v>
      </c>
      <c r="AK1">
        <v>30</v>
      </c>
      <c r="AL1">
        <v>31</v>
      </c>
      <c r="AM1">
        <f>SUM(AA1)</f>
        <v>31</v>
      </c>
    </row>
    <row r="2" spans="1:39" ht="29">
      <c r="A2" s="1"/>
      <c r="B2" s="2" t="s">
        <v>2</v>
      </c>
      <c r="C2" s="2" t="s">
        <v>3</v>
      </c>
      <c r="D2" s="23" t="s">
        <v>4</v>
      </c>
      <c r="E2" s="3">
        <v>46023</v>
      </c>
      <c r="F2" s="3">
        <v>46054</v>
      </c>
      <c r="G2" s="3">
        <v>46082</v>
      </c>
      <c r="H2" s="3">
        <v>46113</v>
      </c>
      <c r="I2" s="3">
        <v>46143</v>
      </c>
      <c r="J2" s="3">
        <v>46174</v>
      </c>
      <c r="K2" s="3">
        <v>46204</v>
      </c>
      <c r="L2" s="3">
        <v>46235</v>
      </c>
      <c r="M2" s="3">
        <v>46266</v>
      </c>
      <c r="N2" s="3">
        <v>46296</v>
      </c>
      <c r="O2" s="3">
        <v>46327</v>
      </c>
      <c r="P2" s="3">
        <v>46357</v>
      </c>
      <c r="Q2" s="4" t="s">
        <v>55</v>
      </c>
      <c r="R2" s="5" t="s">
        <v>5</v>
      </c>
      <c r="S2" s="5" t="s">
        <v>6</v>
      </c>
      <c r="T2" s="5" t="s">
        <v>7</v>
      </c>
      <c r="U2" s="5" t="s">
        <v>8</v>
      </c>
      <c r="V2" s="5" t="s">
        <v>9</v>
      </c>
      <c r="W2" s="5" t="s">
        <v>10</v>
      </c>
      <c r="Z2" s="5" t="s">
        <v>56</v>
      </c>
      <c r="AA2" s="122">
        <f t="shared" ref="AA2:AM2" si="0">E2</f>
        <v>46023</v>
      </c>
      <c r="AB2" s="122">
        <f t="shared" si="0"/>
        <v>46054</v>
      </c>
      <c r="AC2" s="122">
        <f t="shared" si="0"/>
        <v>46082</v>
      </c>
      <c r="AD2" s="122">
        <f t="shared" si="0"/>
        <v>46113</v>
      </c>
      <c r="AE2" s="122">
        <f t="shared" si="0"/>
        <v>46143</v>
      </c>
      <c r="AF2" s="122">
        <f t="shared" si="0"/>
        <v>46174</v>
      </c>
      <c r="AG2" s="122">
        <f t="shared" si="0"/>
        <v>46204</v>
      </c>
      <c r="AH2" s="122">
        <f t="shared" si="0"/>
        <v>46235</v>
      </c>
      <c r="AI2" s="122">
        <f t="shared" si="0"/>
        <v>46266</v>
      </c>
      <c r="AJ2" s="122">
        <f t="shared" si="0"/>
        <v>46296</v>
      </c>
      <c r="AK2" s="122">
        <f t="shared" si="0"/>
        <v>46327</v>
      </c>
      <c r="AL2" s="122">
        <f t="shared" si="0"/>
        <v>46357</v>
      </c>
      <c r="AM2" s="122" t="str">
        <f t="shared" si="0"/>
        <v>YTD 2026</v>
      </c>
    </row>
    <row r="3" spans="1:39">
      <c r="A3" s="414" t="s">
        <v>12</v>
      </c>
      <c r="B3" s="6" t="s">
        <v>13</v>
      </c>
      <c r="C3" s="6" t="s">
        <v>57</v>
      </c>
      <c r="D3" s="6"/>
      <c r="E3" s="111">
        <f>[1]in!$D$582</f>
        <v>844701</v>
      </c>
      <c r="F3" s="111">
        <f>[1]in!$E$582</f>
        <v>775072</v>
      </c>
      <c r="G3" s="111">
        <f>[1]in!$F$582</f>
        <v>894723</v>
      </c>
      <c r="H3" s="111">
        <f>[1]in!$H$582</f>
        <v>867982</v>
      </c>
      <c r="I3" s="111">
        <f>[1]in!$I$582</f>
        <v>0</v>
      </c>
      <c r="J3" s="111">
        <f>[1]in!$J$582</f>
        <v>0</v>
      </c>
      <c r="K3" s="111">
        <f>[1]in!$L$582</f>
        <v>0</v>
      </c>
      <c r="L3" s="111">
        <f>[1]in!$M$582</f>
        <v>0</v>
      </c>
      <c r="M3" s="111">
        <f>[1]in!$N$582</f>
        <v>0</v>
      </c>
      <c r="N3" s="111">
        <f>[1]in!$P$582</f>
        <v>0</v>
      </c>
      <c r="O3" s="111">
        <f>[1]in!$Q$582</f>
        <v>0</v>
      </c>
      <c r="P3" s="111">
        <f>[1]in!$R$582</f>
        <v>0</v>
      </c>
      <c r="Q3" s="25">
        <f>SUM(E3:P3)</f>
        <v>3382478</v>
      </c>
      <c r="R3" s="25">
        <f>SUM(E3:G3)</f>
        <v>2514496</v>
      </c>
      <c r="S3" s="25">
        <f>SUM(H3:J3)</f>
        <v>867982</v>
      </c>
      <c r="T3" s="25">
        <f>SUM(K3:M3)</f>
        <v>0</v>
      </c>
      <c r="U3" s="25">
        <f>SUM(N3:P3)</f>
        <v>0</v>
      </c>
      <c r="V3" s="25">
        <f>SUM(E3:J3)</f>
        <v>3382478</v>
      </c>
      <c r="W3" s="25">
        <f>SUM(K3:P3)</f>
        <v>0</v>
      </c>
      <c r="X3" s="58">
        <f t="shared" ref="X3:X13" si="1">Q3/$Q$37</f>
        <v>0.3002504023598816</v>
      </c>
      <c r="Z3" s="123" t="s">
        <v>13</v>
      </c>
      <c r="AA3" s="26">
        <f>E3/$AA$1</f>
        <v>27248.419354838708</v>
      </c>
      <c r="AB3" s="26">
        <f>F3/$AB$1</f>
        <v>27681.142857142859</v>
      </c>
      <c r="AC3" s="26">
        <f>G3/$AC$1</f>
        <v>28862.032258064515</v>
      </c>
      <c r="AD3" s="26">
        <f>H3/$AD$1</f>
        <v>28932.733333333334</v>
      </c>
      <c r="AE3" s="26">
        <f>I3/$AE$1</f>
        <v>0</v>
      </c>
      <c r="AF3" s="26">
        <f>J3/$AF$1</f>
        <v>0</v>
      </c>
      <c r="AG3" s="26">
        <f>K3/$AG$1</f>
        <v>0</v>
      </c>
      <c r="AH3" s="26">
        <f>L3/$AH$1</f>
        <v>0</v>
      </c>
      <c r="AI3" s="26">
        <f t="shared" ref="AI3" si="2">M3/AI1</f>
        <v>0</v>
      </c>
      <c r="AJ3" s="26">
        <f>N3/$AJ$1</f>
        <v>0</v>
      </c>
      <c r="AK3" s="26">
        <f>O3/$AK$1</f>
        <v>0</v>
      </c>
      <c r="AL3" s="26">
        <f>P3/$AL$1</f>
        <v>0</v>
      </c>
      <c r="AM3" s="26">
        <f>Q3/$AM$1</f>
        <v>109112.19354838709</v>
      </c>
    </row>
    <row r="4" spans="1:39">
      <c r="A4" s="415"/>
      <c r="B4" s="6" t="s">
        <v>15</v>
      </c>
      <c r="C4" s="6" t="s">
        <v>57</v>
      </c>
      <c r="D4" s="6"/>
      <c r="E4" s="111">
        <f>[1]in!$D$583</f>
        <v>505119.03</v>
      </c>
      <c r="F4" s="111">
        <f>[1]in!$E$583</f>
        <v>477615.90100000001</v>
      </c>
      <c r="G4" s="111">
        <f>[1]in!$F$583</f>
        <v>247397.02499999999</v>
      </c>
      <c r="H4" s="111">
        <f>[1]in!$H$583</f>
        <v>41116.366999999998</v>
      </c>
      <c r="I4" s="111">
        <f>[1]in!$I$583</f>
        <v>0</v>
      </c>
      <c r="J4" s="111">
        <f>[1]in!$J$583</f>
        <v>0</v>
      </c>
      <c r="K4" s="111">
        <f>[1]in!$L$583</f>
        <v>0</v>
      </c>
      <c r="L4" s="111">
        <f>[1]in!$M$583</f>
        <v>0</v>
      </c>
      <c r="M4" s="111">
        <f>[1]in!$N$583</f>
        <v>0</v>
      </c>
      <c r="N4" s="111">
        <f>[1]in!$P$583</f>
        <v>0</v>
      </c>
      <c r="O4" s="111">
        <f>[1]in!$Q$583</f>
        <v>0</v>
      </c>
      <c r="P4" s="111">
        <f>[1]in!$R$583</f>
        <v>0</v>
      </c>
      <c r="Q4" s="25">
        <f t="shared" ref="Q4:Q30" si="3">SUM(E4:P4)</f>
        <v>1271248.3230000001</v>
      </c>
      <c r="R4" s="25">
        <f t="shared" ref="R4:R26" si="4">SUM(E4:G4)</f>
        <v>1230131.956</v>
      </c>
      <c r="S4" s="25">
        <f t="shared" ref="S4:S26" si="5">SUM(H4:J4)</f>
        <v>41116.366999999998</v>
      </c>
      <c r="T4" s="25">
        <f t="shared" ref="T4:T26" si="6">SUM(K4:M4)</f>
        <v>0</v>
      </c>
      <c r="U4" s="25">
        <f t="shared" ref="U4:U26" si="7">SUM(N4:P4)</f>
        <v>0</v>
      </c>
      <c r="V4" s="25">
        <f t="shared" ref="V4:V26" si="8">SUM(E4:J4)</f>
        <v>1271248.3230000001</v>
      </c>
      <c r="W4" s="25">
        <f t="shared" ref="W4:W26" si="9">SUM(K4:P4)</f>
        <v>0</v>
      </c>
      <c r="X4" s="58">
        <f t="shared" si="1"/>
        <v>0.11284413985252077</v>
      </c>
      <c r="Z4" s="123" t="s">
        <v>15</v>
      </c>
      <c r="AA4" s="26">
        <f t="shared" ref="AA4:AA33" si="10">E4/$AA$1</f>
        <v>16294.162258064516</v>
      </c>
      <c r="AB4" s="26">
        <f t="shared" ref="AB4:AB33" si="11">F4/$AB$1</f>
        <v>17057.710750000002</v>
      </c>
      <c r="AC4" s="26">
        <f t="shared" ref="AC4:AC26" si="12">G4/$AC$1</f>
        <v>7980.5491935483869</v>
      </c>
      <c r="AD4" s="26">
        <f t="shared" ref="AD4:AD26" si="13">H4/$AD$1</f>
        <v>1370.5455666666667</v>
      </c>
      <c r="AE4" s="26">
        <f t="shared" ref="AE4:AE26" si="14">I4/$AE$1</f>
        <v>0</v>
      </c>
      <c r="AF4" s="26">
        <f t="shared" ref="AF4:AF26" si="15">J4/$AF$1</f>
        <v>0</v>
      </c>
      <c r="AG4" s="26">
        <f t="shared" ref="AG4:AG26" si="16">K4/$AG$1</f>
        <v>0</v>
      </c>
      <c r="AH4" s="26">
        <f t="shared" ref="AH4:AH26" si="17">L4/$AH$1</f>
        <v>0</v>
      </c>
      <c r="AI4" s="26">
        <f>M4/$AI$1</f>
        <v>0</v>
      </c>
      <c r="AJ4" s="26">
        <f t="shared" ref="AJ4:AJ26" si="18">N4/$AJ$1</f>
        <v>0</v>
      </c>
      <c r="AK4" s="26">
        <f t="shared" ref="AK4:AK26" si="19">O4/$AK$1</f>
        <v>0</v>
      </c>
      <c r="AL4" s="26">
        <f t="shared" ref="AL4:AL26" si="20">P4/$AL$1</f>
        <v>0</v>
      </c>
      <c r="AM4" s="26">
        <f t="shared" ref="AM4:AM37" si="21">Q4/$AM$1</f>
        <v>41008.01041935484</v>
      </c>
    </row>
    <row r="5" spans="1:39">
      <c r="A5" s="415"/>
      <c r="B5" s="2" t="s">
        <v>16</v>
      </c>
      <c r="C5" s="7" t="s">
        <v>57</v>
      </c>
      <c r="D5" s="6"/>
      <c r="E5" s="26">
        <f t="shared" ref="E5:P5" si="22">SUM(E3:E4)</f>
        <v>1349820.03</v>
      </c>
      <c r="F5" s="26">
        <f t="shared" si="22"/>
        <v>1252687.9010000001</v>
      </c>
      <c r="G5" s="26">
        <f t="shared" si="22"/>
        <v>1142120.0249999999</v>
      </c>
      <c r="H5" s="26">
        <f>SUM(H3:H4)</f>
        <v>909098.36699999997</v>
      </c>
      <c r="I5" s="26">
        <f t="shared" si="22"/>
        <v>0</v>
      </c>
      <c r="J5" s="26">
        <f t="shared" si="22"/>
        <v>0</v>
      </c>
      <c r="K5" s="26">
        <f t="shared" si="22"/>
        <v>0</v>
      </c>
      <c r="L5" s="26">
        <f t="shared" si="22"/>
        <v>0</v>
      </c>
      <c r="M5" s="26">
        <f t="shared" si="22"/>
        <v>0</v>
      </c>
      <c r="N5" s="26">
        <f t="shared" si="22"/>
        <v>0</v>
      </c>
      <c r="O5" s="26">
        <f t="shared" si="22"/>
        <v>0</v>
      </c>
      <c r="P5" s="26">
        <f t="shared" si="22"/>
        <v>0</v>
      </c>
      <c r="Q5" s="27">
        <f>SUM(E5:P5)</f>
        <v>4653726.3229999999</v>
      </c>
      <c r="R5" s="26">
        <f t="shared" si="4"/>
        <v>3744627.9559999998</v>
      </c>
      <c r="S5" s="26">
        <f t="shared" si="5"/>
        <v>909098.36699999997</v>
      </c>
      <c r="T5" s="26">
        <f t="shared" si="6"/>
        <v>0</v>
      </c>
      <c r="U5" s="26">
        <f t="shared" si="7"/>
        <v>0</v>
      </c>
      <c r="V5" s="26">
        <f t="shared" si="8"/>
        <v>4653726.3229999999</v>
      </c>
      <c r="W5" s="26">
        <f t="shared" si="9"/>
        <v>0</v>
      </c>
      <c r="X5" s="58">
        <f t="shared" si="1"/>
        <v>0.41309454221240233</v>
      </c>
      <c r="Z5" s="123" t="s">
        <v>16</v>
      </c>
      <c r="AA5" s="26">
        <f t="shared" si="10"/>
        <v>43542.581612903225</v>
      </c>
      <c r="AB5" s="26">
        <f t="shared" si="11"/>
        <v>44738.853607142861</v>
      </c>
      <c r="AC5" s="26">
        <f t="shared" si="12"/>
        <v>36842.581451612903</v>
      </c>
      <c r="AD5" s="26">
        <f t="shared" si="13"/>
        <v>30303.278899999998</v>
      </c>
      <c r="AE5" s="26">
        <f t="shared" si="14"/>
        <v>0</v>
      </c>
      <c r="AF5" s="26">
        <f t="shared" si="15"/>
        <v>0</v>
      </c>
      <c r="AG5" s="26">
        <f t="shared" si="16"/>
        <v>0</v>
      </c>
      <c r="AH5" s="26">
        <f t="shared" si="17"/>
        <v>0</v>
      </c>
      <c r="AI5" s="26">
        <f>M5/$AI$1</f>
        <v>0</v>
      </c>
      <c r="AJ5" s="26">
        <f t="shared" si="18"/>
        <v>0</v>
      </c>
      <c r="AK5" s="26">
        <f t="shared" si="19"/>
        <v>0</v>
      </c>
      <c r="AL5" s="26">
        <f t="shared" si="20"/>
        <v>0</v>
      </c>
      <c r="AM5" s="26">
        <f t="shared" si="21"/>
        <v>150120.20396774192</v>
      </c>
    </row>
    <row r="6" spans="1:39">
      <c r="A6" s="415"/>
      <c r="B6" s="2" t="s">
        <v>17</v>
      </c>
      <c r="C6" s="7" t="s">
        <v>57</v>
      </c>
      <c r="D6" s="6"/>
      <c r="E6" s="220">
        <f>[1]in!$D$588</f>
        <v>266961.03000000003</v>
      </c>
      <c r="F6" s="55">
        <f>[1]in!$E$588</f>
        <v>243445.99</v>
      </c>
      <c r="G6" s="11">
        <f>[1]in!$F$588</f>
        <v>260259.62</v>
      </c>
      <c r="H6" s="11">
        <f>[1]in!$H$588</f>
        <v>239726.65</v>
      </c>
      <c r="I6" s="11">
        <f>[1]in!$I$588</f>
        <v>0</v>
      </c>
      <c r="J6" s="11">
        <f>[1]in!$J$588</f>
        <v>0</v>
      </c>
      <c r="K6" s="11">
        <f>[1]in!$L$588</f>
        <v>0</v>
      </c>
      <c r="L6" s="11">
        <f>[1]in!$M$588</f>
        <v>0</v>
      </c>
      <c r="M6" s="11">
        <f>[1]in!$N$588</f>
        <v>0</v>
      </c>
      <c r="N6" s="11">
        <f>[1]in!$P$588</f>
        <v>0</v>
      </c>
      <c r="O6" s="11">
        <f>[1]in!$Q$588</f>
        <v>0</v>
      </c>
      <c r="P6" s="11">
        <f>[1]in!$R$588</f>
        <v>0</v>
      </c>
      <c r="Q6" s="27">
        <f t="shared" si="3"/>
        <v>1010393.29</v>
      </c>
      <c r="R6" s="26">
        <f t="shared" si="4"/>
        <v>770666.64</v>
      </c>
      <c r="S6" s="26">
        <f>SUM(H6:J6)</f>
        <v>239726.65</v>
      </c>
      <c r="T6" s="26">
        <f t="shared" si="6"/>
        <v>0</v>
      </c>
      <c r="U6" s="26">
        <f t="shared" si="7"/>
        <v>0</v>
      </c>
      <c r="V6" s="26">
        <f t="shared" si="8"/>
        <v>1010393.29</v>
      </c>
      <c r="W6" s="26">
        <f t="shared" si="9"/>
        <v>0</v>
      </c>
      <c r="X6" s="58">
        <f t="shared" si="1"/>
        <v>8.9688977094374164E-2</v>
      </c>
      <c r="Z6" s="123" t="s">
        <v>17</v>
      </c>
      <c r="AA6" s="26">
        <f t="shared" si="10"/>
        <v>8611.6461290322586</v>
      </c>
      <c r="AB6" s="26">
        <f t="shared" si="11"/>
        <v>8694.499642857143</v>
      </c>
      <c r="AC6" s="26">
        <f t="shared" si="12"/>
        <v>8395.4716129032258</v>
      </c>
      <c r="AD6" s="26">
        <f t="shared" si="13"/>
        <v>7990.8883333333333</v>
      </c>
      <c r="AE6" s="26">
        <f t="shared" si="14"/>
        <v>0</v>
      </c>
      <c r="AF6" s="26">
        <f t="shared" si="15"/>
        <v>0</v>
      </c>
      <c r="AG6" s="26">
        <f t="shared" si="16"/>
        <v>0</v>
      </c>
      <c r="AH6" s="26">
        <f t="shared" si="17"/>
        <v>0</v>
      </c>
      <c r="AI6" s="26">
        <f>M6/$AI$1</f>
        <v>0</v>
      </c>
      <c r="AJ6" s="26">
        <f t="shared" si="18"/>
        <v>0</v>
      </c>
      <c r="AK6" s="26">
        <f t="shared" si="19"/>
        <v>0</v>
      </c>
      <c r="AL6" s="26">
        <f t="shared" si="20"/>
        <v>0</v>
      </c>
      <c r="AM6" s="26">
        <f t="shared" si="21"/>
        <v>32593.331935483871</v>
      </c>
    </row>
    <row r="7" spans="1:39">
      <c r="A7" s="415"/>
      <c r="B7" s="2" t="s">
        <v>18</v>
      </c>
      <c r="C7" s="7" t="s">
        <v>57</v>
      </c>
      <c r="D7" s="6"/>
      <c r="E7" s="55">
        <f>[1]in!$D$594</f>
        <v>269064.15999999997</v>
      </c>
      <c r="F7" s="11">
        <f>[1]in!$E$594</f>
        <v>256666.31</v>
      </c>
      <c r="G7" s="11">
        <f>[1]in!$F$594</f>
        <v>212195.20000000001</v>
      </c>
      <c r="H7" s="11">
        <f>[1]in!$H$594</f>
        <v>210543.42</v>
      </c>
      <c r="I7" s="11">
        <f>[1]in!$I$594</f>
        <v>0</v>
      </c>
      <c r="J7" s="11">
        <f>[1]in!$J$594</f>
        <v>0</v>
      </c>
      <c r="K7" s="11">
        <f>[1]in!$L$594</f>
        <v>0</v>
      </c>
      <c r="L7" s="11">
        <f>[1]in!$M$594</f>
        <v>0</v>
      </c>
      <c r="M7" s="11">
        <f>[1]in!$N$594</f>
        <v>0</v>
      </c>
      <c r="N7" s="11">
        <f>[1]in!$P$594</f>
        <v>0</v>
      </c>
      <c r="O7" s="11">
        <f>[1]in!$Q$594</f>
        <v>0</v>
      </c>
      <c r="P7" s="11">
        <f>[1]in!$R$594</f>
        <v>0</v>
      </c>
      <c r="Q7" s="27">
        <f t="shared" si="3"/>
        <v>948469.09</v>
      </c>
      <c r="R7" s="26">
        <f t="shared" si="4"/>
        <v>737925.66999999993</v>
      </c>
      <c r="S7" s="26">
        <f t="shared" si="5"/>
        <v>210543.42</v>
      </c>
      <c r="T7" s="26">
        <f t="shared" si="6"/>
        <v>0</v>
      </c>
      <c r="U7" s="26">
        <f t="shared" si="7"/>
        <v>0</v>
      </c>
      <c r="V7" s="26">
        <f t="shared" si="8"/>
        <v>948469.09</v>
      </c>
      <c r="W7" s="26">
        <f t="shared" si="9"/>
        <v>0</v>
      </c>
      <c r="X7" s="58">
        <f t="shared" si="1"/>
        <v>8.4192188655302633E-2</v>
      </c>
      <c r="Z7" s="123" t="s">
        <v>18</v>
      </c>
      <c r="AA7" s="26">
        <f t="shared" si="10"/>
        <v>8679.4890322580632</v>
      </c>
      <c r="AB7" s="26">
        <f t="shared" si="11"/>
        <v>9166.653928571428</v>
      </c>
      <c r="AC7" s="26">
        <f t="shared" si="12"/>
        <v>6845.0064516129032</v>
      </c>
      <c r="AD7" s="26">
        <f t="shared" si="13"/>
        <v>7018.1140000000005</v>
      </c>
      <c r="AE7" s="26">
        <f t="shared" si="14"/>
        <v>0</v>
      </c>
      <c r="AF7" s="26">
        <f t="shared" si="15"/>
        <v>0</v>
      </c>
      <c r="AG7" s="26">
        <f t="shared" si="16"/>
        <v>0</v>
      </c>
      <c r="AH7" s="26">
        <f t="shared" si="17"/>
        <v>0</v>
      </c>
      <c r="AI7" s="26">
        <f>M7/$AI$1</f>
        <v>0</v>
      </c>
      <c r="AJ7" s="26">
        <f t="shared" si="18"/>
        <v>0</v>
      </c>
      <c r="AK7" s="26">
        <f t="shared" si="19"/>
        <v>0</v>
      </c>
      <c r="AL7" s="26">
        <f t="shared" si="20"/>
        <v>0</v>
      </c>
      <c r="AM7" s="26">
        <f t="shared" si="21"/>
        <v>30595.777096774193</v>
      </c>
    </row>
    <row r="8" spans="1:39">
      <c r="A8" s="415"/>
      <c r="B8" s="2" t="s">
        <v>19</v>
      </c>
      <c r="C8" s="7" t="s">
        <v>57</v>
      </c>
      <c r="D8" s="6"/>
      <c r="E8" s="55">
        <f>[1]in!$D$600</f>
        <v>5315</v>
      </c>
      <c r="F8" s="11">
        <f>[1]in!$E$600</f>
        <v>4987</v>
      </c>
      <c r="G8" s="11">
        <f>[1]in!$F$600</f>
        <v>6000</v>
      </c>
      <c r="H8" s="11">
        <f>[1]in!$H$600</f>
        <v>4871</v>
      </c>
      <c r="I8" s="11">
        <f>[1]in!$I$600</f>
        <v>0</v>
      </c>
      <c r="J8" s="11">
        <f>[1]in!$J$600</f>
        <v>0</v>
      </c>
      <c r="K8" s="11">
        <f>[1]in!$L$600</f>
        <v>0</v>
      </c>
      <c r="L8" s="11">
        <f>[1]in!$M$600</f>
        <v>0</v>
      </c>
      <c r="M8" s="11">
        <f>[1]in!$N$600</f>
        <v>0</v>
      </c>
      <c r="N8" s="11">
        <f>[1]in!$P$600</f>
        <v>0</v>
      </c>
      <c r="O8" s="11">
        <f>[1]in!$Q$600</f>
        <v>0</v>
      </c>
      <c r="P8" s="11">
        <f>[1]in!$R$600</f>
        <v>0</v>
      </c>
      <c r="Q8" s="27">
        <f t="shared" si="3"/>
        <v>21173</v>
      </c>
      <c r="R8" s="26">
        <f t="shared" si="4"/>
        <v>16302</v>
      </c>
      <c r="S8" s="26">
        <f t="shared" si="5"/>
        <v>4871</v>
      </c>
      <c r="T8" s="26">
        <f t="shared" si="6"/>
        <v>0</v>
      </c>
      <c r="U8" s="26">
        <f t="shared" si="7"/>
        <v>0</v>
      </c>
      <c r="V8" s="26">
        <f t="shared" si="8"/>
        <v>21173</v>
      </c>
      <c r="W8" s="26">
        <f t="shared" si="9"/>
        <v>0</v>
      </c>
      <c r="X8" s="58">
        <f t="shared" si="1"/>
        <v>1.8794510323986654E-3</v>
      </c>
      <c r="Z8" s="123" t="s">
        <v>19</v>
      </c>
      <c r="AA8" s="26">
        <f t="shared" si="10"/>
        <v>171.45161290322579</v>
      </c>
      <c r="AB8" s="26">
        <f t="shared" si="11"/>
        <v>178.10714285714286</v>
      </c>
      <c r="AC8" s="26">
        <f t="shared" si="12"/>
        <v>193.54838709677421</v>
      </c>
      <c r="AD8" s="26">
        <f t="shared" si="13"/>
        <v>162.36666666666667</v>
      </c>
      <c r="AE8" s="26">
        <f t="shared" si="14"/>
        <v>0</v>
      </c>
      <c r="AF8" s="26">
        <f t="shared" si="15"/>
        <v>0</v>
      </c>
      <c r="AG8" s="26">
        <f t="shared" si="16"/>
        <v>0</v>
      </c>
      <c r="AH8" s="26">
        <f t="shared" si="17"/>
        <v>0</v>
      </c>
      <c r="AI8" s="26">
        <f t="shared" ref="AI8:AI26" si="23">M8/$AI$1</f>
        <v>0</v>
      </c>
      <c r="AJ8" s="26">
        <f t="shared" si="18"/>
        <v>0</v>
      </c>
      <c r="AK8" s="26">
        <f t="shared" si="19"/>
        <v>0</v>
      </c>
      <c r="AL8" s="26">
        <f t="shared" si="20"/>
        <v>0</v>
      </c>
      <c r="AM8" s="26">
        <f t="shared" si="21"/>
        <v>683</v>
      </c>
    </row>
    <row r="9" spans="1:39">
      <c r="A9" s="415"/>
      <c r="B9" s="2" t="s">
        <v>20</v>
      </c>
      <c r="C9" s="7" t="s">
        <v>57</v>
      </c>
      <c r="D9" s="6"/>
      <c r="E9" s="11">
        <f>[1]in!$D$601</f>
        <v>4804</v>
      </c>
      <c r="F9" s="11">
        <f>[1]in!$E$601</f>
        <v>4810</v>
      </c>
      <c r="G9" s="11">
        <f>[1]in!$F$601</f>
        <v>5720</v>
      </c>
      <c r="H9" s="11">
        <f>[1]in!$H$601</f>
        <v>4745</v>
      </c>
      <c r="I9" s="11">
        <f>[1]in!$I$601</f>
        <v>0</v>
      </c>
      <c r="J9" s="11">
        <f>[1]in!$J$601</f>
        <v>0</v>
      </c>
      <c r="K9" s="11">
        <f>[1]in!$L$601</f>
        <v>0</v>
      </c>
      <c r="L9" s="11">
        <f>[1]in!$M$601</f>
        <v>0</v>
      </c>
      <c r="M9" s="11">
        <f>[1]in!$N$601</f>
        <v>0</v>
      </c>
      <c r="N9" s="11">
        <f>[1]in!$P$601</f>
        <v>0</v>
      </c>
      <c r="O9" s="11">
        <f>[1]in!$Q$601</f>
        <v>0</v>
      </c>
      <c r="P9" s="11">
        <f>[1]in!$R$601</f>
        <v>0</v>
      </c>
      <c r="Q9" s="27">
        <f t="shared" si="3"/>
        <v>20079</v>
      </c>
      <c r="R9" s="26">
        <f t="shared" si="4"/>
        <v>15334</v>
      </c>
      <c r="S9" s="26">
        <f t="shared" si="5"/>
        <v>4745</v>
      </c>
      <c r="T9" s="26">
        <f t="shared" si="6"/>
        <v>0</v>
      </c>
      <c r="U9" s="26">
        <f t="shared" si="7"/>
        <v>0</v>
      </c>
      <c r="V9" s="26">
        <f t="shared" si="8"/>
        <v>20079</v>
      </c>
      <c r="W9" s="26">
        <f t="shared" si="9"/>
        <v>0</v>
      </c>
      <c r="X9" s="44">
        <f t="shared" si="1"/>
        <v>1.7823405884632693E-3</v>
      </c>
      <c r="Z9" s="123" t="s">
        <v>20</v>
      </c>
      <c r="AA9" s="26">
        <f t="shared" si="10"/>
        <v>154.96774193548387</v>
      </c>
      <c r="AB9" s="26">
        <f t="shared" si="11"/>
        <v>171.78571428571428</v>
      </c>
      <c r="AC9" s="26">
        <f t="shared" si="12"/>
        <v>184.51612903225808</v>
      </c>
      <c r="AD9" s="26">
        <f t="shared" si="13"/>
        <v>158.16666666666666</v>
      </c>
      <c r="AE9" s="26">
        <f t="shared" si="14"/>
        <v>0</v>
      </c>
      <c r="AF9" s="26">
        <f t="shared" si="15"/>
        <v>0</v>
      </c>
      <c r="AG9" s="26">
        <f t="shared" si="16"/>
        <v>0</v>
      </c>
      <c r="AH9" s="26">
        <f t="shared" si="17"/>
        <v>0</v>
      </c>
      <c r="AI9" s="26">
        <f t="shared" si="23"/>
        <v>0</v>
      </c>
      <c r="AJ9" s="26">
        <f t="shared" si="18"/>
        <v>0</v>
      </c>
      <c r="AK9" s="26">
        <f t="shared" si="19"/>
        <v>0</v>
      </c>
      <c r="AL9" s="26">
        <f t="shared" si="20"/>
        <v>0</v>
      </c>
      <c r="AM9" s="26">
        <f t="shared" si="21"/>
        <v>647.70967741935488</v>
      </c>
    </row>
    <row r="10" spans="1:39">
      <c r="A10" s="415"/>
      <c r="B10" s="2" t="s">
        <v>21</v>
      </c>
      <c r="C10" s="7" t="s">
        <v>57</v>
      </c>
      <c r="D10" s="6"/>
      <c r="E10" s="55">
        <f>[1]in!$D$603</f>
        <v>293.06200000000001</v>
      </c>
      <c r="F10" s="11">
        <f>[1]in!$E$603</f>
        <v>431.43299999999999</v>
      </c>
      <c r="G10" s="11">
        <f>[1]in!$F$603</f>
        <v>196.124</v>
      </c>
      <c r="H10" s="11">
        <f>[1]in!$H$603</f>
        <v>253.81100000000001</v>
      </c>
      <c r="I10" s="11">
        <f>[1]in!$I$603</f>
        <v>0</v>
      </c>
      <c r="J10" s="11">
        <f>[1]in!$J$603</f>
        <v>0</v>
      </c>
      <c r="K10" s="11">
        <f>[1]in!$L$603</f>
        <v>0</v>
      </c>
      <c r="L10" s="11">
        <f>[1]in!$M$603</f>
        <v>0</v>
      </c>
      <c r="M10" s="11">
        <f>[1]in!$N$603</f>
        <v>0</v>
      </c>
      <c r="N10" s="11">
        <f>[1]in!$P$603</f>
        <v>0</v>
      </c>
      <c r="O10" s="11">
        <f>[1]in!$Q$603</f>
        <v>0</v>
      </c>
      <c r="P10" s="11">
        <f>[1]in!$R$603</f>
        <v>0</v>
      </c>
      <c r="Q10" s="27">
        <f t="shared" si="3"/>
        <v>1174.43</v>
      </c>
      <c r="R10" s="26">
        <f t="shared" si="4"/>
        <v>920.61900000000003</v>
      </c>
      <c r="S10" s="26">
        <f t="shared" si="5"/>
        <v>253.81100000000001</v>
      </c>
      <c r="T10" s="26">
        <f t="shared" si="6"/>
        <v>0</v>
      </c>
      <c r="U10" s="26">
        <f t="shared" si="7"/>
        <v>0</v>
      </c>
      <c r="V10" s="26">
        <f t="shared" si="8"/>
        <v>1174.43</v>
      </c>
      <c r="W10" s="26">
        <f t="shared" si="9"/>
        <v>0</v>
      </c>
      <c r="X10" s="58">
        <f t="shared" si="1"/>
        <v>1.0424992565909246E-4</v>
      </c>
      <c r="Z10" s="123" t="s">
        <v>21</v>
      </c>
      <c r="AA10" s="26">
        <f t="shared" si="10"/>
        <v>9.4536129032258067</v>
      </c>
      <c r="AB10" s="26">
        <f t="shared" si="11"/>
        <v>15.408321428571428</v>
      </c>
      <c r="AC10" s="26">
        <f t="shared" si="12"/>
        <v>6.3265806451612905</v>
      </c>
      <c r="AD10" s="26">
        <f t="shared" si="13"/>
        <v>8.4603666666666673</v>
      </c>
      <c r="AE10" s="26">
        <f t="shared" si="14"/>
        <v>0</v>
      </c>
      <c r="AF10" s="26">
        <f t="shared" si="15"/>
        <v>0</v>
      </c>
      <c r="AG10" s="26">
        <f t="shared" si="16"/>
        <v>0</v>
      </c>
      <c r="AH10" s="26">
        <f t="shared" si="17"/>
        <v>0</v>
      </c>
      <c r="AI10" s="26">
        <f t="shared" si="23"/>
        <v>0</v>
      </c>
      <c r="AJ10" s="26">
        <f t="shared" si="18"/>
        <v>0</v>
      </c>
      <c r="AK10" s="26">
        <f t="shared" si="19"/>
        <v>0</v>
      </c>
      <c r="AL10" s="26">
        <f t="shared" si="20"/>
        <v>0</v>
      </c>
      <c r="AM10" s="26">
        <f t="shared" si="21"/>
        <v>37.884838709677425</v>
      </c>
    </row>
    <row r="11" spans="1:39">
      <c r="A11" s="415"/>
      <c r="B11" s="2" t="s">
        <v>22</v>
      </c>
      <c r="C11" s="7" t="s">
        <v>57</v>
      </c>
      <c r="D11" s="6"/>
      <c r="E11" s="234">
        <f>[1]in!$D$617</f>
        <v>680</v>
      </c>
      <c r="F11" s="11">
        <f>[1]in!$E$617</f>
        <v>536.4</v>
      </c>
      <c r="G11" s="11">
        <f>[1]in!$F$617</f>
        <v>520.79999999999995</v>
      </c>
      <c r="H11" s="11">
        <f>[1]in!$H$617</f>
        <v>732.2</v>
      </c>
      <c r="I11" s="11">
        <f>[1]in!$I$617</f>
        <v>0</v>
      </c>
      <c r="J11" s="11">
        <f>[1]in!$J$617</f>
        <v>0</v>
      </c>
      <c r="K11" s="11">
        <f>[1]in!$L$617</f>
        <v>0</v>
      </c>
      <c r="L11" s="11">
        <f>[1]in!$M$617</f>
        <v>0</v>
      </c>
      <c r="M11" s="11">
        <f>[1]in!$N$617</f>
        <v>0</v>
      </c>
      <c r="N11" s="11">
        <f>[1]in!$P$617</f>
        <v>0</v>
      </c>
      <c r="O11" s="11">
        <f>[1]in!$Q$617</f>
        <v>0</v>
      </c>
      <c r="P11" s="11">
        <f>[1]in!$R$617</f>
        <v>0</v>
      </c>
      <c r="Q11" s="27">
        <f t="shared" si="3"/>
        <v>2469.4</v>
      </c>
      <c r="R11" s="26">
        <f t="shared" si="4"/>
        <v>1737.2</v>
      </c>
      <c r="S11" s="26">
        <f t="shared" si="5"/>
        <v>732.2</v>
      </c>
      <c r="T11" s="26">
        <f t="shared" si="6"/>
        <v>0</v>
      </c>
      <c r="U11" s="26">
        <f t="shared" si="7"/>
        <v>0</v>
      </c>
      <c r="V11" s="26">
        <f t="shared" si="8"/>
        <v>2469.4</v>
      </c>
      <c r="W11" s="26">
        <f t="shared" si="9"/>
        <v>0</v>
      </c>
      <c r="X11" s="196">
        <f t="shared" si="1"/>
        <v>2.1919975343150544E-4</v>
      </c>
      <c r="Z11" s="123" t="s">
        <v>22</v>
      </c>
      <c r="AA11" s="26">
        <f>E11/$AA$1</f>
        <v>21.93548387096774</v>
      </c>
      <c r="AB11" s="26">
        <f>F11/$AB$1</f>
        <v>19.157142857142855</v>
      </c>
      <c r="AC11" s="26">
        <f t="shared" si="12"/>
        <v>16.799999999999997</v>
      </c>
      <c r="AD11" s="26">
        <f t="shared" si="13"/>
        <v>24.40666666666667</v>
      </c>
      <c r="AE11" s="26">
        <f t="shared" si="14"/>
        <v>0</v>
      </c>
      <c r="AF11" s="26">
        <f t="shared" si="15"/>
        <v>0</v>
      </c>
      <c r="AG11" s="26">
        <f t="shared" si="16"/>
        <v>0</v>
      </c>
      <c r="AH11" s="26">
        <f t="shared" si="17"/>
        <v>0</v>
      </c>
      <c r="AI11" s="26">
        <f t="shared" si="23"/>
        <v>0</v>
      </c>
      <c r="AJ11" s="26">
        <f t="shared" si="18"/>
        <v>0</v>
      </c>
      <c r="AK11" s="26">
        <f t="shared" si="19"/>
        <v>0</v>
      </c>
      <c r="AL11" s="26">
        <f t="shared" si="20"/>
        <v>0</v>
      </c>
      <c r="AM11" s="26">
        <f t="shared" si="21"/>
        <v>79.658064516129031</v>
      </c>
    </row>
    <row r="12" spans="1:39">
      <c r="A12" s="415"/>
      <c r="B12" s="2" t="s">
        <v>23</v>
      </c>
      <c r="C12" s="7" t="s">
        <v>57</v>
      </c>
      <c r="D12" s="6"/>
      <c r="E12" s="11">
        <f>[1]in!$D$619</f>
        <v>1250</v>
      </c>
      <c r="F12" s="11">
        <f>[1]in!$E$619</f>
        <v>1144</v>
      </c>
      <c r="G12" s="11">
        <f>[1]in!$F$619</f>
        <v>1294</v>
      </c>
      <c r="H12" s="11">
        <f>[1]in!$H$619</f>
        <v>956</v>
      </c>
      <c r="I12" s="11">
        <f>[1]in!$I$619</f>
        <v>0</v>
      </c>
      <c r="J12" s="11">
        <f>[1]in!$J$619</f>
        <v>0</v>
      </c>
      <c r="K12" s="11">
        <f>[1]in!$L$619</f>
        <v>0</v>
      </c>
      <c r="L12" s="11">
        <f>[1]in!$M$619</f>
        <v>0</v>
      </c>
      <c r="M12" s="11">
        <f>[1]in!$N$619</f>
        <v>0</v>
      </c>
      <c r="N12" s="11">
        <f>[1]in!$P$619</f>
        <v>0</v>
      </c>
      <c r="O12" s="11">
        <f>[1]in!$Q$619</f>
        <v>0</v>
      </c>
      <c r="P12" s="11">
        <f>[1]in!$R$619</f>
        <v>0</v>
      </c>
      <c r="Q12" s="27">
        <f t="shared" si="3"/>
        <v>4644</v>
      </c>
      <c r="R12" s="26">
        <f t="shared" si="4"/>
        <v>3688</v>
      </c>
      <c r="S12" s="26">
        <f>SUM(H12:J12)</f>
        <v>956</v>
      </c>
      <c r="T12" s="26">
        <f t="shared" ref="T12" si="24">SUM(K12:M12)</f>
        <v>0</v>
      </c>
      <c r="U12" s="26">
        <f t="shared" ref="U12" si="25">SUM(N12:P12)</f>
        <v>0</v>
      </c>
      <c r="V12" s="26">
        <f t="shared" si="8"/>
        <v>4644</v>
      </c>
      <c r="W12" s="26">
        <f t="shared" si="9"/>
        <v>0</v>
      </c>
      <c r="X12" s="196">
        <f t="shared" si="1"/>
        <v>4.1223117151369207E-4</v>
      </c>
      <c r="Z12" s="205" t="s">
        <v>23</v>
      </c>
      <c r="AA12" s="26">
        <f>E12/$AA$1</f>
        <v>40.322580645161288</v>
      </c>
      <c r="AB12" s="26">
        <f>F12/$AB$1</f>
        <v>40.857142857142854</v>
      </c>
      <c r="AC12" s="26">
        <f t="shared" ref="AC12" si="26">G12/$AC$1</f>
        <v>41.741935483870968</v>
      </c>
      <c r="AD12" s="26">
        <f t="shared" ref="AD12" si="27">H12/$AD$1</f>
        <v>31.866666666666667</v>
      </c>
      <c r="AE12" s="26">
        <f t="shared" ref="AE12" si="28">I12/$AE$1</f>
        <v>0</v>
      </c>
      <c r="AF12" s="26">
        <f t="shared" ref="AF12" si="29">J12/$AF$1</f>
        <v>0</v>
      </c>
      <c r="AG12" s="26">
        <f t="shared" ref="AG12" si="30">K12/$AG$1</f>
        <v>0</v>
      </c>
      <c r="AH12" s="26">
        <f t="shared" ref="AH12" si="31">L12/$AH$1</f>
        <v>0</v>
      </c>
      <c r="AI12" s="26">
        <f t="shared" ref="AI12" si="32">M12/$AI$1</f>
        <v>0</v>
      </c>
      <c r="AJ12" s="26">
        <f t="shared" ref="AJ12" si="33">N12/$AJ$1</f>
        <v>0</v>
      </c>
      <c r="AK12" s="26">
        <f t="shared" ref="AK12" si="34">O12/$AK$1</f>
        <v>0</v>
      </c>
      <c r="AL12" s="26">
        <f t="shared" ref="AL12" si="35">P12/$AL$1</f>
        <v>0</v>
      </c>
      <c r="AM12" s="26">
        <f t="shared" si="21"/>
        <v>149.80645161290323</v>
      </c>
    </row>
    <row r="13" spans="1:39">
      <c r="A13" s="415"/>
      <c r="B13" s="2" t="s">
        <v>58</v>
      </c>
      <c r="C13" s="7" t="s">
        <v>57</v>
      </c>
      <c r="D13" s="6"/>
      <c r="E13" s="55">
        <f>[1]in!$D$609</f>
        <v>4456.18</v>
      </c>
      <c r="F13" s="11">
        <f>[1]in!$E$609</f>
        <v>3336.78</v>
      </c>
      <c r="G13" s="11">
        <f>[1]in!$F$609</f>
        <v>4341.72</v>
      </c>
      <c r="H13" s="11">
        <f>[1]in!$H$609</f>
        <v>54149.3</v>
      </c>
      <c r="I13" s="11">
        <f>[1]in!$I$609</f>
        <v>0</v>
      </c>
      <c r="J13" s="11">
        <f>[1]in!$J$609</f>
        <v>0</v>
      </c>
      <c r="K13" s="11">
        <f>[1]in!$L$609</f>
        <v>0</v>
      </c>
      <c r="L13" s="11">
        <f>[1]in!$M$609</f>
        <v>0</v>
      </c>
      <c r="M13" s="11">
        <f>[1]in!$N$609</f>
        <v>0</v>
      </c>
      <c r="N13" s="11">
        <f>[1]in!$P$609</f>
        <v>0</v>
      </c>
      <c r="O13" s="11">
        <f>[1]in!$Q$609</f>
        <v>0</v>
      </c>
      <c r="P13" s="11">
        <f>[1]in!$R$609</f>
        <v>0</v>
      </c>
      <c r="Q13" s="27">
        <f t="shared" si="3"/>
        <v>66283.98000000001</v>
      </c>
      <c r="R13" s="26">
        <f t="shared" si="4"/>
        <v>12134.68</v>
      </c>
      <c r="S13" s="26">
        <f t="shared" si="5"/>
        <v>54149.3</v>
      </c>
      <c r="T13" s="26">
        <f t="shared" si="6"/>
        <v>0</v>
      </c>
      <c r="U13" s="26">
        <f t="shared" si="7"/>
        <v>0</v>
      </c>
      <c r="V13" s="26">
        <f t="shared" si="8"/>
        <v>66283.98000000001</v>
      </c>
      <c r="W13" s="26">
        <f t="shared" si="9"/>
        <v>0</v>
      </c>
      <c r="X13" s="58">
        <f t="shared" si="1"/>
        <v>5.8837904237704864E-3</v>
      </c>
      <c r="Z13" s="123" t="s">
        <v>58</v>
      </c>
      <c r="AA13" s="26">
        <f>E13/$AA$1</f>
        <v>143.74774193548387</v>
      </c>
      <c r="AB13" s="26">
        <f t="shared" si="11"/>
        <v>119.1707142857143</v>
      </c>
      <c r="AC13" s="26">
        <f t="shared" si="12"/>
        <v>140.05548387096775</v>
      </c>
      <c r="AD13" s="26">
        <f t="shared" si="13"/>
        <v>1804.9766666666667</v>
      </c>
      <c r="AE13" s="26">
        <f t="shared" si="14"/>
        <v>0</v>
      </c>
      <c r="AF13" s="26">
        <f t="shared" si="15"/>
        <v>0</v>
      </c>
      <c r="AG13" s="26">
        <f t="shared" si="16"/>
        <v>0</v>
      </c>
      <c r="AH13" s="26">
        <f t="shared" si="17"/>
        <v>0</v>
      </c>
      <c r="AI13" s="26">
        <f t="shared" si="23"/>
        <v>0</v>
      </c>
      <c r="AJ13" s="26">
        <f t="shared" si="18"/>
        <v>0</v>
      </c>
      <c r="AK13" s="26">
        <f t="shared" si="19"/>
        <v>0</v>
      </c>
      <c r="AL13" s="26">
        <f t="shared" si="20"/>
        <v>0</v>
      </c>
      <c r="AM13" s="26">
        <f t="shared" si="21"/>
        <v>2138.1929032258067</v>
      </c>
    </row>
    <row r="14" spans="1:39">
      <c r="A14" s="415"/>
      <c r="B14" s="7" t="s">
        <v>24</v>
      </c>
      <c r="C14" s="7" t="s">
        <v>57</v>
      </c>
      <c r="D14" s="6"/>
      <c r="E14" s="11">
        <f>[1]in!$D$592</f>
        <v>129295</v>
      </c>
      <c r="F14" s="11">
        <f>[1]in!$E$592</f>
        <v>139864</v>
      </c>
      <c r="G14" s="11">
        <f>[1]in!$F$592</f>
        <v>160619</v>
      </c>
      <c r="H14" s="11">
        <f>[1]in!$H$592</f>
        <v>152281</v>
      </c>
      <c r="I14" s="11">
        <f>[1]in!$I$592</f>
        <v>0</v>
      </c>
      <c r="J14" s="11">
        <f>[1]in!$J$592</f>
        <v>0</v>
      </c>
      <c r="K14" s="11">
        <f>[1]in!$L$592</f>
        <v>0</v>
      </c>
      <c r="L14" s="11">
        <f>[1]in!$M$592</f>
        <v>0</v>
      </c>
      <c r="M14" s="11">
        <f>[1]in!$N$592</f>
        <v>0</v>
      </c>
      <c r="N14" s="11">
        <f>[1]in!$P$592</f>
        <v>0</v>
      </c>
      <c r="O14" s="11">
        <f>[1]in!$Q$592</f>
        <v>0</v>
      </c>
      <c r="P14" s="11">
        <f>[1]in!$R$592</f>
        <v>0</v>
      </c>
      <c r="Q14" s="27">
        <f t="shared" si="3"/>
        <v>582059</v>
      </c>
      <c r="R14" s="26">
        <f t="shared" si="4"/>
        <v>429778</v>
      </c>
      <c r="S14" s="26">
        <f t="shared" si="5"/>
        <v>152281</v>
      </c>
      <c r="T14" s="26">
        <f t="shared" si="6"/>
        <v>0</v>
      </c>
      <c r="U14" s="26">
        <f t="shared" si="7"/>
        <v>0</v>
      </c>
      <c r="V14" s="26">
        <f t="shared" si="8"/>
        <v>582059</v>
      </c>
      <c r="W14" s="26">
        <f t="shared" si="9"/>
        <v>0</v>
      </c>
      <c r="X14" s="58">
        <f>Q14/$Q$36</f>
        <v>4.8900050998179824E-2</v>
      </c>
      <c r="Z14" s="123" t="s">
        <v>24</v>
      </c>
      <c r="AA14" s="26">
        <f t="shared" si="10"/>
        <v>4170.8064516129034</v>
      </c>
      <c r="AB14" s="26">
        <f t="shared" si="11"/>
        <v>4995.1428571428569</v>
      </c>
      <c r="AC14" s="26">
        <f t="shared" si="12"/>
        <v>5181.2580645161288</v>
      </c>
      <c r="AD14" s="26">
        <f t="shared" si="13"/>
        <v>5076.0333333333338</v>
      </c>
      <c r="AE14" s="26">
        <f t="shared" si="14"/>
        <v>0</v>
      </c>
      <c r="AF14" s="26">
        <f t="shared" si="15"/>
        <v>0</v>
      </c>
      <c r="AG14" s="26">
        <f t="shared" si="16"/>
        <v>0</v>
      </c>
      <c r="AH14" s="26">
        <f t="shared" si="17"/>
        <v>0</v>
      </c>
      <c r="AI14" s="26">
        <f t="shared" si="23"/>
        <v>0</v>
      </c>
      <c r="AJ14" s="26">
        <f t="shared" si="18"/>
        <v>0</v>
      </c>
      <c r="AK14" s="26">
        <f t="shared" si="19"/>
        <v>0</v>
      </c>
      <c r="AL14" s="26">
        <f t="shared" si="20"/>
        <v>0</v>
      </c>
      <c r="AM14" s="26">
        <f t="shared" si="21"/>
        <v>18776.096774193549</v>
      </c>
    </row>
    <row r="15" spans="1:39">
      <c r="A15" s="415"/>
      <c r="B15" s="7" t="s">
        <v>25</v>
      </c>
      <c r="C15" s="7" t="s">
        <v>57</v>
      </c>
      <c r="D15" s="6"/>
      <c r="E15" s="11">
        <f>[1]in!$D$599</f>
        <v>6055</v>
      </c>
      <c r="F15" s="11">
        <f>[1]in!$E$599</f>
        <v>5568</v>
      </c>
      <c r="G15" s="11">
        <f>[1]in!$F$599</f>
        <v>6048</v>
      </c>
      <c r="H15" s="11">
        <f>[1]in!$H$599</f>
        <v>6021</v>
      </c>
      <c r="I15" s="11">
        <f>[1]in!$I$599</f>
        <v>0</v>
      </c>
      <c r="J15" s="11">
        <f>[1]in!$J$599</f>
        <v>0</v>
      </c>
      <c r="K15" s="11">
        <f>[1]in!$L$599</f>
        <v>0</v>
      </c>
      <c r="L15" s="11">
        <f>[1]in!$M$599</f>
        <v>0</v>
      </c>
      <c r="M15" s="11">
        <f>[1]in!$N$599</f>
        <v>0</v>
      </c>
      <c r="N15" s="11">
        <f>[1]in!$P$599</f>
        <v>0</v>
      </c>
      <c r="O15" s="11">
        <f>[1]in!$Q$599</f>
        <v>0</v>
      </c>
      <c r="P15" s="11">
        <f>[1]in!$R$599</f>
        <v>0</v>
      </c>
      <c r="Q15" s="27">
        <f t="shared" si="3"/>
        <v>23692</v>
      </c>
      <c r="R15" s="26">
        <f t="shared" si="4"/>
        <v>17671</v>
      </c>
      <c r="S15" s="26">
        <f t="shared" si="5"/>
        <v>6021</v>
      </c>
      <c r="T15" s="26">
        <f t="shared" si="6"/>
        <v>0</v>
      </c>
      <c r="U15" s="26">
        <f t="shared" si="7"/>
        <v>0</v>
      </c>
      <c r="V15" s="26">
        <f t="shared" si="8"/>
        <v>23692</v>
      </c>
      <c r="W15" s="26">
        <f t="shared" si="9"/>
        <v>0</v>
      </c>
      <c r="X15" s="44">
        <f>Q15/$Q$36</f>
        <v>1.9904167932269347E-3</v>
      </c>
      <c r="Z15" s="123" t="s">
        <v>25</v>
      </c>
      <c r="AA15" s="26">
        <f t="shared" si="10"/>
        <v>195.32258064516128</v>
      </c>
      <c r="AB15" s="26">
        <f t="shared" si="11"/>
        <v>198.85714285714286</v>
      </c>
      <c r="AC15" s="26">
        <f t="shared" si="12"/>
        <v>195.09677419354838</v>
      </c>
      <c r="AD15" s="26">
        <f t="shared" si="13"/>
        <v>200.7</v>
      </c>
      <c r="AE15" s="26">
        <f t="shared" si="14"/>
        <v>0</v>
      </c>
      <c r="AF15" s="26">
        <f t="shared" si="15"/>
        <v>0</v>
      </c>
      <c r="AG15" s="26">
        <f t="shared" si="16"/>
        <v>0</v>
      </c>
      <c r="AH15" s="26">
        <f t="shared" si="17"/>
        <v>0</v>
      </c>
      <c r="AI15" s="26">
        <f t="shared" si="23"/>
        <v>0</v>
      </c>
      <c r="AJ15" s="26">
        <f t="shared" si="18"/>
        <v>0</v>
      </c>
      <c r="AK15" s="26">
        <f t="shared" si="19"/>
        <v>0</v>
      </c>
      <c r="AL15" s="26">
        <f t="shared" si="20"/>
        <v>0</v>
      </c>
      <c r="AM15" s="26">
        <f t="shared" si="21"/>
        <v>764.25806451612902</v>
      </c>
    </row>
    <row r="16" spans="1:39">
      <c r="A16" s="415"/>
      <c r="B16" s="7" t="s">
        <v>26</v>
      </c>
      <c r="C16" s="7" t="s">
        <v>57</v>
      </c>
      <c r="D16" s="6"/>
      <c r="E16" s="11">
        <f>[1]in!$D$604</f>
        <v>1259</v>
      </c>
      <c r="F16" s="11">
        <f>[1]in!$E$604</f>
        <v>1029</v>
      </c>
      <c r="G16" s="11">
        <f>[1]in!$F$604</f>
        <v>1128</v>
      </c>
      <c r="H16" s="11">
        <f>[1]in!$H$604</f>
        <v>992</v>
      </c>
      <c r="I16" s="11">
        <f>[1]in!$I$604</f>
        <v>0</v>
      </c>
      <c r="J16" s="11">
        <f>[1]in!$J$604</f>
        <v>0</v>
      </c>
      <c r="K16" s="11">
        <f>[1]in!$L$604</f>
        <v>0</v>
      </c>
      <c r="L16" s="11">
        <f>[1]in!$M$604</f>
        <v>0</v>
      </c>
      <c r="M16" s="11">
        <f>[1]in!$N$604</f>
        <v>0</v>
      </c>
      <c r="N16" s="11">
        <f>[1]in!$P$604</f>
        <v>0</v>
      </c>
      <c r="O16" s="11">
        <f>[1]in!$Q$604</f>
        <v>0</v>
      </c>
      <c r="P16" s="11">
        <f>[1]in!$R$604</f>
        <v>0</v>
      </c>
      <c r="Q16" s="27">
        <f t="shared" si="3"/>
        <v>4408</v>
      </c>
      <c r="R16" s="26">
        <f t="shared" si="4"/>
        <v>3416</v>
      </c>
      <c r="S16" s="26">
        <f t="shared" si="5"/>
        <v>992</v>
      </c>
      <c r="T16" s="26">
        <f t="shared" si="6"/>
        <v>0</v>
      </c>
      <c r="U16" s="26">
        <f t="shared" si="7"/>
        <v>0</v>
      </c>
      <c r="V16" s="26">
        <f t="shared" si="8"/>
        <v>4408</v>
      </c>
      <c r="W16" s="26">
        <f t="shared" si="9"/>
        <v>0</v>
      </c>
      <c r="X16" s="196">
        <f>Q16/$Q$36</f>
        <v>3.7032573124026372E-4</v>
      </c>
      <c r="Z16" s="123" t="s">
        <v>26</v>
      </c>
      <c r="AA16" s="26">
        <f t="shared" si="10"/>
        <v>40.612903225806448</v>
      </c>
      <c r="AB16" s="26">
        <f t="shared" si="11"/>
        <v>36.75</v>
      </c>
      <c r="AC16" s="26">
        <f t="shared" si="12"/>
        <v>36.387096774193552</v>
      </c>
      <c r="AD16" s="26">
        <f t="shared" si="13"/>
        <v>33.06666666666667</v>
      </c>
      <c r="AE16" s="26">
        <f t="shared" si="14"/>
        <v>0</v>
      </c>
      <c r="AF16" s="26">
        <f t="shared" si="15"/>
        <v>0</v>
      </c>
      <c r="AG16" s="26">
        <f t="shared" si="16"/>
        <v>0</v>
      </c>
      <c r="AH16" s="26">
        <f t="shared" si="17"/>
        <v>0</v>
      </c>
      <c r="AI16" s="26">
        <f t="shared" si="23"/>
        <v>0</v>
      </c>
      <c r="AJ16" s="26">
        <f t="shared" si="18"/>
        <v>0</v>
      </c>
      <c r="AK16" s="26">
        <f t="shared" si="19"/>
        <v>0</v>
      </c>
      <c r="AL16" s="26">
        <f t="shared" si="20"/>
        <v>0</v>
      </c>
      <c r="AM16" s="26">
        <f t="shared" si="21"/>
        <v>142.19354838709677</v>
      </c>
    </row>
    <row r="17" spans="1:40">
      <c r="A17" s="415"/>
      <c r="B17" s="7" t="s">
        <v>27</v>
      </c>
      <c r="C17" s="7" t="s">
        <v>57</v>
      </c>
      <c r="D17" s="6"/>
      <c r="E17" s="11">
        <f>[1]in!$D$605</f>
        <v>3651</v>
      </c>
      <c r="F17" s="11">
        <f>[1]in!$E$605</f>
        <v>3235</v>
      </c>
      <c r="G17" s="11">
        <f>[1]in!$F$605</f>
        <v>3659</v>
      </c>
      <c r="H17" s="11">
        <f>[1]in!$H$605</f>
        <v>3938</v>
      </c>
      <c r="I17" s="11">
        <f>[1]in!$I$605</f>
        <v>0</v>
      </c>
      <c r="J17" s="11">
        <f>[1]in!$J$605</f>
        <v>0</v>
      </c>
      <c r="K17" s="11">
        <f>[1]in!$L$605</f>
        <v>0</v>
      </c>
      <c r="L17" s="11">
        <f>[1]in!$M$605</f>
        <v>0</v>
      </c>
      <c r="M17" s="11">
        <f>[1]in!$N$605</f>
        <v>0</v>
      </c>
      <c r="N17" s="11">
        <f>[1]in!$P$605</f>
        <v>0</v>
      </c>
      <c r="O17" s="11">
        <f>[1]in!$Q$605</f>
        <v>0</v>
      </c>
      <c r="P17" s="11">
        <f>[1]in!$R$605</f>
        <v>0</v>
      </c>
      <c r="Q17" s="27">
        <f t="shared" si="3"/>
        <v>14483</v>
      </c>
      <c r="R17" s="26">
        <f t="shared" si="4"/>
        <v>10545</v>
      </c>
      <c r="S17" s="26">
        <f t="shared" si="5"/>
        <v>3938</v>
      </c>
      <c r="T17" s="26">
        <f t="shared" si="6"/>
        <v>0</v>
      </c>
      <c r="U17" s="26">
        <f t="shared" si="7"/>
        <v>0</v>
      </c>
      <c r="V17" s="26">
        <f t="shared" si="8"/>
        <v>14483</v>
      </c>
      <c r="W17" s="26">
        <f t="shared" si="9"/>
        <v>0</v>
      </c>
      <c r="X17" s="44">
        <f>Q17/$Q$36</f>
        <v>1.2167485402796595E-3</v>
      </c>
      <c r="Z17" s="123" t="s">
        <v>27</v>
      </c>
      <c r="AA17" s="26">
        <f t="shared" si="10"/>
        <v>117.7741935483871</v>
      </c>
      <c r="AB17" s="26">
        <f t="shared" si="11"/>
        <v>115.53571428571429</v>
      </c>
      <c r="AC17" s="26">
        <f t="shared" si="12"/>
        <v>118.03225806451613</v>
      </c>
      <c r="AD17" s="26">
        <f t="shared" si="13"/>
        <v>131.26666666666668</v>
      </c>
      <c r="AE17" s="26">
        <f t="shared" si="14"/>
        <v>0</v>
      </c>
      <c r="AF17" s="26">
        <f t="shared" si="15"/>
        <v>0</v>
      </c>
      <c r="AG17" s="26">
        <f t="shared" si="16"/>
        <v>0</v>
      </c>
      <c r="AH17" s="26">
        <f t="shared" si="17"/>
        <v>0</v>
      </c>
      <c r="AI17" s="26">
        <f t="shared" si="23"/>
        <v>0</v>
      </c>
      <c r="AJ17" s="26">
        <f t="shared" si="18"/>
        <v>0</v>
      </c>
      <c r="AK17" s="26">
        <f t="shared" si="19"/>
        <v>0</v>
      </c>
      <c r="AL17" s="26">
        <f t="shared" si="20"/>
        <v>0</v>
      </c>
      <c r="AM17" s="26">
        <f t="shared" si="21"/>
        <v>467.19354838709677</v>
      </c>
    </row>
    <row r="18" spans="1:40">
      <c r="A18" s="415"/>
      <c r="B18" s="7" t="s">
        <v>59</v>
      </c>
      <c r="C18" s="7" t="s">
        <v>57</v>
      </c>
      <c r="D18" s="6"/>
      <c r="E18" s="11">
        <f>[1]in!$D$612</f>
        <v>705</v>
      </c>
      <c r="F18" s="11">
        <f>[1]in!$E$612</f>
        <v>10472</v>
      </c>
      <c r="G18" s="11">
        <f>[1]in!$F$612</f>
        <v>741</v>
      </c>
      <c r="H18" s="11">
        <f>[1]in!$H$612</f>
        <v>951</v>
      </c>
      <c r="I18" s="11">
        <f>[1]in!$I$612</f>
        <v>0</v>
      </c>
      <c r="J18" s="11">
        <f>[1]in!$J$612</f>
        <v>0</v>
      </c>
      <c r="K18" s="11">
        <f>[1]in!$L$612</f>
        <v>0</v>
      </c>
      <c r="L18" s="11">
        <f>[1]in!$M$612</f>
        <v>0</v>
      </c>
      <c r="M18" s="11">
        <f>[1]in!$N$612</f>
        <v>0</v>
      </c>
      <c r="N18" s="11">
        <f>[1]in!$P$612</f>
        <v>0</v>
      </c>
      <c r="O18" s="11">
        <f>[1]in!$Q$612</f>
        <v>0</v>
      </c>
      <c r="P18" s="11">
        <f>[1]in!$R$612</f>
        <v>0</v>
      </c>
      <c r="Q18" s="27">
        <f t="shared" si="3"/>
        <v>12869</v>
      </c>
      <c r="R18" s="26">
        <f t="shared" si="4"/>
        <v>11918</v>
      </c>
      <c r="S18" s="26">
        <f t="shared" si="5"/>
        <v>951</v>
      </c>
      <c r="T18" s="26">
        <f t="shared" si="6"/>
        <v>0</v>
      </c>
      <c r="U18" s="26">
        <f t="shared" si="7"/>
        <v>0</v>
      </c>
      <c r="V18" s="26">
        <f t="shared" si="8"/>
        <v>12869</v>
      </c>
      <c r="W18" s="26">
        <f t="shared" si="9"/>
        <v>0</v>
      </c>
      <c r="X18" s="44">
        <f>Q18/$Q$36</f>
        <v>1.0811528664543906E-3</v>
      </c>
      <c r="Z18" s="123" t="s">
        <v>59</v>
      </c>
      <c r="AA18" s="26">
        <f t="shared" si="10"/>
        <v>22.741935483870968</v>
      </c>
      <c r="AB18" s="26">
        <f t="shared" si="11"/>
        <v>374</v>
      </c>
      <c r="AC18" s="26">
        <f t="shared" si="12"/>
        <v>23.903225806451612</v>
      </c>
      <c r="AD18" s="26">
        <f t="shared" si="13"/>
        <v>31.7</v>
      </c>
      <c r="AE18" s="26">
        <f t="shared" si="14"/>
        <v>0</v>
      </c>
      <c r="AF18" s="26">
        <f t="shared" si="15"/>
        <v>0</v>
      </c>
      <c r="AG18" s="26">
        <f t="shared" si="16"/>
        <v>0</v>
      </c>
      <c r="AH18" s="26">
        <f t="shared" si="17"/>
        <v>0</v>
      </c>
      <c r="AI18" s="26">
        <f t="shared" si="23"/>
        <v>0</v>
      </c>
      <c r="AJ18" s="26">
        <f t="shared" si="18"/>
        <v>0</v>
      </c>
      <c r="AK18" s="26">
        <f t="shared" si="19"/>
        <v>0</v>
      </c>
      <c r="AL18" s="26">
        <f t="shared" si="20"/>
        <v>0</v>
      </c>
      <c r="AM18" s="26">
        <f t="shared" si="21"/>
        <v>415.12903225806451</v>
      </c>
    </row>
    <row r="19" spans="1:40">
      <c r="A19" s="415"/>
      <c r="B19" s="2" t="s">
        <v>60</v>
      </c>
      <c r="C19" s="7" t="s">
        <v>57</v>
      </c>
      <c r="D19" s="6"/>
      <c r="E19" s="227">
        <f>[1]in!$D$614</f>
        <v>14562</v>
      </c>
      <c r="F19" s="55">
        <f>[1]in!$E$614</f>
        <v>13629</v>
      </c>
      <c r="G19" s="55">
        <f>[1]in!$F$614</f>
        <v>13787</v>
      </c>
      <c r="H19" s="55">
        <f>[1]in!$H$614</f>
        <v>14040</v>
      </c>
      <c r="I19" s="55">
        <f>[1]in!$I$614</f>
        <v>0</v>
      </c>
      <c r="J19" s="55">
        <f>[1]in!$J$614</f>
        <v>0</v>
      </c>
      <c r="K19" s="55">
        <f>[1]in!$L$614</f>
        <v>0</v>
      </c>
      <c r="L19" s="55">
        <f>[1]in!$M$614</f>
        <v>0</v>
      </c>
      <c r="M19" s="55">
        <f>[1]in!$N$614</f>
        <v>0</v>
      </c>
      <c r="N19" s="55">
        <f>[1]in!$P$614</f>
        <v>0</v>
      </c>
      <c r="O19" s="55">
        <f>[1]in!$Q$614</f>
        <v>0</v>
      </c>
      <c r="P19" s="55">
        <f>[1]in!$R$614</f>
        <v>0</v>
      </c>
      <c r="Q19" s="27">
        <f t="shared" si="3"/>
        <v>56018</v>
      </c>
      <c r="R19" s="26">
        <f t="shared" si="4"/>
        <v>41978</v>
      </c>
      <c r="S19" s="26">
        <f t="shared" si="5"/>
        <v>14040</v>
      </c>
      <c r="T19" s="26">
        <f t="shared" si="6"/>
        <v>0</v>
      </c>
      <c r="U19" s="26">
        <f t="shared" si="7"/>
        <v>0</v>
      </c>
      <c r="V19" s="26">
        <f t="shared" si="8"/>
        <v>56018</v>
      </c>
      <c r="W19" s="26">
        <f t="shared" si="9"/>
        <v>0</v>
      </c>
      <c r="X19" s="58">
        <f t="shared" ref="X19:X33" si="36">Q19/$Q$37</f>
        <v>4.9725163147833771E-3</v>
      </c>
      <c r="Z19" s="123" t="s">
        <v>60</v>
      </c>
      <c r="AA19" s="26">
        <f t="shared" si="10"/>
        <v>469.74193548387098</v>
      </c>
      <c r="AB19" s="26">
        <f t="shared" si="11"/>
        <v>486.75</v>
      </c>
      <c r="AC19" s="26">
        <f t="shared" si="12"/>
        <v>444.74193548387098</v>
      </c>
      <c r="AD19" s="26">
        <f t="shared" si="13"/>
        <v>468</v>
      </c>
      <c r="AE19" s="26">
        <f t="shared" si="14"/>
        <v>0</v>
      </c>
      <c r="AF19" s="26">
        <f t="shared" si="15"/>
        <v>0</v>
      </c>
      <c r="AG19" s="26">
        <f t="shared" si="16"/>
        <v>0</v>
      </c>
      <c r="AH19" s="26">
        <f t="shared" si="17"/>
        <v>0</v>
      </c>
      <c r="AI19" s="26">
        <f t="shared" si="23"/>
        <v>0</v>
      </c>
      <c r="AJ19" s="26">
        <f t="shared" si="18"/>
        <v>0</v>
      </c>
      <c r="AK19" s="26">
        <f t="shared" si="19"/>
        <v>0</v>
      </c>
      <c r="AL19" s="26">
        <f t="shared" si="20"/>
        <v>0</v>
      </c>
      <c r="AM19" s="26">
        <f t="shared" si="21"/>
        <v>1807.0322580645161</v>
      </c>
      <c r="AN19" s="50">
        <f>SUM(AM19:AM20)</f>
        <v>2711.5415483870966</v>
      </c>
    </row>
    <row r="20" spans="1:40">
      <c r="A20" s="416"/>
      <c r="B20" s="2" t="s">
        <v>61</v>
      </c>
      <c r="C20" s="7" t="s">
        <v>57</v>
      </c>
      <c r="D20" s="6"/>
      <c r="E20" s="235">
        <f>[1]in!$D$615</f>
        <v>9814.8310000000001</v>
      </c>
      <c r="F20" s="55">
        <f>[1]in!$E$615</f>
        <v>10984.09</v>
      </c>
      <c r="G20" s="55">
        <f>[1]in!$F$615</f>
        <v>7240.8670000000002</v>
      </c>
      <c r="H20" s="55">
        <f>[1]in!$H$615</f>
        <v>0</v>
      </c>
      <c r="I20" s="55">
        <f>[1]in!$I$615</f>
        <v>0</v>
      </c>
      <c r="J20" s="55">
        <f>[1]in!$J$615</f>
        <v>0</v>
      </c>
      <c r="K20" s="55">
        <f>[1]in!$L$615</f>
        <v>0</v>
      </c>
      <c r="L20" s="55">
        <f>[1]in!$M$615</f>
        <v>0</v>
      </c>
      <c r="M20" s="55">
        <f>[1]in!$N$615</f>
        <v>0</v>
      </c>
      <c r="N20" s="55">
        <f>[1]in!$P$615</f>
        <v>0</v>
      </c>
      <c r="O20" s="55">
        <f>[1]in!$Q$615</f>
        <v>0</v>
      </c>
      <c r="P20" s="55">
        <f>[1]in!$R$615</f>
        <v>0</v>
      </c>
      <c r="Q20" s="27">
        <f t="shared" si="3"/>
        <v>28039.788</v>
      </c>
      <c r="R20" s="26">
        <f t="shared" si="4"/>
        <v>28039.788</v>
      </c>
      <c r="S20" s="26">
        <f t="shared" si="5"/>
        <v>0</v>
      </c>
      <c r="T20" s="26">
        <f t="shared" si="6"/>
        <v>0</v>
      </c>
      <c r="U20" s="26">
        <f t="shared" si="7"/>
        <v>0</v>
      </c>
      <c r="V20" s="26">
        <f t="shared" si="8"/>
        <v>28039.788</v>
      </c>
      <c r="W20" s="26">
        <f t="shared" si="9"/>
        <v>0</v>
      </c>
      <c r="X20" s="58">
        <f t="shared" si="36"/>
        <v>2.4889910973806125E-3</v>
      </c>
      <c r="Z20" s="123" t="s">
        <v>61</v>
      </c>
      <c r="AA20" s="26">
        <f t="shared" si="10"/>
        <v>316.60745161290322</v>
      </c>
      <c r="AB20" s="26">
        <f t="shared" si="11"/>
        <v>392.28892857142858</v>
      </c>
      <c r="AC20" s="26">
        <f t="shared" si="12"/>
        <v>233.57635483870968</v>
      </c>
      <c r="AD20" s="26">
        <f t="shared" si="13"/>
        <v>0</v>
      </c>
      <c r="AE20" s="26">
        <f t="shared" si="14"/>
        <v>0</v>
      </c>
      <c r="AF20" s="26">
        <f t="shared" si="15"/>
        <v>0</v>
      </c>
      <c r="AG20" s="26">
        <f t="shared" si="16"/>
        <v>0</v>
      </c>
      <c r="AH20" s="26">
        <f t="shared" si="17"/>
        <v>0</v>
      </c>
      <c r="AI20" s="26">
        <f t="shared" si="23"/>
        <v>0</v>
      </c>
      <c r="AJ20" s="26">
        <f t="shared" si="18"/>
        <v>0</v>
      </c>
      <c r="AK20" s="26">
        <f t="shared" si="19"/>
        <v>0</v>
      </c>
      <c r="AL20" s="26">
        <f t="shared" si="20"/>
        <v>0</v>
      </c>
      <c r="AM20" s="26">
        <f t="shared" si="21"/>
        <v>904.50929032258068</v>
      </c>
    </row>
    <row r="21" spans="1:40">
      <c r="A21" s="410" t="s">
        <v>28</v>
      </c>
      <c r="B21" s="2" t="s">
        <v>29</v>
      </c>
      <c r="C21" s="7" t="s">
        <v>57</v>
      </c>
      <c r="D21" s="6"/>
      <c r="E21" s="228">
        <f>[1]in!$D$586</f>
        <v>408</v>
      </c>
      <c r="F21" s="55">
        <f>[1]in!$E$586</f>
        <v>264</v>
      </c>
      <c r="G21" s="55">
        <f>[1]in!$F$586</f>
        <v>285</v>
      </c>
      <c r="H21" s="55">
        <f>[1]in!$H$586</f>
        <v>339</v>
      </c>
      <c r="I21" s="55">
        <f>[1]in!$I$586</f>
        <v>0</v>
      </c>
      <c r="J21" s="55">
        <f>[1]in!$J$586</f>
        <v>0</v>
      </c>
      <c r="K21" s="55">
        <f>[1]in!$L$586</f>
        <v>0</v>
      </c>
      <c r="L21" s="55">
        <f>[1]in!$M$586</f>
        <v>0</v>
      </c>
      <c r="M21" s="55">
        <f>[1]in!$N$586</f>
        <v>0</v>
      </c>
      <c r="N21" s="55">
        <f>[1]in!$P$586</f>
        <v>0</v>
      </c>
      <c r="O21" s="55">
        <f>[1]in!$Q$586</f>
        <v>0</v>
      </c>
      <c r="P21" s="55">
        <f>[1]in!$R$586</f>
        <v>0</v>
      </c>
      <c r="Q21" s="27">
        <f t="shared" si="3"/>
        <v>1296</v>
      </c>
      <c r="R21" s="26">
        <f t="shared" si="4"/>
        <v>957</v>
      </c>
      <c r="S21" s="26">
        <f t="shared" si="5"/>
        <v>339</v>
      </c>
      <c r="T21" s="26">
        <f t="shared" si="6"/>
        <v>0</v>
      </c>
      <c r="U21" s="26">
        <f t="shared" si="7"/>
        <v>0</v>
      </c>
      <c r="V21" s="26">
        <f t="shared" si="8"/>
        <v>1296</v>
      </c>
      <c r="W21" s="26">
        <f t="shared" si="9"/>
        <v>0</v>
      </c>
      <c r="X21" s="58">
        <f t="shared" si="36"/>
        <v>1.1504125716661173E-4</v>
      </c>
      <c r="Z21" s="123" t="s">
        <v>29</v>
      </c>
      <c r="AA21" s="26">
        <f t="shared" si="10"/>
        <v>13.161290322580646</v>
      </c>
      <c r="AB21" s="26">
        <f t="shared" si="11"/>
        <v>9.4285714285714288</v>
      </c>
      <c r="AC21" s="26">
        <f t="shared" si="12"/>
        <v>9.193548387096774</v>
      </c>
      <c r="AD21" s="26">
        <f t="shared" si="13"/>
        <v>11.3</v>
      </c>
      <c r="AE21" s="26">
        <f t="shared" si="14"/>
        <v>0</v>
      </c>
      <c r="AF21" s="26">
        <f t="shared" si="15"/>
        <v>0</v>
      </c>
      <c r="AG21" s="26">
        <f t="shared" si="16"/>
        <v>0</v>
      </c>
      <c r="AH21" s="26">
        <f t="shared" si="17"/>
        <v>0</v>
      </c>
      <c r="AI21" s="26">
        <f t="shared" si="23"/>
        <v>0</v>
      </c>
      <c r="AJ21" s="26">
        <f t="shared" si="18"/>
        <v>0</v>
      </c>
      <c r="AK21" s="26">
        <f t="shared" si="19"/>
        <v>0</v>
      </c>
      <c r="AL21" s="26">
        <f t="shared" si="20"/>
        <v>0</v>
      </c>
      <c r="AM21" s="26">
        <f t="shared" si="21"/>
        <v>41.806451612903224</v>
      </c>
    </row>
    <row r="22" spans="1:40">
      <c r="A22" s="410"/>
      <c r="B22" s="2" t="s">
        <v>30</v>
      </c>
      <c r="C22" s="7" t="s">
        <v>57</v>
      </c>
      <c r="D22" s="6"/>
      <c r="E22" s="55">
        <f>[1]in!$D$587</f>
        <v>17617</v>
      </c>
      <c r="F22" s="55">
        <f>[1]in!$E$587</f>
        <v>24289</v>
      </c>
      <c r="G22" s="55">
        <f>[1]in!$F$587</f>
        <v>19923</v>
      </c>
      <c r="H22" s="55">
        <f>[1]in!$H$587</f>
        <v>0</v>
      </c>
      <c r="I22" s="55">
        <f>[1]in!$I$587</f>
        <v>0</v>
      </c>
      <c r="J22" s="55">
        <f>[1]in!$J$587</f>
        <v>0</v>
      </c>
      <c r="K22" s="55">
        <f>[1]in!$L$587</f>
        <v>0</v>
      </c>
      <c r="L22" s="55">
        <f>[1]in!$M$587</f>
        <v>0</v>
      </c>
      <c r="M22" s="55">
        <f>[1]in!$N$587</f>
        <v>0</v>
      </c>
      <c r="N22" s="55">
        <f>[1]in!$P$587</f>
        <v>0</v>
      </c>
      <c r="O22" s="55">
        <f>[1]in!$Q$587</f>
        <v>0</v>
      </c>
      <c r="P22" s="55">
        <f>[1]in!$R$587</f>
        <v>0</v>
      </c>
      <c r="Q22" s="27">
        <f t="shared" si="3"/>
        <v>61829</v>
      </c>
      <c r="R22" s="26">
        <f t="shared" si="4"/>
        <v>61829</v>
      </c>
      <c r="S22" s="26">
        <f t="shared" si="5"/>
        <v>0</v>
      </c>
      <c r="T22" s="26">
        <f t="shared" si="6"/>
        <v>0</v>
      </c>
      <c r="U22" s="26">
        <f t="shared" si="7"/>
        <v>0</v>
      </c>
      <c r="V22" s="26">
        <f t="shared" si="8"/>
        <v>61829</v>
      </c>
      <c r="W22" s="26">
        <f t="shared" si="9"/>
        <v>0</v>
      </c>
      <c r="X22" s="58">
        <f t="shared" si="36"/>
        <v>5.4883378775883E-3</v>
      </c>
      <c r="Z22" s="123" t="s">
        <v>30</v>
      </c>
      <c r="AA22" s="26">
        <f t="shared" si="10"/>
        <v>568.29032258064512</v>
      </c>
      <c r="AB22" s="26">
        <f t="shared" si="11"/>
        <v>867.46428571428567</v>
      </c>
      <c r="AC22" s="26">
        <f t="shared" si="12"/>
        <v>642.67741935483866</v>
      </c>
      <c r="AD22" s="26">
        <f t="shared" si="13"/>
        <v>0</v>
      </c>
      <c r="AE22" s="26">
        <f t="shared" si="14"/>
        <v>0</v>
      </c>
      <c r="AF22" s="26">
        <f t="shared" si="15"/>
        <v>0</v>
      </c>
      <c r="AG22" s="26">
        <f t="shared" si="16"/>
        <v>0</v>
      </c>
      <c r="AH22" s="26">
        <f t="shared" si="17"/>
        <v>0</v>
      </c>
      <c r="AI22" s="26">
        <f t="shared" si="23"/>
        <v>0</v>
      </c>
      <c r="AJ22" s="26">
        <f t="shared" si="18"/>
        <v>0</v>
      </c>
      <c r="AK22" s="26">
        <f t="shared" si="19"/>
        <v>0</v>
      </c>
      <c r="AL22" s="26">
        <f t="shared" si="20"/>
        <v>0</v>
      </c>
      <c r="AM22" s="26">
        <f t="shared" si="21"/>
        <v>1994.483870967742</v>
      </c>
    </row>
    <row r="23" spans="1:40">
      <c r="A23" s="410"/>
      <c r="B23" s="2" t="s">
        <v>31</v>
      </c>
      <c r="C23" s="7" t="s">
        <v>57</v>
      </c>
      <c r="D23" s="6"/>
      <c r="E23" s="11">
        <f>[1]in!$D$589</f>
        <v>59914</v>
      </c>
      <c r="F23" s="11">
        <f>[1]in!$E$589</f>
        <v>36951</v>
      </c>
      <c r="G23" s="11">
        <f>[1]in!$F$589</f>
        <v>43063</v>
      </c>
      <c r="H23" s="11">
        <f>[1]in!$H$589</f>
        <v>38860</v>
      </c>
      <c r="I23" s="11">
        <f>[1]in!$I$589</f>
        <v>0</v>
      </c>
      <c r="J23" s="11">
        <f>[1]in!$J$589</f>
        <v>0</v>
      </c>
      <c r="K23" s="11">
        <f>[1]in!$L$589</f>
        <v>0</v>
      </c>
      <c r="L23" s="11">
        <f>[1]in!$M$589</f>
        <v>0</v>
      </c>
      <c r="M23" s="11">
        <f>[1]in!$N$589</f>
        <v>0</v>
      </c>
      <c r="N23" s="11">
        <f>[1]in!$P$589</f>
        <v>0</v>
      </c>
      <c r="O23" s="11">
        <f>[1]in!$Q$589</f>
        <v>0</v>
      </c>
      <c r="P23" s="11">
        <f>[1]in!$R$589</f>
        <v>0</v>
      </c>
      <c r="Q23" s="27">
        <f t="shared" si="3"/>
        <v>178788</v>
      </c>
      <c r="R23" s="26">
        <f t="shared" si="4"/>
        <v>139928</v>
      </c>
      <c r="S23" s="26">
        <f t="shared" si="5"/>
        <v>38860</v>
      </c>
      <c r="T23" s="26">
        <f t="shared" si="6"/>
        <v>0</v>
      </c>
      <c r="U23" s="26">
        <f t="shared" si="7"/>
        <v>0</v>
      </c>
      <c r="V23" s="26">
        <f t="shared" si="8"/>
        <v>178788</v>
      </c>
      <c r="W23" s="26">
        <f t="shared" si="9"/>
        <v>0</v>
      </c>
      <c r="X23" s="58">
        <f t="shared" si="36"/>
        <v>1.5870367504864338E-2</v>
      </c>
      <c r="Z23" s="123" t="s">
        <v>31</v>
      </c>
      <c r="AA23" s="26">
        <f t="shared" si="10"/>
        <v>1932.7096774193549</v>
      </c>
      <c r="AB23" s="26">
        <f t="shared" si="11"/>
        <v>1319.6785714285713</v>
      </c>
      <c r="AC23" s="26">
        <f t="shared" si="12"/>
        <v>1389.1290322580646</v>
      </c>
      <c r="AD23" s="26">
        <f t="shared" si="13"/>
        <v>1295.3333333333333</v>
      </c>
      <c r="AE23" s="26">
        <f t="shared" si="14"/>
        <v>0</v>
      </c>
      <c r="AF23" s="26">
        <f t="shared" si="15"/>
        <v>0</v>
      </c>
      <c r="AG23" s="26">
        <f t="shared" si="16"/>
        <v>0</v>
      </c>
      <c r="AH23" s="26">
        <f t="shared" si="17"/>
        <v>0</v>
      </c>
      <c r="AI23" s="26">
        <f t="shared" si="23"/>
        <v>0</v>
      </c>
      <c r="AJ23" s="26">
        <f t="shared" si="18"/>
        <v>0</v>
      </c>
      <c r="AK23" s="26">
        <f t="shared" si="19"/>
        <v>0</v>
      </c>
      <c r="AL23" s="26">
        <f t="shared" si="20"/>
        <v>0</v>
      </c>
      <c r="AM23" s="26">
        <f t="shared" si="21"/>
        <v>5767.3548387096771</v>
      </c>
    </row>
    <row r="24" spans="1:40">
      <c r="A24" s="410"/>
      <c r="B24" s="2" t="s">
        <v>32</v>
      </c>
      <c r="C24" s="7" t="s">
        <v>57</v>
      </c>
      <c r="D24" s="6"/>
      <c r="E24" s="55">
        <f>[1]in!$D$590</f>
        <v>475</v>
      </c>
      <c r="F24" s="55">
        <f>[1]in!$E$590</f>
        <v>308</v>
      </c>
      <c r="G24" s="11">
        <f>[1]in!$F$590</f>
        <v>438</v>
      </c>
      <c r="H24" s="11">
        <f>[1]in!$H$590</f>
        <v>414</v>
      </c>
      <c r="I24" s="11">
        <f>[1]in!$I$590</f>
        <v>0</v>
      </c>
      <c r="J24" s="11">
        <f>[1]in!$J$590</f>
        <v>0</v>
      </c>
      <c r="K24" s="11">
        <f>[1]in!$L$590</f>
        <v>0</v>
      </c>
      <c r="L24" s="11">
        <f>[1]in!$M$590</f>
        <v>0</v>
      </c>
      <c r="M24" s="11">
        <f>[1]in!$N$590</f>
        <v>0</v>
      </c>
      <c r="N24" s="11">
        <f>[1]in!$P$590</f>
        <v>0</v>
      </c>
      <c r="O24" s="11">
        <f>[1]in!$Q$590</f>
        <v>0</v>
      </c>
      <c r="P24" s="11">
        <f>[1]in!$R$590</f>
        <v>0</v>
      </c>
      <c r="Q24" s="27">
        <f t="shared" si="3"/>
        <v>1635</v>
      </c>
      <c r="R24" s="26">
        <f t="shared" si="4"/>
        <v>1221</v>
      </c>
      <c r="S24" s="26">
        <f t="shared" si="5"/>
        <v>414</v>
      </c>
      <c r="T24" s="26">
        <f t="shared" si="6"/>
        <v>0</v>
      </c>
      <c r="U24" s="26">
        <f t="shared" si="7"/>
        <v>0</v>
      </c>
      <c r="V24" s="26">
        <f t="shared" si="8"/>
        <v>1635</v>
      </c>
      <c r="W24" s="26">
        <f t="shared" si="9"/>
        <v>0</v>
      </c>
      <c r="X24" s="58">
        <f t="shared" si="36"/>
        <v>1.4513306749028564E-4</v>
      </c>
      <c r="Z24" s="123" t="s">
        <v>32</v>
      </c>
      <c r="AA24" s="26">
        <f t="shared" si="10"/>
        <v>15.32258064516129</v>
      </c>
      <c r="AB24" s="26">
        <f t="shared" si="11"/>
        <v>11</v>
      </c>
      <c r="AC24" s="26">
        <f t="shared" si="12"/>
        <v>14.129032258064516</v>
      </c>
      <c r="AD24" s="26">
        <f t="shared" si="13"/>
        <v>13.8</v>
      </c>
      <c r="AE24" s="26">
        <f t="shared" si="14"/>
        <v>0</v>
      </c>
      <c r="AF24" s="26">
        <f t="shared" si="15"/>
        <v>0</v>
      </c>
      <c r="AG24" s="26">
        <f t="shared" si="16"/>
        <v>0</v>
      </c>
      <c r="AH24" s="26">
        <f t="shared" si="17"/>
        <v>0</v>
      </c>
      <c r="AI24" s="26">
        <f t="shared" si="23"/>
        <v>0</v>
      </c>
      <c r="AJ24" s="26">
        <f t="shared" si="18"/>
        <v>0</v>
      </c>
      <c r="AK24" s="26">
        <f t="shared" si="19"/>
        <v>0</v>
      </c>
      <c r="AL24" s="26">
        <f t="shared" si="20"/>
        <v>0</v>
      </c>
      <c r="AM24" s="26">
        <f t="shared" si="21"/>
        <v>52.741935483870968</v>
      </c>
    </row>
    <row r="25" spans="1:40">
      <c r="A25" s="410"/>
      <c r="B25" s="2" t="s">
        <v>33</v>
      </c>
      <c r="C25" s="7" t="s">
        <v>57</v>
      </c>
      <c r="D25" s="6"/>
      <c r="E25" s="217">
        <f>[1]in!$D$597</f>
        <v>3507</v>
      </c>
      <c r="F25" s="55">
        <f>[1]in!$E$597</f>
        <v>3049</v>
      </c>
      <c r="G25" s="11">
        <f>[1]in!$F$597</f>
        <v>3619</v>
      </c>
      <c r="H25" s="11">
        <f>[1]in!$H$597</f>
        <v>0</v>
      </c>
      <c r="I25" s="11">
        <f>[1]in!$I$597</f>
        <v>0</v>
      </c>
      <c r="J25" s="11">
        <f>[1]in!$J$597</f>
        <v>0</v>
      </c>
      <c r="K25" s="11">
        <f>[1]in!$L$597</f>
        <v>0</v>
      </c>
      <c r="L25" s="11">
        <f>[1]in!$M$597</f>
        <v>0</v>
      </c>
      <c r="M25" s="11">
        <f>[1]in!$N$597</f>
        <v>0</v>
      </c>
      <c r="N25" s="11">
        <f>[1]in!$P$597</f>
        <v>0</v>
      </c>
      <c r="O25" s="11">
        <f>[1]in!$Q$597</f>
        <v>0</v>
      </c>
      <c r="P25" s="11">
        <f>[1]in!$R$597</f>
        <v>0</v>
      </c>
      <c r="Q25" s="27">
        <f t="shared" si="3"/>
        <v>10175</v>
      </c>
      <c r="R25" s="26">
        <f t="shared" si="4"/>
        <v>10175</v>
      </c>
      <c r="S25" s="26">
        <f t="shared" si="5"/>
        <v>0</v>
      </c>
      <c r="T25" s="26">
        <f t="shared" si="6"/>
        <v>0</v>
      </c>
      <c r="U25" s="26">
        <f t="shared" si="7"/>
        <v>0</v>
      </c>
      <c r="V25" s="26">
        <f t="shared" si="8"/>
        <v>10175</v>
      </c>
      <c r="W25" s="26">
        <f t="shared" si="9"/>
        <v>0</v>
      </c>
      <c r="X25" s="58">
        <f t="shared" si="36"/>
        <v>9.031981417208908E-4</v>
      </c>
      <c r="Z25" s="123" t="s">
        <v>33</v>
      </c>
      <c r="AA25" s="26">
        <f t="shared" si="10"/>
        <v>113.12903225806451</v>
      </c>
      <c r="AB25" s="26">
        <f t="shared" si="11"/>
        <v>108.89285714285714</v>
      </c>
      <c r="AC25" s="26">
        <f t="shared" si="12"/>
        <v>116.74193548387096</v>
      </c>
      <c r="AD25" s="26">
        <f t="shared" si="13"/>
        <v>0</v>
      </c>
      <c r="AE25" s="26">
        <f t="shared" si="14"/>
        <v>0</v>
      </c>
      <c r="AF25" s="26">
        <f t="shared" si="15"/>
        <v>0</v>
      </c>
      <c r="AG25" s="26">
        <f t="shared" si="16"/>
        <v>0</v>
      </c>
      <c r="AH25" s="26">
        <f t="shared" si="17"/>
        <v>0</v>
      </c>
      <c r="AI25" s="26">
        <f t="shared" si="23"/>
        <v>0</v>
      </c>
      <c r="AJ25" s="26">
        <f t="shared" si="18"/>
        <v>0</v>
      </c>
      <c r="AK25" s="26">
        <f t="shared" si="19"/>
        <v>0</v>
      </c>
      <c r="AL25" s="26">
        <f t="shared" si="20"/>
        <v>0</v>
      </c>
      <c r="AM25" s="26">
        <f t="shared" si="21"/>
        <v>328.22580645161293</v>
      </c>
    </row>
    <row r="26" spans="1:40">
      <c r="A26" s="410"/>
      <c r="B26" s="2" t="s">
        <v>34</v>
      </c>
      <c r="C26" s="7" t="s">
        <v>57</v>
      </c>
      <c r="D26" s="6"/>
      <c r="E26" s="55">
        <f>[1]in!$D$602</f>
        <v>356</v>
      </c>
      <c r="F26" s="55">
        <f>[1]in!$E$602</f>
        <v>378</v>
      </c>
      <c r="G26" s="11">
        <f>[1]in!$F$602</f>
        <v>589</v>
      </c>
      <c r="H26" s="11">
        <f>[1]in!$H$602</f>
        <v>418</v>
      </c>
      <c r="I26" s="11">
        <f>[1]in!$I$602</f>
        <v>0</v>
      </c>
      <c r="J26" s="11">
        <f>[1]in!$J$602</f>
        <v>0</v>
      </c>
      <c r="K26" s="11">
        <f>[1]in!$L$602</f>
        <v>0</v>
      </c>
      <c r="L26" s="11">
        <f>[1]in!$M$602</f>
        <v>0</v>
      </c>
      <c r="M26" s="11">
        <f>[1]in!$N$602</f>
        <v>0</v>
      </c>
      <c r="N26" s="11">
        <f>[1]in!$P$602</f>
        <v>0</v>
      </c>
      <c r="O26" s="11">
        <f>[1]in!$Q$602</f>
        <v>0</v>
      </c>
      <c r="P26" s="11">
        <f>[1]in!$R$602</f>
        <v>0</v>
      </c>
      <c r="Q26" s="27">
        <f t="shared" si="3"/>
        <v>1741</v>
      </c>
      <c r="R26" s="26">
        <f t="shared" si="4"/>
        <v>1323</v>
      </c>
      <c r="S26" s="26">
        <f t="shared" si="5"/>
        <v>418</v>
      </c>
      <c r="T26" s="26">
        <f t="shared" si="6"/>
        <v>0</v>
      </c>
      <c r="U26" s="26">
        <f t="shared" si="7"/>
        <v>0</v>
      </c>
      <c r="V26" s="26">
        <f t="shared" si="8"/>
        <v>1741</v>
      </c>
      <c r="W26" s="26">
        <f t="shared" si="9"/>
        <v>0</v>
      </c>
      <c r="X26" s="58">
        <f t="shared" si="36"/>
        <v>1.5454230611656715E-4</v>
      </c>
      <c r="Z26" s="123" t="s">
        <v>34</v>
      </c>
      <c r="AA26" s="26">
        <f t="shared" si="10"/>
        <v>11.483870967741936</v>
      </c>
      <c r="AB26" s="26">
        <f t="shared" si="11"/>
        <v>13.5</v>
      </c>
      <c r="AC26" s="26">
        <f t="shared" si="12"/>
        <v>19</v>
      </c>
      <c r="AD26" s="26">
        <f t="shared" si="13"/>
        <v>13.933333333333334</v>
      </c>
      <c r="AE26" s="26">
        <f t="shared" si="14"/>
        <v>0</v>
      </c>
      <c r="AF26" s="26">
        <f t="shared" si="15"/>
        <v>0</v>
      </c>
      <c r="AG26" s="26">
        <f t="shared" si="16"/>
        <v>0</v>
      </c>
      <c r="AH26" s="26">
        <f t="shared" si="17"/>
        <v>0</v>
      </c>
      <c r="AI26" s="26">
        <f t="shared" si="23"/>
        <v>0</v>
      </c>
      <c r="AJ26" s="26">
        <f t="shared" si="18"/>
        <v>0</v>
      </c>
      <c r="AK26" s="26">
        <f t="shared" si="19"/>
        <v>0</v>
      </c>
      <c r="AL26" s="26">
        <f t="shared" si="20"/>
        <v>0</v>
      </c>
      <c r="AM26" s="26">
        <f t="shared" si="21"/>
        <v>56.161290322580648</v>
      </c>
    </row>
    <row r="27" spans="1:40">
      <c r="A27" s="410"/>
      <c r="B27" s="2" t="s">
        <v>35</v>
      </c>
      <c r="C27" s="7" t="s">
        <v>57</v>
      </c>
      <c r="D27" s="6"/>
      <c r="E27" s="236">
        <f>[1]in!$D$606</f>
        <v>1522</v>
      </c>
      <c r="F27" s="11">
        <f>[1]in!$E$606</f>
        <v>1117</v>
      </c>
      <c r="G27" s="11">
        <f>[1]in!$F$606</f>
        <v>1610</v>
      </c>
      <c r="H27" s="11">
        <f>[1]in!$H$606</f>
        <v>1764</v>
      </c>
      <c r="I27" s="11">
        <f>[1]in!$I$606</f>
        <v>0</v>
      </c>
      <c r="J27" s="11">
        <f>[1]in!$J$606</f>
        <v>0</v>
      </c>
      <c r="K27" s="11">
        <f>[1]in!$L$606</f>
        <v>0</v>
      </c>
      <c r="L27" s="11">
        <f>[1]in!$M$606</f>
        <v>0</v>
      </c>
      <c r="M27" s="11">
        <f>[1]in!$N$606</f>
        <v>0</v>
      </c>
      <c r="N27" s="11">
        <f>[1]in!$P$606</f>
        <v>0</v>
      </c>
      <c r="O27" s="11">
        <f>[1]in!$Q$606</f>
        <v>0</v>
      </c>
      <c r="P27" s="11">
        <f>[1]in!$R$606</f>
        <v>0</v>
      </c>
      <c r="Q27" s="27">
        <f t="shared" si="3"/>
        <v>6013</v>
      </c>
      <c r="R27" s="26">
        <f t="shared" ref="R27:R28" si="37">SUM(E27:G27)</f>
        <v>4249</v>
      </c>
      <c r="S27" s="26">
        <f t="shared" ref="S27:S28" si="38">SUM(H27:J27)</f>
        <v>1764</v>
      </c>
      <c r="T27" s="26">
        <f t="shared" ref="T27:T28" si="39">SUM(K27:M27)</f>
        <v>0</v>
      </c>
      <c r="U27" s="26">
        <f t="shared" ref="U27:U28" si="40">SUM(N27:P27)</f>
        <v>0</v>
      </c>
      <c r="V27" s="26">
        <f t="shared" ref="V27:V28" si="41">SUM(E27:J27)</f>
        <v>6013</v>
      </c>
      <c r="W27" s="26">
        <f t="shared" ref="W27:W28" si="42">SUM(K27:P27)</f>
        <v>0</v>
      </c>
      <c r="X27" s="58">
        <f t="shared" si="36"/>
        <v>5.3375237603613915E-4</v>
      </c>
      <c r="Z27" s="229" t="s">
        <v>35</v>
      </c>
      <c r="AA27" s="26">
        <f t="shared" si="10"/>
        <v>49.096774193548384</v>
      </c>
      <c r="AB27" s="26">
        <f t="shared" si="11"/>
        <v>39.892857142857146</v>
      </c>
      <c r="AC27" s="26">
        <f t="shared" ref="AC27:AC33" si="43">G27/$AC$1</f>
        <v>51.935483870967744</v>
      </c>
      <c r="AD27" s="26">
        <f t="shared" ref="AD27:AD33" si="44">H27/$AD$1</f>
        <v>58.8</v>
      </c>
      <c r="AE27" s="26">
        <f t="shared" ref="AE27:AE33" si="45">I27/$AE$1</f>
        <v>0</v>
      </c>
      <c r="AF27" s="26">
        <f t="shared" ref="AF27:AF33" si="46">J27/$AF$1</f>
        <v>0</v>
      </c>
      <c r="AG27" s="26">
        <f t="shared" ref="AG27:AG33" si="47">K27/$AG$1</f>
        <v>0</v>
      </c>
      <c r="AH27" s="26">
        <f t="shared" ref="AH27:AH33" si="48">L27/$AH$1</f>
        <v>0</v>
      </c>
      <c r="AI27" s="26">
        <f t="shared" ref="AI27:AI33" si="49">M27/$AI$1</f>
        <v>0</v>
      </c>
      <c r="AJ27" s="26">
        <f t="shared" ref="AJ27:AJ33" si="50">N27/$AJ$1</f>
        <v>0</v>
      </c>
      <c r="AK27" s="26">
        <f t="shared" ref="AK27:AK33" si="51">O27/$AK$1</f>
        <v>0</v>
      </c>
      <c r="AL27" s="26">
        <f t="shared" ref="AL27:AL33" si="52">P27/$AL$1</f>
        <v>0</v>
      </c>
      <c r="AM27" s="26">
        <f t="shared" ref="AM27:AM33" si="53">Q27/$AM$1</f>
        <v>193.96774193548387</v>
      </c>
    </row>
    <row r="28" spans="1:40">
      <c r="A28" s="410"/>
      <c r="B28" s="2" t="s">
        <v>36</v>
      </c>
      <c r="C28" s="7" t="s">
        <v>57</v>
      </c>
      <c r="D28" s="238"/>
      <c r="E28" s="237">
        <f>[1]in!$D$607</f>
        <v>907</v>
      </c>
      <c r="F28" s="232">
        <f>[1]in!$E$607</f>
        <v>771</v>
      </c>
      <c r="G28" s="11">
        <f>[1]in!$F$607</f>
        <v>1005</v>
      </c>
      <c r="H28" s="11">
        <f>[1]in!$H$607</f>
        <v>718</v>
      </c>
      <c r="I28" s="11">
        <f>[1]in!$I$607</f>
        <v>0</v>
      </c>
      <c r="J28" s="11">
        <f>[1]in!$J$607</f>
        <v>0</v>
      </c>
      <c r="K28" s="11">
        <f>[1]in!$L$607</f>
        <v>0</v>
      </c>
      <c r="L28" s="11">
        <f>[1]in!$M$607</f>
        <v>0</v>
      </c>
      <c r="M28" s="11">
        <f>[1]in!$N$607</f>
        <v>0</v>
      </c>
      <c r="N28" s="11">
        <f>[1]in!$P$607</f>
        <v>0</v>
      </c>
      <c r="O28" s="11">
        <f>[1]in!$Q$607</f>
        <v>0</v>
      </c>
      <c r="P28" s="11">
        <f>[1]in!$R$607</f>
        <v>0</v>
      </c>
      <c r="Q28" s="27">
        <f t="shared" si="3"/>
        <v>3401</v>
      </c>
      <c r="R28" s="26">
        <f t="shared" si="37"/>
        <v>2683</v>
      </c>
      <c r="S28" s="26">
        <f t="shared" si="38"/>
        <v>718</v>
      </c>
      <c r="T28" s="26">
        <f t="shared" si="39"/>
        <v>0</v>
      </c>
      <c r="U28" s="26">
        <f t="shared" si="40"/>
        <v>0</v>
      </c>
      <c r="V28" s="26">
        <f t="shared" si="41"/>
        <v>3401</v>
      </c>
      <c r="W28" s="26">
        <f t="shared" si="42"/>
        <v>0</v>
      </c>
      <c r="X28" s="58">
        <f t="shared" si="36"/>
        <v>3.0189453366022108E-4</v>
      </c>
      <c r="Z28" s="229" t="s">
        <v>36</v>
      </c>
      <c r="AA28" s="26">
        <f t="shared" si="10"/>
        <v>29.258064516129032</v>
      </c>
      <c r="AB28" s="26">
        <f t="shared" si="11"/>
        <v>27.535714285714285</v>
      </c>
      <c r="AC28" s="26">
        <f t="shared" si="43"/>
        <v>32.41935483870968</v>
      </c>
      <c r="AD28" s="26">
        <f t="shared" si="44"/>
        <v>23.933333333333334</v>
      </c>
      <c r="AE28" s="26">
        <f t="shared" si="45"/>
        <v>0</v>
      </c>
      <c r="AF28" s="26">
        <f t="shared" si="46"/>
        <v>0</v>
      </c>
      <c r="AG28" s="26">
        <f t="shared" si="47"/>
        <v>0</v>
      </c>
      <c r="AH28" s="26">
        <f t="shared" si="48"/>
        <v>0</v>
      </c>
      <c r="AI28" s="26">
        <f t="shared" si="49"/>
        <v>0</v>
      </c>
      <c r="AJ28" s="26">
        <f t="shared" si="50"/>
        <v>0</v>
      </c>
      <c r="AK28" s="26">
        <f t="shared" si="51"/>
        <v>0</v>
      </c>
      <c r="AL28" s="26">
        <f t="shared" si="52"/>
        <v>0</v>
      </c>
      <c r="AM28" s="26">
        <f t="shared" si="53"/>
        <v>109.70967741935483</v>
      </c>
    </row>
    <row r="29" spans="1:40">
      <c r="A29" s="410"/>
      <c r="B29" s="2" t="s">
        <v>37</v>
      </c>
      <c r="C29" s="7" t="s">
        <v>57</v>
      </c>
      <c r="D29" s="6"/>
      <c r="E29" s="217">
        <f>[1]in!$D$618</f>
        <v>2025</v>
      </c>
      <c r="F29" s="11">
        <f>[1]in!$E$618</f>
        <v>2003</v>
      </c>
      <c r="G29" s="11">
        <f>[1]in!$F$618</f>
        <v>1989</v>
      </c>
      <c r="H29" s="11">
        <f>[1]in!$H$618</f>
        <v>2069</v>
      </c>
      <c r="I29" s="11">
        <f>[1]in!$I$618</f>
        <v>0</v>
      </c>
      <c r="J29" s="11">
        <f>[1]in!$J$618</f>
        <v>0</v>
      </c>
      <c r="K29" s="11">
        <f>[1]in!$L$618</f>
        <v>0</v>
      </c>
      <c r="L29" s="11">
        <f>[1]in!$M$618</f>
        <v>0</v>
      </c>
      <c r="M29" s="11">
        <f>[1]in!$N$618</f>
        <v>0</v>
      </c>
      <c r="N29" s="11">
        <f>[1]in!$P$618</f>
        <v>0</v>
      </c>
      <c r="O29" s="11">
        <f>[1]in!$Q$618</f>
        <v>0</v>
      </c>
      <c r="P29" s="11">
        <f>[1]in!$R$618</f>
        <v>0</v>
      </c>
      <c r="Q29" s="27">
        <f t="shared" si="3"/>
        <v>8086</v>
      </c>
      <c r="R29" s="26">
        <f t="shared" ref="R29:R33" si="54">SUM(E29:G29)</f>
        <v>6017</v>
      </c>
      <c r="S29" s="26">
        <f t="shared" ref="S29:S33" si="55">SUM(H29:J29)</f>
        <v>2069</v>
      </c>
      <c r="T29" s="26">
        <f t="shared" ref="T29:T33" si="56">SUM(K29:M29)</f>
        <v>0</v>
      </c>
      <c r="U29" s="26">
        <f t="shared" ref="U29:U33" si="57">SUM(N29:P29)</f>
        <v>0</v>
      </c>
      <c r="V29" s="26">
        <f t="shared" ref="V29:V33" si="58">SUM(E29:J29)</f>
        <v>8086</v>
      </c>
      <c r="W29" s="26">
        <f t="shared" ref="W29:W33" si="59">SUM(K29:P29)</f>
        <v>0</v>
      </c>
      <c r="X29" s="58">
        <f t="shared" si="36"/>
        <v>7.1776512766143718E-4</v>
      </c>
      <c r="Z29" s="229" t="s">
        <v>37</v>
      </c>
      <c r="AA29" s="26">
        <f t="shared" si="10"/>
        <v>65.322580645161295</v>
      </c>
      <c r="AB29" s="26">
        <f t="shared" si="11"/>
        <v>71.535714285714292</v>
      </c>
      <c r="AC29" s="26">
        <f t="shared" si="43"/>
        <v>64.161290322580641</v>
      </c>
      <c r="AD29" s="26">
        <f t="shared" si="44"/>
        <v>68.966666666666669</v>
      </c>
      <c r="AE29" s="26">
        <f t="shared" si="45"/>
        <v>0</v>
      </c>
      <c r="AF29" s="26">
        <f t="shared" si="46"/>
        <v>0</v>
      </c>
      <c r="AG29" s="26">
        <f t="shared" si="47"/>
        <v>0</v>
      </c>
      <c r="AH29" s="26">
        <f t="shared" si="48"/>
        <v>0</v>
      </c>
      <c r="AI29" s="26">
        <f t="shared" si="49"/>
        <v>0</v>
      </c>
      <c r="AJ29" s="26">
        <f t="shared" si="50"/>
        <v>0</v>
      </c>
      <c r="AK29" s="26">
        <f t="shared" si="51"/>
        <v>0</v>
      </c>
      <c r="AL29" s="26">
        <f t="shared" si="52"/>
        <v>0</v>
      </c>
      <c r="AM29" s="26">
        <f t="shared" si="53"/>
        <v>260.83870967741933</v>
      </c>
    </row>
    <row r="30" spans="1:40">
      <c r="A30" s="410"/>
      <c r="B30" s="23" t="s">
        <v>38</v>
      </c>
      <c r="C30" s="6" t="s">
        <v>57</v>
      </c>
      <c r="D30" s="6"/>
      <c r="E30" s="24">
        <f>[1]in!$D$584</f>
        <v>717535.67</v>
      </c>
      <c r="F30" s="24">
        <f>[1]in!$E$584</f>
        <v>696930.17</v>
      </c>
      <c r="G30" s="24">
        <f>[1]in!$F$584</f>
        <v>820048.62</v>
      </c>
      <c r="H30" s="24">
        <f>[1]in!$H$584</f>
        <v>773580.87</v>
      </c>
      <c r="I30" s="24">
        <f>[1]in!$I$584</f>
        <v>0</v>
      </c>
      <c r="J30" s="24">
        <f>[1]in!$J$584</f>
        <v>0</v>
      </c>
      <c r="K30" s="24">
        <f>[1]in!$L$584</f>
        <v>0</v>
      </c>
      <c r="L30" s="24">
        <f>[1]in!$M$584</f>
        <v>0</v>
      </c>
      <c r="M30" s="24">
        <f>[1]in!$N$584</f>
        <v>0</v>
      </c>
      <c r="N30" s="24">
        <f>[1]in!$P$584</f>
        <v>0</v>
      </c>
      <c r="O30" s="24">
        <f>[1]in!$Q$584</f>
        <v>0</v>
      </c>
      <c r="P30" s="24">
        <f>[1]in!$R$584</f>
        <v>0</v>
      </c>
      <c r="Q30" s="25">
        <f t="shared" si="3"/>
        <v>3008095.33</v>
      </c>
      <c r="R30" s="25">
        <f t="shared" si="54"/>
        <v>2234514.46</v>
      </c>
      <c r="S30" s="25">
        <f t="shared" si="55"/>
        <v>773580.87</v>
      </c>
      <c r="T30" s="25">
        <f t="shared" si="56"/>
        <v>0</v>
      </c>
      <c r="U30" s="25">
        <f t="shared" si="57"/>
        <v>0</v>
      </c>
      <c r="V30" s="25">
        <f t="shared" si="58"/>
        <v>3008095.33</v>
      </c>
      <c r="W30" s="25">
        <f t="shared" si="59"/>
        <v>0</v>
      </c>
      <c r="X30" s="58">
        <f t="shared" si="36"/>
        <v>0.26701779972238721</v>
      </c>
      <c r="Z30" s="229" t="s">
        <v>38</v>
      </c>
      <c r="AA30" s="26">
        <f t="shared" si="10"/>
        <v>23146.311935483871</v>
      </c>
      <c r="AB30" s="26">
        <f t="shared" si="11"/>
        <v>24890.363214285717</v>
      </c>
      <c r="AC30" s="26">
        <f t="shared" si="43"/>
        <v>26453.18129032258</v>
      </c>
      <c r="AD30" s="26">
        <f t="shared" si="44"/>
        <v>25786.028999999999</v>
      </c>
      <c r="AE30" s="26">
        <f t="shared" si="45"/>
        <v>0</v>
      </c>
      <c r="AF30" s="26">
        <f t="shared" si="46"/>
        <v>0</v>
      </c>
      <c r="AG30" s="26">
        <f t="shared" si="47"/>
        <v>0</v>
      </c>
      <c r="AH30" s="26">
        <f t="shared" si="48"/>
        <v>0</v>
      </c>
      <c r="AI30" s="26">
        <f t="shared" si="49"/>
        <v>0</v>
      </c>
      <c r="AJ30" s="26">
        <f t="shared" si="50"/>
        <v>0</v>
      </c>
      <c r="AK30" s="26">
        <f t="shared" si="51"/>
        <v>0</v>
      </c>
      <c r="AL30" s="26">
        <f t="shared" si="52"/>
        <v>0</v>
      </c>
      <c r="AM30" s="26">
        <f t="shared" si="53"/>
        <v>97035.333225806447</v>
      </c>
    </row>
    <row r="31" spans="1:40">
      <c r="A31" s="410"/>
      <c r="B31" s="23" t="s">
        <v>39</v>
      </c>
      <c r="C31" s="6" t="s">
        <v>57</v>
      </c>
      <c r="D31" s="6"/>
      <c r="E31" s="24">
        <f>[1]in!$D$595</f>
        <v>289496.93</v>
      </c>
      <c r="F31" s="24">
        <f>[1]in!$E$595</f>
        <v>259678.05</v>
      </c>
      <c r="G31" s="24">
        <f>[1]in!$F$595</f>
        <v>337091.1</v>
      </c>
      <c r="H31" s="24">
        <f>[1]in!$H$595</f>
        <v>284631.90999999997</v>
      </c>
      <c r="I31" s="24">
        <f>[1]in!$I$595</f>
        <v>0</v>
      </c>
      <c r="J31" s="24">
        <f>[1]in!$J$595</f>
        <v>0</v>
      </c>
      <c r="K31" s="24">
        <f>[1]in!$L$595</f>
        <v>0</v>
      </c>
      <c r="L31" s="24">
        <f>[1]in!$M$595</f>
        <v>0</v>
      </c>
      <c r="M31" s="24">
        <f>[1]in!$N$595</f>
        <v>0</v>
      </c>
      <c r="N31" s="24">
        <f>[1]in!$P$595</f>
        <v>0</v>
      </c>
      <c r="O31" s="24">
        <f>[1]in!$Q$595</f>
        <v>0</v>
      </c>
      <c r="P31" s="24">
        <f>[1]in!$R$595</f>
        <v>0</v>
      </c>
      <c r="Q31" s="25">
        <f>SUM(E31:P31)</f>
        <v>1170897.99</v>
      </c>
      <c r="R31" s="25">
        <f>SUM(E31:G31)</f>
        <v>886266.08</v>
      </c>
      <c r="S31" s="25">
        <f t="shared" si="55"/>
        <v>284631.90999999997</v>
      </c>
      <c r="T31" s="25">
        <f t="shared" si="56"/>
        <v>0</v>
      </c>
      <c r="U31" s="25">
        <f t="shared" si="57"/>
        <v>0</v>
      </c>
      <c r="V31" s="25">
        <f>SUM(E31:J31)</f>
        <v>1170897.99</v>
      </c>
      <c r="W31" s="25">
        <f>SUM(K31:P31)</f>
        <v>0</v>
      </c>
      <c r="X31" s="58">
        <f t="shared" si="36"/>
        <v>0.10393640183908856</v>
      </c>
      <c r="Z31" s="229" t="s">
        <v>39</v>
      </c>
      <c r="AA31" s="26">
        <f>E31/$AA$1</f>
        <v>9338.6106451612904</v>
      </c>
      <c r="AB31" s="26">
        <f t="shared" si="11"/>
        <v>9274.216071428571</v>
      </c>
      <c r="AC31" s="26">
        <f t="shared" si="43"/>
        <v>10873.906451612902</v>
      </c>
      <c r="AD31" s="26">
        <f t="shared" si="44"/>
        <v>9487.730333333333</v>
      </c>
      <c r="AE31" s="26">
        <f t="shared" si="45"/>
        <v>0</v>
      </c>
      <c r="AF31" s="26">
        <f t="shared" si="46"/>
        <v>0</v>
      </c>
      <c r="AG31" s="26">
        <f t="shared" si="47"/>
        <v>0</v>
      </c>
      <c r="AH31" s="26">
        <f t="shared" si="48"/>
        <v>0</v>
      </c>
      <c r="AI31" s="26">
        <f t="shared" si="49"/>
        <v>0</v>
      </c>
      <c r="AJ31" s="26">
        <f t="shared" si="50"/>
        <v>0</v>
      </c>
      <c r="AK31" s="26">
        <f t="shared" si="51"/>
        <v>0</v>
      </c>
      <c r="AL31" s="26">
        <f t="shared" si="52"/>
        <v>0</v>
      </c>
      <c r="AM31" s="26">
        <f t="shared" si="53"/>
        <v>37770.902903225804</v>
      </c>
    </row>
    <row r="32" spans="1:40">
      <c r="A32" s="410"/>
      <c r="B32" s="2" t="s">
        <v>40</v>
      </c>
      <c r="C32" s="7" t="s">
        <v>57</v>
      </c>
      <c r="D32" s="6"/>
      <c r="E32" s="11">
        <f>SUM(E30:E31)</f>
        <v>1007032.6000000001</v>
      </c>
      <c r="F32" s="11">
        <f>SUM(F30:F31)</f>
        <v>956608.22</v>
      </c>
      <c r="G32" s="11">
        <f t="shared" ref="G32:H32" si="60">SUM(G30:G31)</f>
        <v>1157139.72</v>
      </c>
      <c r="H32" s="11">
        <f t="shared" si="60"/>
        <v>1058212.78</v>
      </c>
      <c r="I32" s="11">
        <f t="shared" ref="I32" si="61">SUM(I30:I31)</f>
        <v>0</v>
      </c>
      <c r="J32" s="11">
        <f t="shared" ref="J32" si="62">SUM(J30:J31)</f>
        <v>0</v>
      </c>
      <c r="K32" s="11">
        <f t="shared" ref="K32" si="63">SUM(K30:K31)</f>
        <v>0</v>
      </c>
      <c r="L32" s="11">
        <f t="shared" ref="L32" si="64">SUM(L30:L31)</f>
        <v>0</v>
      </c>
      <c r="M32" s="11">
        <f t="shared" ref="M32" si="65">SUM(M30:M31)</f>
        <v>0</v>
      </c>
      <c r="N32" s="11">
        <f t="shared" ref="N32" si="66">SUM(N30:N31)</f>
        <v>0</v>
      </c>
      <c r="O32" s="11">
        <f t="shared" ref="O32" si="67">SUM(O30:O31)</f>
        <v>0</v>
      </c>
      <c r="P32" s="11">
        <f t="shared" ref="P32" si="68">SUM(P30:P31)</f>
        <v>0</v>
      </c>
      <c r="Q32" s="27">
        <f>SUM(E32:P32)</f>
        <v>4178993.3200000003</v>
      </c>
      <c r="R32" s="26">
        <f>SUM(E32:G32)</f>
        <v>3120780.54</v>
      </c>
      <c r="S32" s="26">
        <f t="shared" si="55"/>
        <v>1058212.78</v>
      </c>
      <c r="T32" s="26">
        <f t="shared" ref="T32" si="69">SUM(K32:M32)</f>
        <v>0</v>
      </c>
      <c r="U32" s="26">
        <f>SUM(N32:P32)</f>
        <v>0</v>
      </c>
      <c r="V32" s="26">
        <f>SUM(E32:J32)</f>
        <v>4178993.3200000003</v>
      </c>
      <c r="W32" s="26">
        <f>SUM(K32:P32)</f>
        <v>0</v>
      </c>
      <c r="X32" s="58">
        <f t="shared" si="36"/>
        <v>0.37095420156147579</v>
      </c>
      <c r="Z32" s="229" t="s">
        <v>40</v>
      </c>
      <c r="AA32" s="26">
        <f>E32/$AA$1</f>
        <v>32484.922580645165</v>
      </c>
      <c r="AB32" s="26">
        <f t="shared" ref="AB32" si="70">F32/$AB$1</f>
        <v>34164.579285714288</v>
      </c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>
        <f>Q32/$AM$1</f>
        <v>134806.23612903227</v>
      </c>
    </row>
    <row r="33" spans="1:39">
      <c r="A33" s="410"/>
      <c r="B33" s="2" t="s">
        <v>42</v>
      </c>
      <c r="C33" s="7" t="s">
        <v>57</v>
      </c>
      <c r="D33" s="6"/>
      <c r="E33" s="11">
        <f>[1]in!$D$598</f>
        <v>293</v>
      </c>
      <c r="F33" s="11">
        <f>[1]in!$E$598</f>
        <v>238</v>
      </c>
      <c r="G33" s="11">
        <f>[1]in!$F$598</f>
        <v>329</v>
      </c>
      <c r="H33" s="11">
        <f>[1]in!$H$598</f>
        <v>236</v>
      </c>
      <c r="I33" s="11">
        <f>[1]in!$I$598</f>
        <v>0</v>
      </c>
      <c r="J33" s="11">
        <f>[1]in!$J$598</f>
        <v>0</v>
      </c>
      <c r="K33" s="11">
        <f>[1]in!$L$598</f>
        <v>0</v>
      </c>
      <c r="L33" s="11">
        <f>[1]in!$M$598</f>
        <v>0</v>
      </c>
      <c r="M33" s="11">
        <f>[1]in!$N$598</f>
        <v>0</v>
      </c>
      <c r="N33" s="11">
        <f>[1]in!$P$598</f>
        <v>0</v>
      </c>
      <c r="O33" s="11">
        <f>[1]in!$Q$598</f>
        <v>0</v>
      </c>
      <c r="P33" s="11">
        <f>[1]in!$R$598</f>
        <v>0</v>
      </c>
      <c r="Q33" s="27">
        <f>SUM(E33:P33)</f>
        <v>1096</v>
      </c>
      <c r="R33" s="26">
        <f t="shared" si="54"/>
        <v>860</v>
      </c>
      <c r="S33" s="26">
        <f t="shared" si="55"/>
        <v>236</v>
      </c>
      <c r="T33" s="26">
        <f t="shared" si="56"/>
        <v>0</v>
      </c>
      <c r="U33" s="26">
        <f t="shared" si="57"/>
        <v>0</v>
      </c>
      <c r="V33" s="26">
        <f t="shared" si="58"/>
        <v>1096</v>
      </c>
      <c r="W33" s="26">
        <f t="shared" si="59"/>
        <v>0</v>
      </c>
      <c r="X33" s="58">
        <f t="shared" si="36"/>
        <v>9.7287976739665486E-5</v>
      </c>
      <c r="Z33" s="229" t="s">
        <v>42</v>
      </c>
      <c r="AA33" s="26">
        <f t="shared" si="10"/>
        <v>9.4516129032258061</v>
      </c>
      <c r="AB33" s="26">
        <f t="shared" si="11"/>
        <v>8.5</v>
      </c>
      <c r="AC33" s="26">
        <f t="shared" si="43"/>
        <v>10.612903225806452</v>
      </c>
      <c r="AD33" s="26">
        <f t="shared" si="44"/>
        <v>7.8666666666666663</v>
      </c>
      <c r="AE33" s="26">
        <f t="shared" si="45"/>
        <v>0</v>
      </c>
      <c r="AF33" s="26">
        <f t="shared" si="46"/>
        <v>0</v>
      </c>
      <c r="AG33" s="26">
        <f t="shared" si="47"/>
        <v>0</v>
      </c>
      <c r="AH33" s="26">
        <f t="shared" si="48"/>
        <v>0</v>
      </c>
      <c r="AI33" s="26">
        <f t="shared" si="49"/>
        <v>0</v>
      </c>
      <c r="AJ33" s="26">
        <f t="shared" si="50"/>
        <v>0</v>
      </c>
      <c r="AK33" s="26">
        <f t="shared" si="51"/>
        <v>0</v>
      </c>
      <c r="AL33" s="26">
        <f t="shared" si="52"/>
        <v>0</v>
      </c>
      <c r="AM33" s="26">
        <f t="shared" si="53"/>
        <v>35.354838709677416</v>
      </c>
    </row>
    <row r="34" spans="1:39">
      <c r="A34" s="72"/>
      <c r="B34" s="2" t="s">
        <v>43</v>
      </c>
      <c r="C34" s="7" t="s">
        <v>57</v>
      </c>
      <c r="D34" s="6"/>
      <c r="E34" s="11">
        <f>SUM(E8:E9,E25:E28,E33)</f>
        <v>16704</v>
      </c>
      <c r="F34" s="11">
        <f>SUM(F8:F9,F25:F28,F33)</f>
        <v>15350</v>
      </c>
      <c r="G34" s="11">
        <f>SUM(G8:G9,G25:G28,G33)</f>
        <v>18872</v>
      </c>
      <c r="H34" s="11">
        <f t="shared" ref="H34:P34" si="71">SUM(H8:H9,H25:H28,H33)</f>
        <v>12752</v>
      </c>
      <c r="I34" s="11">
        <f t="shared" si="71"/>
        <v>0</v>
      </c>
      <c r="J34" s="11">
        <f t="shared" si="71"/>
        <v>0</v>
      </c>
      <c r="K34" s="11">
        <f t="shared" si="71"/>
        <v>0</v>
      </c>
      <c r="L34" s="11">
        <f t="shared" si="71"/>
        <v>0</v>
      </c>
      <c r="M34" s="11">
        <f t="shared" si="71"/>
        <v>0</v>
      </c>
      <c r="N34" s="11">
        <f t="shared" si="71"/>
        <v>0</v>
      </c>
      <c r="O34" s="11">
        <f t="shared" si="71"/>
        <v>0</v>
      </c>
      <c r="P34" s="11">
        <f t="shared" si="71"/>
        <v>0</v>
      </c>
      <c r="Q34" s="27">
        <f>SUM(E34:P34)</f>
        <v>63678</v>
      </c>
      <c r="R34" s="26">
        <f>SUM(E34:G34)</f>
        <v>50926</v>
      </c>
      <c r="S34" s="26">
        <f t="shared" ref="S34" si="72">SUM(H34:J34)</f>
        <v>12752</v>
      </c>
      <c r="T34" s="26">
        <f t="shared" ref="T34" si="73">SUM(K34:M34)</f>
        <v>0</v>
      </c>
      <c r="U34" s="26">
        <f>SUM(N34:P34)</f>
        <v>0</v>
      </c>
      <c r="V34" s="26">
        <f>SUM(E34:J34)</f>
        <v>63678</v>
      </c>
      <c r="W34" s="26">
        <f>SUM(K34:P34)</f>
        <v>0</v>
      </c>
      <c r="X34" s="58"/>
      <c r="Z34" s="229" t="s">
        <v>43</v>
      </c>
      <c r="AA34" s="26">
        <f>E34/$AA$1</f>
        <v>538.83870967741939</v>
      </c>
      <c r="AB34" s="26">
        <f>F34/$AB$1</f>
        <v>548.21428571428567</v>
      </c>
      <c r="AC34" s="26">
        <f t="shared" ref="AC34" si="74">G34/$AC$1</f>
        <v>608.77419354838707</v>
      </c>
      <c r="AD34" s="26">
        <f t="shared" ref="AD34" si="75">H34/$AD$1</f>
        <v>425.06666666666666</v>
      </c>
      <c r="AE34" s="26">
        <f t="shared" ref="AE34" si="76">I34/$AE$1</f>
        <v>0</v>
      </c>
      <c r="AF34" s="26">
        <f t="shared" ref="AF34" si="77">J34/$AF$1</f>
        <v>0</v>
      </c>
      <c r="AG34" s="26">
        <f t="shared" ref="AG34" si="78">K34/$AG$1</f>
        <v>0</v>
      </c>
      <c r="AH34" s="26">
        <f t="shared" ref="AH34" si="79">L34/$AH$1</f>
        <v>0</v>
      </c>
      <c r="AI34" s="26">
        <f t="shared" ref="AI34" si="80">M34/$AI$1</f>
        <v>0</v>
      </c>
      <c r="AJ34" s="26">
        <f t="shared" ref="AJ34" si="81">N34/$AJ$1</f>
        <v>0</v>
      </c>
      <c r="AK34" s="26">
        <f t="shared" ref="AK34" si="82">O34/$AK$1</f>
        <v>0</v>
      </c>
      <c r="AL34" s="26">
        <f t="shared" ref="AL34" si="83">P34/$AL$1</f>
        <v>0</v>
      </c>
      <c r="AM34" s="26">
        <f>Q34/$AM$1</f>
        <v>2054.1290322580644</v>
      </c>
    </row>
    <row r="35" spans="1:39">
      <c r="D35" s="28"/>
      <c r="E35" s="35"/>
      <c r="F35" s="35"/>
      <c r="G35" s="35"/>
      <c r="H35" s="399"/>
      <c r="I35" s="399"/>
      <c r="J35" s="399"/>
      <c r="K35" s="399"/>
      <c r="L35" s="399"/>
      <c r="M35" s="399"/>
      <c r="N35" s="399"/>
      <c r="O35" s="399"/>
      <c r="P35" s="399"/>
      <c r="AA35" s="50"/>
      <c r="AB35" s="50"/>
      <c r="AM35" s="50"/>
    </row>
    <row r="36" spans="1:39" ht="16">
      <c r="A36" s="424" t="s">
        <v>44</v>
      </c>
      <c r="B36" s="424"/>
      <c r="C36" s="7" t="s">
        <v>57</v>
      </c>
      <c r="D36" s="6"/>
      <c r="E36" s="26">
        <f>SUM(E5:E29,E32:E33)</f>
        <v>3162041.8929999997</v>
      </c>
      <c r="F36" s="26">
        <f>SUM(F5:F29,F32:F33)</f>
        <v>2978803.1239999998</v>
      </c>
      <c r="G36" s="26">
        <f>SUM(G5:G29,G32:G33)</f>
        <v>3055860.0760000004</v>
      </c>
      <c r="H36" s="26">
        <f t="shared" ref="H36:P36" si="84">SUM(H5:H29,H32:H33)</f>
        <v>2706329.5279999999</v>
      </c>
      <c r="I36" s="26">
        <f t="shared" si="84"/>
        <v>0</v>
      </c>
      <c r="J36" s="26">
        <f t="shared" si="84"/>
        <v>0</v>
      </c>
      <c r="K36" s="26">
        <f t="shared" si="84"/>
        <v>0</v>
      </c>
      <c r="L36" s="26">
        <f t="shared" si="84"/>
        <v>0</v>
      </c>
      <c r="M36" s="26">
        <f t="shared" si="84"/>
        <v>0</v>
      </c>
      <c r="N36" s="26">
        <f t="shared" si="84"/>
        <v>0</v>
      </c>
      <c r="O36" s="26">
        <f t="shared" si="84"/>
        <v>0</v>
      </c>
      <c r="P36" s="26">
        <f t="shared" si="84"/>
        <v>0</v>
      </c>
      <c r="Q36" s="136">
        <f>SUM(Q5:Q29,Q32:Q33)</f>
        <v>11903034.620999999</v>
      </c>
      <c r="R36" s="26">
        <f>SUM(R5:R29,R32:R33)</f>
        <v>9196705.0929999985</v>
      </c>
      <c r="S36" s="26">
        <f t="shared" ref="S36:U36" si="85">SUM(S5:S29,S32:S33)</f>
        <v>2706329.5279999999</v>
      </c>
      <c r="T36" s="26">
        <f t="shared" si="85"/>
        <v>0</v>
      </c>
      <c r="U36" s="26">
        <f t="shared" si="85"/>
        <v>0</v>
      </c>
      <c r="V36" s="26">
        <f>SUM(V5:V29,V32:V33)</f>
        <v>11903034.620999999</v>
      </c>
      <c r="W36" s="26">
        <f>SUM(W5:W29,W32:W33)</f>
        <v>0</v>
      </c>
      <c r="Z36" t="s">
        <v>44</v>
      </c>
      <c r="AA36" s="121">
        <f>E36/$AA$1</f>
        <v>102001.35138709676</v>
      </c>
      <c r="AB36" s="121">
        <f>F36/AB1</f>
        <v>106385.82585714285</v>
      </c>
      <c r="AC36" s="121">
        <f t="shared" ref="AC36:AE36" si="86">G36/AC1</f>
        <v>98576.13148387098</v>
      </c>
      <c r="AD36" s="121">
        <f t="shared" si="86"/>
        <v>90210.984266666666</v>
      </c>
      <c r="AE36" s="121">
        <f t="shared" si="86"/>
        <v>0</v>
      </c>
      <c r="AF36" s="121">
        <f t="shared" ref="AF36" si="87">J36/AF1</f>
        <v>0</v>
      </c>
      <c r="AG36" s="121">
        <f t="shared" ref="AG36" si="88">K36/AG1</f>
        <v>0</v>
      </c>
      <c r="AH36" s="121">
        <f t="shared" ref="AH36:AL36" si="89">L36/AH1</f>
        <v>0</v>
      </c>
      <c r="AI36" s="121">
        <f t="shared" si="89"/>
        <v>0</v>
      </c>
      <c r="AJ36" s="121">
        <f t="shared" si="89"/>
        <v>0</v>
      </c>
      <c r="AK36" s="121">
        <f t="shared" si="89"/>
        <v>0</v>
      </c>
      <c r="AL36" s="121">
        <f t="shared" si="89"/>
        <v>0</v>
      </c>
      <c r="AM36" s="121">
        <f t="shared" si="21"/>
        <v>383968.85874193546</v>
      </c>
    </row>
    <row r="37" spans="1:39" ht="15.5">
      <c r="A37" s="412" t="s">
        <v>45</v>
      </c>
      <c r="B37" s="412"/>
      <c r="C37" s="260" t="s">
        <v>57</v>
      </c>
      <c r="D37" s="260"/>
      <c r="E37" s="261">
        <f>SUM(E5:E13,E19:E29,E32:E33)</f>
        <v>3021076.8930000002</v>
      </c>
      <c r="F37" s="261">
        <f>SUM(F5:F13,F19:F29,F32:F33)</f>
        <v>2818635.1239999998</v>
      </c>
      <c r="G37" s="261">
        <f>SUM(G5:G13,G19:G29,G32:G33)</f>
        <v>2883665.0760000004</v>
      </c>
      <c r="H37" s="261">
        <f>SUM(H5:H13,H19:H29,H32:H33)</f>
        <v>2542146.5279999999</v>
      </c>
      <c r="I37" s="261">
        <f t="shared" ref="I37:P37" si="90">SUM(I5:I13,I19:I29,I32:I33)</f>
        <v>0</v>
      </c>
      <c r="J37" s="261">
        <f t="shared" si="90"/>
        <v>0</v>
      </c>
      <c r="K37" s="261">
        <f>SUM(K5:K13,K19:K29,K32:K33)</f>
        <v>0</v>
      </c>
      <c r="L37" s="261">
        <f t="shared" si="90"/>
        <v>0</v>
      </c>
      <c r="M37" s="261">
        <f t="shared" si="90"/>
        <v>0</v>
      </c>
      <c r="N37" s="261">
        <f t="shared" si="90"/>
        <v>0</v>
      </c>
      <c r="O37" s="261">
        <f t="shared" si="90"/>
        <v>0</v>
      </c>
      <c r="P37" s="261">
        <f t="shared" si="90"/>
        <v>0</v>
      </c>
      <c r="Q37" s="261">
        <f>SUM(Q5:Q13,Q19:Q29,Q32:Q33)</f>
        <v>11265523.620999999</v>
      </c>
      <c r="R37" s="26">
        <f>SUM(R5:R13,R19:R29,R32:R33)</f>
        <v>8723377.0929999985</v>
      </c>
      <c r="S37" s="26">
        <f t="shared" ref="S37:T37" si="91">SUM(S5:S13,S19:S29,S32:S33)</f>
        <v>2542146.5279999999</v>
      </c>
      <c r="T37" s="26">
        <f t="shared" si="91"/>
        <v>0</v>
      </c>
      <c r="U37" s="26">
        <f>SUM(U5:U13,U19:U29,U32:U33)</f>
        <v>0</v>
      </c>
      <c r="V37" s="26">
        <f>SUM(V5:V13,V19:V29,V32:V33)</f>
        <v>11265523.620999999</v>
      </c>
      <c r="W37" s="26">
        <f>SUM(W5:W13,W19:W29,W32:W33)</f>
        <v>0</v>
      </c>
      <c r="Z37" t="s">
        <v>45</v>
      </c>
      <c r="AA37" s="50">
        <f>E37/$AA$1</f>
        <v>97454.093322580651</v>
      </c>
      <c r="AB37" s="50">
        <f>F37/AB1</f>
        <v>100665.54014285713</v>
      </c>
      <c r="AC37" s="50">
        <f t="shared" ref="AC37:AE37" si="92">G37/AC1</f>
        <v>93021.454064516147</v>
      </c>
      <c r="AD37" s="50">
        <f t="shared" si="92"/>
        <v>84738.217600000004</v>
      </c>
      <c r="AE37" s="50">
        <f t="shared" si="92"/>
        <v>0</v>
      </c>
      <c r="AF37" s="50">
        <f t="shared" ref="AF37" si="93">J37/AF1</f>
        <v>0</v>
      </c>
      <c r="AG37" s="50">
        <f t="shared" ref="AG37" si="94">K37/AG1</f>
        <v>0</v>
      </c>
      <c r="AH37" s="50">
        <f t="shared" ref="AH37:AL37" si="95">L37/AH1</f>
        <v>0</v>
      </c>
      <c r="AI37" s="50">
        <f t="shared" si="95"/>
        <v>0</v>
      </c>
      <c r="AJ37" s="50">
        <f t="shared" si="95"/>
        <v>0</v>
      </c>
      <c r="AK37" s="50">
        <f t="shared" si="95"/>
        <v>0</v>
      </c>
      <c r="AL37" s="50">
        <f t="shared" si="95"/>
        <v>0</v>
      </c>
      <c r="AM37" s="50">
        <f t="shared" si="21"/>
        <v>363403.98777419352</v>
      </c>
    </row>
    <row r="39" spans="1:39">
      <c r="A39" s="408" t="s">
        <v>46</v>
      </c>
      <c r="B39" s="408"/>
      <c r="C39" s="7" t="s">
        <v>57</v>
      </c>
      <c r="D39" s="6"/>
      <c r="E39" s="26">
        <f>SUM(E5:E13,E19:E20)</f>
        <v>1927020.2929999998</v>
      </c>
      <c r="F39" s="26">
        <f>SUM(F5:F13,F19:F20)</f>
        <v>1792658.9040000001</v>
      </c>
      <c r="G39" s="26">
        <f t="shared" ref="G39:P39" si="96">SUM(G5:G13,G19:G20)</f>
        <v>1653675.3560000001</v>
      </c>
      <c r="H39" s="26">
        <f t="shared" si="96"/>
        <v>1439115.7479999999</v>
      </c>
      <c r="I39" s="26">
        <f t="shared" si="96"/>
        <v>0</v>
      </c>
      <c r="J39" s="26">
        <f t="shared" si="96"/>
        <v>0</v>
      </c>
      <c r="K39" s="26">
        <f t="shared" si="96"/>
        <v>0</v>
      </c>
      <c r="L39" s="26">
        <f t="shared" si="96"/>
        <v>0</v>
      </c>
      <c r="M39" s="26">
        <f t="shared" si="96"/>
        <v>0</v>
      </c>
      <c r="N39" s="26">
        <f t="shared" si="96"/>
        <v>0</v>
      </c>
      <c r="O39" s="26">
        <f t="shared" si="96"/>
        <v>0</v>
      </c>
      <c r="P39" s="26">
        <f t="shared" si="96"/>
        <v>0</v>
      </c>
      <c r="Q39" s="26">
        <f>SUM(Q5:Q13,Q19:Q20)</f>
        <v>6812470.301</v>
      </c>
    </row>
    <row r="40" spans="1:39">
      <c r="A40" s="408" t="s">
        <v>47</v>
      </c>
      <c r="B40" s="408"/>
      <c r="C40" s="7" t="s">
        <v>57</v>
      </c>
      <c r="D40" s="6"/>
      <c r="E40" s="26">
        <f>SUM(E21:E29,E32:E33)</f>
        <v>1094056.6000000001</v>
      </c>
      <c r="F40" s="26">
        <f>SUM(F21:F29,F32:F33)</f>
        <v>1025976.22</v>
      </c>
      <c r="G40" s="26">
        <f t="shared" ref="G40:P40" si="97">SUM(G21:G29,G32:G33)</f>
        <v>1229989.72</v>
      </c>
      <c r="H40" s="26">
        <f t="shared" si="97"/>
        <v>1103030.78</v>
      </c>
      <c r="I40" s="26">
        <f t="shared" si="97"/>
        <v>0</v>
      </c>
      <c r="J40" s="26">
        <f t="shared" si="97"/>
        <v>0</v>
      </c>
      <c r="K40" s="26">
        <f t="shared" si="97"/>
        <v>0</v>
      </c>
      <c r="L40" s="26">
        <f t="shared" si="97"/>
        <v>0</v>
      </c>
      <c r="M40" s="26">
        <f t="shared" si="97"/>
        <v>0</v>
      </c>
      <c r="N40" s="26">
        <f t="shared" si="97"/>
        <v>0</v>
      </c>
      <c r="O40" s="26">
        <f t="shared" si="97"/>
        <v>0</v>
      </c>
      <c r="P40" s="26">
        <f t="shared" si="97"/>
        <v>0</v>
      </c>
      <c r="Q40" s="26">
        <f>SUM(Q21:Q29,Q32:Q33)</f>
        <v>4453053.32</v>
      </c>
    </row>
    <row r="43" spans="1:39" ht="15.5">
      <c r="A43" s="423" t="s">
        <v>62</v>
      </c>
      <c r="B43" s="423"/>
      <c r="C43" s="423"/>
      <c r="D43" s="423"/>
      <c r="E43" s="423"/>
      <c r="F43" s="423"/>
      <c r="G43" s="423"/>
      <c r="H43" s="423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23"/>
    </row>
    <row r="44" spans="1:39">
      <c r="A44" s="1"/>
      <c r="B44" s="2" t="s">
        <v>2</v>
      </c>
      <c r="C44" s="2" t="s">
        <v>3</v>
      </c>
      <c r="D44" s="23" t="s">
        <v>4</v>
      </c>
      <c r="E44" s="3">
        <v>46023</v>
      </c>
      <c r="F44" s="3">
        <v>46054</v>
      </c>
      <c r="G44" s="3">
        <v>46082</v>
      </c>
      <c r="H44" s="3">
        <v>46113</v>
      </c>
      <c r="I44" s="3">
        <v>46143</v>
      </c>
      <c r="J44" s="3">
        <v>46174</v>
      </c>
      <c r="K44" s="3">
        <v>46204</v>
      </c>
      <c r="L44" s="3">
        <v>46235</v>
      </c>
      <c r="M44" s="3">
        <v>46266</v>
      </c>
      <c r="N44" s="3">
        <v>46296</v>
      </c>
      <c r="O44" s="3">
        <v>46327</v>
      </c>
      <c r="P44" s="3">
        <v>46357</v>
      </c>
      <c r="Q44" s="4" t="s">
        <v>55</v>
      </c>
      <c r="R44" s="5" t="s">
        <v>5</v>
      </c>
      <c r="S44" s="5" t="s">
        <v>6</v>
      </c>
      <c r="T44" s="5" t="s">
        <v>7</v>
      </c>
      <c r="U44" s="5" t="s">
        <v>8</v>
      </c>
      <c r="V44" s="5" t="s">
        <v>9</v>
      </c>
      <c r="W44" s="5" t="s">
        <v>10</v>
      </c>
    </row>
    <row r="45" spans="1:39">
      <c r="A45" s="414" t="s">
        <v>12</v>
      </c>
      <c r="B45" s="6" t="s">
        <v>13</v>
      </c>
      <c r="C45" s="6" t="s">
        <v>63</v>
      </c>
      <c r="D45" s="248">
        <v>3.73</v>
      </c>
      <c r="E45" s="11">
        <f>E3/Production!E3</f>
        <v>3.5877548419979615</v>
      </c>
      <c r="F45" s="84">
        <f>F3/Production!F3</f>
        <v>3.6169809647808782</v>
      </c>
      <c r="G45" s="84">
        <f>G3/Production!G3</f>
        <v>3.7255753527900497</v>
      </c>
      <c r="H45" s="84">
        <f>H3/Production!H3</f>
        <v>3.6294459544219109</v>
      </c>
      <c r="I45" s="84" t="e">
        <f>I3/Production!I3</f>
        <v>#DIV/0!</v>
      </c>
      <c r="J45" s="84" t="e">
        <f>J3/Production!J3</f>
        <v>#DIV/0!</v>
      </c>
      <c r="K45" s="84" t="e">
        <f>K3/Production!K3</f>
        <v>#DIV/0!</v>
      </c>
      <c r="L45" s="84" t="e">
        <f>L3/Production!L3</f>
        <v>#DIV/0!</v>
      </c>
      <c r="M45" s="84" t="e">
        <f>M3/Production!M3</f>
        <v>#DIV/0!</v>
      </c>
      <c r="N45" s="84" t="e">
        <f>N3/Production!N3</f>
        <v>#DIV/0!</v>
      </c>
      <c r="O45" s="84" t="e">
        <f>O3/Production!O3</f>
        <v>#DIV/0!</v>
      </c>
      <c r="P45" s="84" t="e">
        <f>P3/Production!P3</f>
        <v>#DIV/0!</v>
      </c>
      <c r="Q45" s="11">
        <f>Q3/Production!Q3</f>
        <v>3.6408549095081559</v>
      </c>
      <c r="R45" s="11"/>
      <c r="S45" s="11"/>
      <c r="T45" s="11"/>
      <c r="U45" s="11"/>
      <c r="V45" s="11"/>
      <c r="W45" s="11"/>
    </row>
    <row r="46" spans="1:39">
      <c r="A46" s="415"/>
      <c r="B46" s="6" t="s">
        <v>15</v>
      </c>
      <c r="C46" s="6" t="s">
        <v>63</v>
      </c>
      <c r="D46" s="6">
        <v>3.6</v>
      </c>
      <c r="E46" s="11">
        <f>E4/Production!E4</f>
        <v>3.1732501011117331</v>
      </c>
      <c r="F46" s="84">
        <f>F4/Production!F4</f>
        <v>3.2878519841243889</v>
      </c>
      <c r="G46" s="84">
        <f>G4/Production!G4</f>
        <v>4.5749164522187318</v>
      </c>
      <c r="H46" s="84">
        <f>H4/Production!H4</f>
        <v>6.7044270249460309</v>
      </c>
      <c r="I46" s="84" t="e">
        <f>I4/Production!I4</f>
        <v>#DIV/0!</v>
      </c>
      <c r="J46" s="84" t="e">
        <f>J4/Production!J4</f>
        <v>#DIV/0!</v>
      </c>
      <c r="K46" s="84" t="e">
        <f>K4/Production!K4</f>
        <v>#DIV/0!</v>
      </c>
      <c r="L46" s="84" t="e">
        <f>L4/Production!L4</f>
        <v>#DIV/0!</v>
      </c>
      <c r="M46" s="84" t="e">
        <f>M4/Production!M4</f>
        <v>#DIV/0!</v>
      </c>
      <c r="N46" s="84" t="e">
        <f>N4/Production!N4</f>
        <v>#DIV/0!</v>
      </c>
      <c r="O46" s="84" t="e">
        <f>O4/Production!O4</f>
        <v>#DIV/0!</v>
      </c>
      <c r="P46" s="84" t="e">
        <f>P4/Production!P4</f>
        <v>#DIV/0!</v>
      </c>
      <c r="Q46" s="11">
        <f>Q4/Production!Q4</f>
        <v>3.4861505415329637</v>
      </c>
      <c r="R46" s="11"/>
      <c r="S46" s="11"/>
      <c r="T46" s="11"/>
      <c r="U46" s="11"/>
      <c r="V46" s="11"/>
      <c r="W46" s="11"/>
    </row>
    <row r="47" spans="1:39">
      <c r="A47" s="415"/>
      <c r="B47" s="2" t="s">
        <v>16</v>
      </c>
      <c r="C47" s="7" t="s">
        <v>63</v>
      </c>
      <c r="D47" s="6">
        <v>3.67</v>
      </c>
      <c r="E47" s="11">
        <f>E5/Production!E5</f>
        <v>3.4205536136327899</v>
      </c>
      <c r="F47" s="11">
        <f>F5/Production!F5</f>
        <v>3.4840063623293149</v>
      </c>
      <c r="G47" s="11">
        <f>G5/Production!G5</f>
        <v>3.8816746061567904</v>
      </c>
      <c r="H47" s="11">
        <f>H5/Production!H5</f>
        <v>3.7063286427447011</v>
      </c>
      <c r="I47" s="11" t="e">
        <f>I5/Production!I5</f>
        <v>#DIV/0!</v>
      </c>
      <c r="J47" s="11" t="e">
        <f>J5/Production!J5</f>
        <v>#DIV/0!</v>
      </c>
      <c r="K47" s="11" t="e">
        <f>K5/Production!K5</f>
        <v>#DIV/0!</v>
      </c>
      <c r="L47" s="11" t="e">
        <f>L5/Production!L5</f>
        <v>#DIV/0!</v>
      </c>
      <c r="M47" s="11" t="e">
        <f>M5/Production!M5</f>
        <v>#DIV/0!</v>
      </c>
      <c r="N47" s="11" t="e">
        <f>N5/Production!N5</f>
        <v>#DIV/0!</v>
      </c>
      <c r="O47" s="11" t="e">
        <f>O5/Production!O5</f>
        <v>#DIV/0!</v>
      </c>
      <c r="P47" s="11" t="e">
        <f>P5/Production!P5</f>
        <v>#DIV/0!</v>
      </c>
      <c r="Q47" s="11">
        <f>Q5/Production!Q5</f>
        <v>3.5972478945198052</v>
      </c>
      <c r="R47" s="11"/>
      <c r="S47" s="11"/>
      <c r="T47" s="11"/>
      <c r="U47" s="11"/>
      <c r="V47" s="11"/>
      <c r="W47" s="11"/>
    </row>
    <row r="48" spans="1:39">
      <c r="A48" s="415"/>
      <c r="B48" s="2" t="s">
        <v>17</v>
      </c>
      <c r="C48" s="7" t="s">
        <v>63</v>
      </c>
      <c r="D48" s="6">
        <v>2.84</v>
      </c>
      <c r="E48" s="11">
        <f>E6/Production!E6</f>
        <v>2.5922299043482901</v>
      </c>
      <c r="F48" s="11">
        <f>F6/Production!F6</f>
        <v>2.6596709994507952</v>
      </c>
      <c r="G48" s="11">
        <f>G6/Production!G6</f>
        <v>2.7016469523797957</v>
      </c>
      <c r="H48" s="11">
        <f>H6/Production!H6</f>
        <v>2.8829827918169428</v>
      </c>
      <c r="I48" s="11" t="e">
        <f>I6/Production!I6</f>
        <v>#DIV/0!</v>
      </c>
      <c r="J48" s="11" t="e">
        <f>J6/Production!J6</f>
        <v>#DIV/0!</v>
      </c>
      <c r="K48" s="11" t="e">
        <f>K6/Production!K6</f>
        <v>#DIV/0!</v>
      </c>
      <c r="L48" s="11" t="e">
        <f>L6/Production!L6</f>
        <v>#DIV/0!</v>
      </c>
      <c r="M48" s="11" t="e">
        <f>M6/Production!M6</f>
        <v>#DIV/0!</v>
      </c>
      <c r="N48" s="11" t="e">
        <f>N6/Production!N6</f>
        <v>#DIV/0!</v>
      </c>
      <c r="O48" s="11" t="e">
        <f>O6/Production!O6</f>
        <v>#DIV/0!</v>
      </c>
      <c r="P48" s="11" t="e">
        <f>P6/Production!P6</f>
        <v>#DIV/0!</v>
      </c>
      <c r="Q48" s="11">
        <f>Q6/Production!Q6</f>
        <v>2.7015614160778463</v>
      </c>
      <c r="R48" s="11"/>
      <c r="S48" s="11"/>
      <c r="T48" s="11"/>
      <c r="U48" s="11"/>
      <c r="V48" s="11"/>
      <c r="W48" s="11"/>
    </row>
    <row r="49" spans="1:25">
      <c r="A49" s="415"/>
      <c r="B49" s="2" t="s">
        <v>18</v>
      </c>
      <c r="C49" s="7" t="s">
        <v>63</v>
      </c>
      <c r="D49" s="6">
        <v>1.78</v>
      </c>
      <c r="E49" s="11">
        <f>E7/Production!E7</f>
        <v>1.9362148470107363</v>
      </c>
      <c r="F49" s="11">
        <f>F7/Production!F7</f>
        <v>1.850514131218457</v>
      </c>
      <c r="G49" s="11">
        <f>G7/Production!G7</f>
        <v>2.0346453672896034</v>
      </c>
      <c r="H49" s="11">
        <f>H7/Production!H7</f>
        <v>2.1238693862728484</v>
      </c>
      <c r="I49" s="11" t="e">
        <f>I7/Production!I7</f>
        <v>#DIV/0!</v>
      </c>
      <c r="J49" s="11" t="e">
        <f>J7/Production!J7</f>
        <v>#DIV/0!</v>
      </c>
      <c r="K49" s="11" t="e">
        <f>K7/Production!K7</f>
        <v>#DIV/0!</v>
      </c>
      <c r="L49" s="11" t="e">
        <f>L7/Production!L7</f>
        <v>#DIV/0!</v>
      </c>
      <c r="M49" s="11" t="e">
        <f>M7/Production!M7</f>
        <v>#DIV/0!</v>
      </c>
      <c r="N49" s="11" t="e">
        <f>N7/Production!N7</f>
        <v>#DIV/0!</v>
      </c>
      <c r="O49" s="11" t="e">
        <f>O7/Production!O7</f>
        <v>#DIV/0!</v>
      </c>
      <c r="P49" s="11" t="e">
        <f>P7/Production!P7</f>
        <v>#DIV/0!</v>
      </c>
      <c r="Q49" s="11">
        <f>Q7/Production!Q7</f>
        <v>1.9715126162211825</v>
      </c>
      <c r="R49" s="11"/>
      <c r="S49" s="11"/>
      <c r="T49" s="11"/>
      <c r="U49" s="11"/>
      <c r="V49" s="11"/>
      <c r="W49" s="11"/>
    </row>
    <row r="50" spans="1:25">
      <c r="A50" s="415"/>
      <c r="B50" s="2" t="s">
        <v>19</v>
      </c>
      <c r="C50" s="7" t="s">
        <v>63</v>
      </c>
      <c r="D50" s="6">
        <v>1.47</v>
      </c>
      <c r="E50" s="11">
        <f>E8/Production!E8</f>
        <v>1.3652709992293861</v>
      </c>
      <c r="F50" s="11">
        <f>F8/Production!F8</f>
        <v>1.222603579308654</v>
      </c>
      <c r="G50" s="11">
        <f>G8/Production!G8</f>
        <v>1.1636927851047323</v>
      </c>
      <c r="H50" s="11">
        <f>H8/Production!H8</f>
        <v>1.1894993894993895</v>
      </c>
      <c r="I50" s="11" t="e">
        <f>I8/Production!I8</f>
        <v>#DIV/0!</v>
      </c>
      <c r="J50" s="11" t="e">
        <f>J8/Production!J8</f>
        <v>#DIV/0!</v>
      </c>
      <c r="K50" s="11" t="e">
        <f>K8/Production!K8</f>
        <v>#DIV/0!</v>
      </c>
      <c r="L50" s="11" t="e">
        <f>L8/Production!L8</f>
        <v>#DIV/0!</v>
      </c>
      <c r="M50" s="11" t="e">
        <f>M8/Production!M8</f>
        <v>#DIV/0!</v>
      </c>
      <c r="N50" s="11" t="e">
        <f>N8/Production!N8</f>
        <v>#DIV/0!</v>
      </c>
      <c r="O50" s="11" t="e">
        <f>O8/Production!O8</f>
        <v>#DIV/0!</v>
      </c>
      <c r="P50" s="11" t="e">
        <f>P8/Production!P8</f>
        <v>#DIV/0!</v>
      </c>
      <c r="Q50" s="11">
        <f>Q8/Production!Q8</f>
        <v>1.2293444812169774</v>
      </c>
      <c r="R50" s="11"/>
      <c r="S50" s="11"/>
      <c r="T50" s="11"/>
      <c r="U50" s="11"/>
      <c r="V50" s="11"/>
      <c r="W50" s="11"/>
    </row>
    <row r="51" spans="1:25">
      <c r="A51" s="415"/>
      <c r="B51" s="2" t="s">
        <v>20</v>
      </c>
      <c r="C51" s="7" t="s">
        <v>63</v>
      </c>
      <c r="D51" s="6">
        <v>0.84</v>
      </c>
      <c r="E51" s="11">
        <f>E9/Production!E9</f>
        <v>0.60216347660411895</v>
      </c>
      <c r="F51" s="11">
        <f>F9/Production!F9</f>
        <v>0.58766035430665853</v>
      </c>
      <c r="G51" s="11">
        <f>G9/Production!G9</f>
        <v>0.63309352517985606</v>
      </c>
      <c r="H51" s="11">
        <f>H9/Production!H9</f>
        <v>0.69656488549618323</v>
      </c>
      <c r="I51" s="11" t="e">
        <f>I9/Production!I9</f>
        <v>#DIV/0!</v>
      </c>
      <c r="J51" s="11" t="e">
        <f>J9/Production!J9</f>
        <v>#DIV/0!</v>
      </c>
      <c r="K51" s="11" t="e">
        <f>K9/Production!K9</f>
        <v>#DIV/0!</v>
      </c>
      <c r="L51" s="11" t="e">
        <f>L9/Production!L9</f>
        <v>#DIV/0!</v>
      </c>
      <c r="M51" s="11" t="e">
        <f>M9/Production!M9</f>
        <v>#DIV/0!</v>
      </c>
      <c r="N51" s="11" t="e">
        <f>N9/Production!N9</f>
        <v>#DIV/0!</v>
      </c>
      <c r="O51" s="11" t="e">
        <f>O9/Production!O9</f>
        <v>#DIV/0!</v>
      </c>
      <c r="P51" s="11" t="e">
        <f>P9/Production!P9</f>
        <v>#DIV/0!</v>
      </c>
      <c r="Q51" s="11">
        <f>Q9/Production!Q9</f>
        <v>0.62727468689374222</v>
      </c>
      <c r="R51" s="11"/>
      <c r="S51" s="11"/>
      <c r="T51" s="11"/>
      <c r="U51" s="11"/>
      <c r="V51" s="11"/>
      <c r="W51" s="11"/>
    </row>
    <row r="52" spans="1:25">
      <c r="A52" s="415"/>
      <c r="B52" s="2" t="s">
        <v>21</v>
      </c>
      <c r="C52" s="7" t="s">
        <v>63</v>
      </c>
      <c r="D52" s="6">
        <v>0.14000000000000001</v>
      </c>
      <c r="E52" s="11">
        <f>E10/Production!E10</f>
        <v>7.4943101323118003E-2</v>
      </c>
      <c r="F52" s="11">
        <f>F10/Production!F10</f>
        <v>0.12578823010779525</v>
      </c>
      <c r="G52" s="11">
        <f>G10/Production!G10</f>
        <v>8.1283163596230015E-2</v>
      </c>
      <c r="H52" s="11">
        <f>H10/Production!H10</f>
        <v>0.1276155529365389</v>
      </c>
      <c r="I52" s="11" t="e">
        <f>I10/Production!I10</f>
        <v>#DIV/0!</v>
      </c>
      <c r="J52" s="11" t="e">
        <f>J10/Production!J10</f>
        <v>#DIV/0!</v>
      </c>
      <c r="K52" s="11" t="e">
        <f>K10/Production!K10</f>
        <v>#DIV/0!</v>
      </c>
      <c r="L52" s="11" t="e">
        <f>L10/Production!L10</f>
        <v>#DIV/0!</v>
      </c>
      <c r="M52" s="11" t="e">
        <f>M10/Production!M10</f>
        <v>#DIV/0!</v>
      </c>
      <c r="N52" s="11" t="e">
        <f>N10/Production!N10</f>
        <v>#DIV/0!</v>
      </c>
      <c r="O52" s="11" t="e">
        <f>O10/Production!O10</f>
        <v>#DIV/0!</v>
      </c>
      <c r="P52" s="11" t="e">
        <f>P10/Production!P10</f>
        <v>#DIV/0!</v>
      </c>
      <c r="Q52" s="11">
        <f>Q10/Production!Q10</f>
        <v>0.10001944299688888</v>
      </c>
      <c r="R52" s="11"/>
      <c r="S52" s="11"/>
      <c r="T52" s="11"/>
      <c r="U52" s="11"/>
      <c r="V52" s="11"/>
      <c r="W52" s="11"/>
    </row>
    <row r="53" spans="1:25">
      <c r="A53" s="415"/>
      <c r="B53" s="2" t="s">
        <v>22</v>
      </c>
      <c r="C53" s="7" t="s">
        <v>63</v>
      </c>
      <c r="D53" s="6">
        <v>5.21</v>
      </c>
      <c r="E53" s="11">
        <f>E11/Production!E11</f>
        <v>4.1392240172386501</v>
      </c>
      <c r="F53" s="11">
        <f>F11/Production!F11</f>
        <v>3.4873515242534769</v>
      </c>
      <c r="G53" s="11">
        <f>G11/Production!G11</f>
        <v>3.1759196019123812</v>
      </c>
      <c r="H53" s="11">
        <f>H11/Production!H11</f>
        <v>4.7332458482284263</v>
      </c>
      <c r="I53" s="11" t="e">
        <f>I11/Production!I11</f>
        <v>#DIV/0!</v>
      </c>
      <c r="J53" s="11" t="e">
        <f>J11/Production!J11</f>
        <v>#DIV/0!</v>
      </c>
      <c r="K53" s="11" t="e">
        <f>K11/Production!K11</f>
        <v>#DIV/0!</v>
      </c>
      <c r="L53" s="11" t="e">
        <f>L11/Production!L11</f>
        <v>#DIV/0!</v>
      </c>
      <c r="M53" s="11" t="e">
        <f>M11/Production!M11</f>
        <v>#DIV/0!</v>
      </c>
      <c r="N53" s="11" t="e">
        <f>N11/Production!N11</f>
        <v>#DIV/0!</v>
      </c>
      <c r="O53" s="11" t="e">
        <f>O11/Production!O11</f>
        <v>#DIV/0!</v>
      </c>
      <c r="P53" s="11" t="e">
        <f>P11/Production!P11</f>
        <v>#DIV/0!</v>
      </c>
      <c r="Q53" s="11">
        <f>Q11/Production!Q11</f>
        <v>3.8779971481158091</v>
      </c>
      <c r="R53" s="11"/>
      <c r="S53" s="11"/>
      <c r="T53" s="11"/>
      <c r="U53" s="11"/>
      <c r="V53" s="11"/>
      <c r="W53" s="11"/>
    </row>
    <row r="54" spans="1:25">
      <c r="A54" s="415"/>
      <c r="B54" s="245" t="s">
        <v>23</v>
      </c>
      <c r="C54" s="7" t="s">
        <v>63</v>
      </c>
      <c r="D54" s="6">
        <v>2.84</v>
      </c>
      <c r="E54" s="11">
        <f>E12/Production!E12</f>
        <v>0.47553288214773476</v>
      </c>
      <c r="F54" s="11">
        <f>F12/Production!F12</f>
        <v>0.48830667708159931</v>
      </c>
      <c r="G54" s="11">
        <f>G12/Production!G12</f>
        <v>0.63670448842221283</v>
      </c>
      <c r="H54" s="11">
        <f>H12/Production!H12</f>
        <v>0.49931318322600188</v>
      </c>
      <c r="I54" s="11" t="e">
        <f>I12/Production!I12</f>
        <v>#DIV/0!</v>
      </c>
      <c r="J54" s="11" t="e">
        <f>J12/Production!J12</f>
        <v>#DIV/0!</v>
      </c>
      <c r="K54" s="11" t="e">
        <f>K12/Production!K12</f>
        <v>#DIV/0!</v>
      </c>
      <c r="L54" s="11" t="e">
        <f>L12/Production!L12</f>
        <v>#DIV/0!</v>
      </c>
      <c r="M54" s="11" t="e">
        <f>M12/Production!M12</f>
        <v>#DIV/0!</v>
      </c>
      <c r="N54" s="11" t="e">
        <f>N12/Production!N12</f>
        <v>#DIV/0!</v>
      </c>
      <c r="O54" s="11" t="e">
        <f>O12/Production!O12</f>
        <v>#DIV/0!</v>
      </c>
      <c r="P54" s="11" t="e">
        <f>P12/Production!P12</f>
        <v>#DIV/0!</v>
      </c>
      <c r="Q54" s="11">
        <f>Q12/Production!Q12</f>
        <v>0.52072178947096959</v>
      </c>
      <c r="R54" s="11"/>
      <c r="S54" s="11"/>
      <c r="T54" s="11"/>
      <c r="U54" s="11"/>
      <c r="V54" s="11"/>
      <c r="W54" s="11"/>
    </row>
    <row r="55" spans="1:25">
      <c r="A55" s="415"/>
      <c r="B55" s="2" t="s">
        <v>58</v>
      </c>
      <c r="C55" s="7" t="s">
        <v>57</v>
      </c>
      <c r="D55" s="207">
        <v>13583.333333333334</v>
      </c>
      <c r="E55" s="11">
        <f>E13</f>
        <v>4456.18</v>
      </c>
      <c r="F55" s="11">
        <f t="shared" ref="F55:Q55" si="98">F13</f>
        <v>3336.78</v>
      </c>
      <c r="G55" s="11">
        <f t="shared" si="98"/>
        <v>4341.72</v>
      </c>
      <c r="H55" s="11">
        <f t="shared" si="98"/>
        <v>54149.3</v>
      </c>
      <c r="I55" s="11">
        <f t="shared" si="98"/>
        <v>0</v>
      </c>
      <c r="J55" s="11">
        <f t="shared" si="98"/>
        <v>0</v>
      </c>
      <c r="K55" s="11">
        <f t="shared" si="98"/>
        <v>0</v>
      </c>
      <c r="L55" s="11">
        <f t="shared" si="98"/>
        <v>0</v>
      </c>
      <c r="M55" s="11">
        <f t="shared" si="98"/>
        <v>0</v>
      </c>
      <c r="N55" s="11">
        <f t="shared" si="98"/>
        <v>0</v>
      </c>
      <c r="O55" s="11">
        <f t="shared" si="98"/>
        <v>0</v>
      </c>
      <c r="P55" s="11">
        <f t="shared" si="98"/>
        <v>0</v>
      </c>
      <c r="Q55" s="11">
        <f t="shared" si="98"/>
        <v>66283.98000000001</v>
      </c>
      <c r="R55" s="11"/>
      <c r="S55" s="11"/>
      <c r="T55" s="11"/>
      <c r="U55" s="11"/>
      <c r="V55" s="11"/>
      <c r="W55" s="11"/>
      <c r="X55" s="50">
        <v>163000</v>
      </c>
      <c r="Y55" s="197">
        <f>X55/12</f>
        <v>13583.333333333334</v>
      </c>
    </row>
    <row r="56" spans="1:25">
      <c r="A56" s="415"/>
      <c r="B56" s="7" t="s">
        <v>24</v>
      </c>
      <c r="C56" s="7" t="s">
        <v>63</v>
      </c>
      <c r="D56" s="6">
        <v>5.62</v>
      </c>
      <c r="E56" s="11">
        <f>E14/Production!E13</f>
        <v>4.9070173441117308</v>
      </c>
      <c r="F56" s="11">
        <f>F14/Production!F13</f>
        <v>5.5068903063233323</v>
      </c>
      <c r="G56" s="11">
        <f>G14/Production!G13</f>
        <v>6.6016851623510071</v>
      </c>
      <c r="H56" s="11">
        <f>H14/Production!H13</f>
        <v>6.4067062139761877</v>
      </c>
      <c r="I56" s="11" t="e">
        <f>I14/Production!I13</f>
        <v>#DIV/0!</v>
      </c>
      <c r="J56" s="11" t="e">
        <f>J14/Production!J13</f>
        <v>#DIV/0!</v>
      </c>
      <c r="K56" s="11" t="e">
        <f>K14/Production!K13</f>
        <v>#DIV/0!</v>
      </c>
      <c r="L56" s="11" t="e">
        <f>L14/Production!L13</f>
        <v>#DIV/0!</v>
      </c>
      <c r="M56" s="11" t="e">
        <f>M14/Production!M13</f>
        <v>#DIV/0!</v>
      </c>
      <c r="N56" s="11" t="e">
        <f>N14/Production!N13</f>
        <v>#DIV/0!</v>
      </c>
      <c r="O56" s="11" t="e">
        <f>O14/Production!O13</f>
        <v>#DIV/0!</v>
      </c>
      <c r="P56" s="11" t="e">
        <f>P14/Production!P13</f>
        <v>#DIV/0!</v>
      </c>
      <c r="Q56" s="11">
        <f>Q14/Production!Q13</f>
        <v>5.829567534002364</v>
      </c>
      <c r="R56" s="11"/>
      <c r="S56" s="11"/>
      <c r="T56" s="11"/>
      <c r="U56" s="11"/>
      <c r="V56" s="11"/>
      <c r="W56" s="11"/>
    </row>
    <row r="57" spans="1:25">
      <c r="A57" s="415"/>
      <c r="B57" s="7" t="s">
        <v>25</v>
      </c>
      <c r="C57" s="7" t="s">
        <v>63</v>
      </c>
      <c r="D57" s="6">
        <v>0.57999999999999996</v>
      </c>
      <c r="E57" s="11">
        <f>E15/Production!E14</f>
        <v>0.48414352012877659</v>
      </c>
      <c r="F57" s="11">
        <f>F15/Production!F14</f>
        <v>0.4572607012595446</v>
      </c>
      <c r="G57" s="11">
        <f>G15/Production!G14</f>
        <v>0.50712137431904836</v>
      </c>
      <c r="H57" s="11">
        <f>H15/Production!H14</f>
        <v>0.53600553293736641</v>
      </c>
      <c r="I57" s="11" t="e">
        <f>I15/Production!I14</f>
        <v>#DIV/0!</v>
      </c>
      <c r="J57" s="11" t="e">
        <f>J15/Production!J14</f>
        <v>#DIV/0!</v>
      </c>
      <c r="K57" s="11" t="e">
        <f>K15/Production!K14</f>
        <v>#DIV/0!</v>
      </c>
      <c r="L57" s="11" t="e">
        <f>L15/Production!L14</f>
        <v>#DIV/0!</v>
      </c>
      <c r="M57" s="11" t="e">
        <f>M15/Production!M14</f>
        <v>#DIV/0!</v>
      </c>
      <c r="N57" s="11" t="e">
        <f>N15/Production!N14</f>
        <v>#DIV/0!</v>
      </c>
      <c r="O57" s="11" t="e">
        <f>O15/Production!O14</f>
        <v>#DIV/0!</v>
      </c>
      <c r="P57" s="11" t="e">
        <f>P15/Production!P14</f>
        <v>#DIV/0!</v>
      </c>
      <c r="Q57" s="11">
        <f>Q15/Production!Q14</f>
        <v>0.49520600994320657</v>
      </c>
      <c r="R57" s="11"/>
      <c r="S57" s="11"/>
      <c r="T57" s="11"/>
      <c r="U57" s="11"/>
      <c r="V57" s="11"/>
      <c r="W57" s="11"/>
    </row>
    <row r="58" spans="1:25">
      <c r="A58" s="415"/>
      <c r="B58" s="7" t="s">
        <v>26</v>
      </c>
      <c r="C58" s="7" t="s">
        <v>63</v>
      </c>
      <c r="D58" s="6">
        <v>1.23</v>
      </c>
      <c r="E58" s="11">
        <f>E16/Production!E15</f>
        <v>2.151290945440254</v>
      </c>
      <c r="F58" s="11">
        <f>F16/Production!F15</f>
        <v>2.4002239275967439</v>
      </c>
      <c r="G58" s="11">
        <f>G16/Production!G15</f>
        <v>1.2785056898036904</v>
      </c>
      <c r="H58" s="11">
        <f>H16/Production!H15</f>
        <v>1.5298962076463967</v>
      </c>
      <c r="I58" s="11" t="e">
        <f>I16/Production!I15</f>
        <v>#DIV/0!</v>
      </c>
      <c r="J58" s="11" t="e">
        <f>J16/Production!J15</f>
        <v>#DIV/0!</v>
      </c>
      <c r="K58" s="11" t="e">
        <f>K16/Production!K15</f>
        <v>#DIV/0!</v>
      </c>
      <c r="L58" s="11" t="e">
        <f>L16/Production!L15</f>
        <v>#DIV/0!</v>
      </c>
      <c r="M58" s="11" t="e">
        <f>M16/Production!M15</f>
        <v>#DIV/0!</v>
      </c>
      <c r="N58" s="11" t="e">
        <f>N16/Production!N15</f>
        <v>#DIV/0!</v>
      </c>
      <c r="O58" s="11" t="e">
        <f>O16/Production!O15</f>
        <v>#DIV/0!</v>
      </c>
      <c r="P58" s="11" t="e">
        <f>P16/Production!P15</f>
        <v>#DIV/0!</v>
      </c>
      <c r="Q58" s="11">
        <f>Q16/Production!Q15</f>
        <v>1.7322754192161531</v>
      </c>
      <c r="R58" s="11"/>
      <c r="S58" s="11"/>
      <c r="T58" s="11"/>
      <c r="U58" s="11"/>
      <c r="V58" s="11"/>
      <c r="W58" s="11"/>
    </row>
    <row r="59" spans="1:25">
      <c r="A59" s="415"/>
      <c r="B59" s="7" t="s">
        <v>27</v>
      </c>
      <c r="C59" s="7" t="s">
        <v>63</v>
      </c>
      <c r="D59" s="6">
        <v>2.86</v>
      </c>
      <c r="E59" s="11">
        <f>E17/Production!E16</f>
        <v>2.6172418242555446</v>
      </c>
      <c r="F59" s="11">
        <f>F17/Production!F16</f>
        <v>2.2593306514694382</v>
      </c>
      <c r="G59" s="11">
        <f>G17/Production!G16</f>
        <v>2.4402443578936137</v>
      </c>
      <c r="H59" s="11">
        <f>H17/Production!H16</f>
        <v>2.6424741825306826</v>
      </c>
      <c r="I59" s="11" t="e">
        <f>I17/Production!I16</f>
        <v>#DIV/0!</v>
      </c>
      <c r="J59" s="11" t="e">
        <f>J17/Production!J16</f>
        <v>#DIV/0!</v>
      </c>
      <c r="K59" s="11" t="e">
        <f>K17/Production!K16</f>
        <v>#DIV/0!</v>
      </c>
      <c r="L59" s="11" t="e">
        <f>L17/Production!L16</f>
        <v>#DIV/0!</v>
      </c>
      <c r="M59" s="11" t="e">
        <f>M17/Production!M16</f>
        <v>#DIV/0!</v>
      </c>
      <c r="N59" s="11" t="e">
        <f>N17/Production!N16</f>
        <v>#DIV/0!</v>
      </c>
      <c r="O59" s="11" t="e">
        <f>O17/Production!O16</f>
        <v>#DIV/0!</v>
      </c>
      <c r="P59" s="11" t="e">
        <f>P17/Production!P16</f>
        <v>#DIV/0!</v>
      </c>
      <c r="Q59" s="11">
        <f>Q17/Production!Q16</f>
        <v>2.4899725437675038</v>
      </c>
      <c r="R59" s="11"/>
      <c r="S59" s="11"/>
      <c r="T59" s="11"/>
      <c r="U59" s="11"/>
      <c r="V59" s="11"/>
      <c r="W59" s="11"/>
    </row>
    <row r="60" spans="1:25">
      <c r="A60" s="416"/>
      <c r="B60" s="7" t="s">
        <v>59</v>
      </c>
      <c r="C60" s="7" t="s">
        <v>57</v>
      </c>
      <c r="D60" s="262">
        <v>3016.6666666666665</v>
      </c>
      <c r="E60" s="11">
        <f>E18</f>
        <v>705</v>
      </c>
      <c r="F60" s="11">
        <f t="shared" ref="F60:Q60" si="99">F18</f>
        <v>10472</v>
      </c>
      <c r="G60" s="11">
        <f t="shared" si="99"/>
        <v>741</v>
      </c>
      <c r="H60" s="11">
        <f t="shared" si="99"/>
        <v>951</v>
      </c>
      <c r="I60" s="11">
        <f t="shared" si="99"/>
        <v>0</v>
      </c>
      <c r="J60" s="11">
        <f t="shared" si="99"/>
        <v>0</v>
      </c>
      <c r="K60" s="11">
        <f t="shared" si="99"/>
        <v>0</v>
      </c>
      <c r="L60" s="11">
        <f t="shared" si="99"/>
        <v>0</v>
      </c>
      <c r="M60" s="11">
        <f t="shared" si="99"/>
        <v>0</v>
      </c>
      <c r="N60" s="11">
        <f t="shared" si="99"/>
        <v>0</v>
      </c>
      <c r="O60" s="11">
        <f t="shared" si="99"/>
        <v>0</v>
      </c>
      <c r="P60" s="11">
        <f t="shared" si="99"/>
        <v>0</v>
      </c>
      <c r="Q60" s="11">
        <f t="shared" si="99"/>
        <v>12869</v>
      </c>
      <c r="R60" s="11"/>
      <c r="S60" s="11"/>
      <c r="T60" s="11"/>
      <c r="U60" s="11"/>
      <c r="V60" s="11"/>
      <c r="W60" s="11"/>
      <c r="X60" s="221">
        <v>36200</v>
      </c>
      <c r="Y60" s="197">
        <f>X60/12</f>
        <v>3016.6666666666665</v>
      </c>
    </row>
    <row r="61" spans="1:25">
      <c r="A61" s="414" t="s">
        <v>28</v>
      </c>
      <c r="B61" s="2" t="s">
        <v>29</v>
      </c>
      <c r="C61" s="7" t="s">
        <v>63</v>
      </c>
      <c r="D61" s="6">
        <v>0.68</v>
      </c>
      <c r="E61" s="11">
        <f>E21/Production!E17</f>
        <v>0.5385640930871074</v>
      </c>
      <c r="F61" s="11">
        <f>F21/Production!F17</f>
        <v>0.39583177149711368</v>
      </c>
      <c r="G61" s="11">
        <f>G21/Production!G17</f>
        <v>0.36557677753691042</v>
      </c>
      <c r="H61" s="11">
        <f>H21/Production!H17</f>
        <v>0.39567673560857181</v>
      </c>
      <c r="I61" s="11" t="e">
        <f>I21/Production!I17</f>
        <v>#DIV/0!</v>
      </c>
      <c r="J61" s="11" t="e">
        <f>J21/Production!J17</f>
        <v>#DIV/0!</v>
      </c>
      <c r="K61" s="11" t="e">
        <f>K21/Production!K17</f>
        <v>#DIV/0!</v>
      </c>
      <c r="L61" s="11" t="e">
        <f>L21/Production!L17</f>
        <v>#DIV/0!</v>
      </c>
      <c r="M61" s="11" t="e">
        <f>M21/Production!M17</f>
        <v>#DIV/0!</v>
      </c>
      <c r="N61" s="11" t="e">
        <f>N21/Production!N17</f>
        <v>#DIV/0!</v>
      </c>
      <c r="O61" s="11" t="e">
        <f>O21/Production!O17</f>
        <v>#DIV/0!</v>
      </c>
      <c r="P61" s="11" t="e">
        <f>P21/Production!P17</f>
        <v>#DIV/0!</v>
      </c>
      <c r="Q61" s="11">
        <f>Q21/Production!Q17</f>
        <v>0.4234090307657627</v>
      </c>
      <c r="R61" s="11"/>
      <c r="S61" s="11"/>
      <c r="T61" s="11"/>
      <c r="U61" s="11"/>
      <c r="V61" s="11"/>
      <c r="W61" s="11"/>
    </row>
    <row r="62" spans="1:25">
      <c r="A62" s="415"/>
      <c r="B62" s="2" t="s">
        <v>30</v>
      </c>
      <c r="C62" s="7" t="s">
        <v>63</v>
      </c>
      <c r="D62" s="6">
        <v>4.33</v>
      </c>
      <c r="E62" s="11">
        <f>E22/Production!E18</f>
        <v>2.7021264847354471</v>
      </c>
      <c r="F62" s="11">
        <f>F22/Production!F18</f>
        <v>3.0128955751158566</v>
      </c>
      <c r="G62" s="11">
        <f>G22/Production!G18</f>
        <v>2.4349554147600609</v>
      </c>
      <c r="H62" s="11" t="e">
        <f>H22/Production!H18</f>
        <v>#DIV/0!</v>
      </c>
      <c r="I62" s="11" t="e">
        <f>I22/Production!I18</f>
        <v>#DIV/0!</v>
      </c>
      <c r="J62" s="11" t="e">
        <f>J22/Production!J18</f>
        <v>#DIV/0!</v>
      </c>
      <c r="K62" s="11" t="e">
        <f>K22/Production!K18</f>
        <v>#DIV/0!</v>
      </c>
      <c r="L62" s="11" t="e">
        <f>L22/Production!L18</f>
        <v>#DIV/0!</v>
      </c>
      <c r="M62" s="11" t="e">
        <f>M22/Production!M18</f>
        <v>#DIV/0!</v>
      </c>
      <c r="N62" s="11" t="e">
        <f>N22/Production!N18</f>
        <v>#DIV/0!</v>
      </c>
      <c r="O62" s="11" t="e">
        <f>O22/Production!O18</f>
        <v>#DIV/0!</v>
      </c>
      <c r="P62" s="11" t="e">
        <f>P22/Production!P18</f>
        <v>#DIV/0!</v>
      </c>
      <c r="Q62" s="11">
        <f>Q22/Production!Q18</f>
        <v>2.716153621772456</v>
      </c>
      <c r="R62" s="11"/>
      <c r="S62" s="11"/>
      <c r="T62" s="11"/>
      <c r="U62" s="11"/>
      <c r="V62" s="11"/>
      <c r="W62" s="11"/>
    </row>
    <row r="63" spans="1:25">
      <c r="A63" s="415"/>
      <c r="B63" s="2" t="s">
        <v>31</v>
      </c>
      <c r="C63" s="7" t="s">
        <v>63</v>
      </c>
      <c r="D63" s="6">
        <v>3.89</v>
      </c>
      <c r="E63" s="11">
        <f>E23/Production!E19</f>
        <v>4.0798902350591231</v>
      </c>
      <c r="F63" s="11">
        <f>F23/Production!F19</f>
        <v>4.1511839372964623</v>
      </c>
      <c r="G63" s="11">
        <f>G23/Production!G19</f>
        <v>4.3041040461156719</v>
      </c>
      <c r="H63" s="11">
        <f>H23/Production!H19</f>
        <v>4.5403762833923871</v>
      </c>
      <c r="I63" s="11" t="e">
        <f>I23/Production!I19</f>
        <v>#DIV/0!</v>
      </c>
      <c r="J63" s="11" t="e">
        <f>J23/Production!J19</f>
        <v>#DIV/0!</v>
      </c>
      <c r="K63" s="11" t="e">
        <f>K23/Production!K19</f>
        <v>#DIV/0!</v>
      </c>
      <c r="L63" s="11" t="e">
        <f>L23/Production!L19</f>
        <v>#DIV/0!</v>
      </c>
      <c r="M63" s="11" t="e">
        <f>M23/Production!M19</f>
        <v>#DIV/0!</v>
      </c>
      <c r="N63" s="11" t="e">
        <f>N23/Production!N19</f>
        <v>#DIV/0!</v>
      </c>
      <c r="O63" s="11" t="e">
        <f>O23/Production!O19</f>
        <v>#DIV/0!</v>
      </c>
      <c r="P63" s="11" t="e">
        <f>P23/Production!P19</f>
        <v>#DIV/0!</v>
      </c>
      <c r="Q63" s="11">
        <f>Q23/Production!Q19</f>
        <v>4.2416700452444331</v>
      </c>
      <c r="R63" s="11"/>
      <c r="S63" s="11"/>
      <c r="T63" s="11"/>
      <c r="U63" s="11"/>
      <c r="V63" s="11"/>
      <c r="W63" s="11"/>
    </row>
    <row r="64" spans="1:25">
      <c r="A64" s="415"/>
      <c r="B64" s="2" t="s">
        <v>32</v>
      </c>
      <c r="C64" s="7" t="s">
        <v>63</v>
      </c>
      <c r="D64" s="6">
        <v>0.55000000000000004</v>
      </c>
      <c r="E64" s="11">
        <f>E24/Production!E20</f>
        <v>0.25188249018983988</v>
      </c>
      <c r="F64" s="11">
        <f>F24/Production!F20</f>
        <v>0.3091810716938706</v>
      </c>
      <c r="G64" s="11">
        <f>G24/Production!G20</f>
        <v>0.39250828927323234</v>
      </c>
      <c r="H64" s="11">
        <f>H24/Production!H20</f>
        <v>0.32120412755062455</v>
      </c>
      <c r="I64" s="11" t="e">
        <f>I24/Production!I20</f>
        <v>#DIV/0!</v>
      </c>
      <c r="J64" s="11" t="e">
        <f>J24/Production!J20</f>
        <v>#DIV/0!</v>
      </c>
      <c r="K64" s="11" t="e">
        <f>K24/Production!K20</f>
        <v>#DIV/0!</v>
      </c>
      <c r="L64" s="11" t="e">
        <f>L24/Production!L20</f>
        <v>#DIV/0!</v>
      </c>
      <c r="M64" s="11" t="e">
        <f>M24/Production!M20</f>
        <v>#DIV/0!</v>
      </c>
      <c r="N64" s="11" t="e">
        <f>N24/Production!N20</f>
        <v>#DIV/0!</v>
      </c>
      <c r="O64" s="11" t="e">
        <f>O24/Production!O20</f>
        <v>#DIV/0!</v>
      </c>
      <c r="P64" s="11" t="e">
        <f>P24/Production!P20</f>
        <v>#DIV/0!</v>
      </c>
      <c r="Q64" s="11">
        <f>Q24/Production!Q20</f>
        <v>0.30926197042434145</v>
      </c>
      <c r="R64" s="11"/>
      <c r="S64" s="11"/>
      <c r="T64" s="11"/>
      <c r="U64" s="11"/>
      <c r="V64" s="11"/>
      <c r="W64" s="11"/>
    </row>
    <row r="65" spans="1:23">
      <c r="A65" s="415"/>
      <c r="B65" s="2" t="s">
        <v>33</v>
      </c>
      <c r="C65" s="7" t="s">
        <v>63</v>
      </c>
      <c r="D65" s="246">
        <v>0.56000000000000005</v>
      </c>
      <c r="E65" s="11">
        <f>E25/Production!E21</f>
        <v>0.49014127025833393</v>
      </c>
      <c r="F65" s="11">
        <f>F25/Production!F21</f>
        <v>1.1821495037220844</v>
      </c>
      <c r="G65" s="11">
        <f>G25/Production!G21</f>
        <v>0.36526187025381618</v>
      </c>
      <c r="H65" s="11" t="e">
        <f>H25/Production!H21</f>
        <v>#DIV/0!</v>
      </c>
      <c r="I65" s="11" t="e">
        <f>I25/Production!I21</f>
        <v>#DIV/0!</v>
      </c>
      <c r="J65" s="11" t="e">
        <f>J25/Production!J21</f>
        <v>#DIV/0!</v>
      </c>
      <c r="K65" s="11" t="e">
        <f>K25/Production!K21</f>
        <v>#DIV/0!</v>
      </c>
      <c r="L65" s="11" t="e">
        <f>L25/Production!L21</f>
        <v>#DIV/0!</v>
      </c>
      <c r="M65" s="11" t="e">
        <f>M25/Production!M21</f>
        <v>#DIV/0!</v>
      </c>
      <c r="N65" s="11" t="e">
        <f>N25/Production!N21</f>
        <v>#DIV/0!</v>
      </c>
      <c r="O65" s="11" t="e">
        <f>O25/Production!O21</f>
        <v>#DIV/0!</v>
      </c>
      <c r="P65" s="11" t="e">
        <f>P25/Production!P21</f>
        <v>#DIV/0!</v>
      </c>
      <c r="Q65" s="11">
        <f>Q25/Production!Q21</f>
        <v>0.51801627512951687</v>
      </c>
      <c r="R65" s="11"/>
      <c r="S65" s="11"/>
      <c r="T65" s="11"/>
      <c r="U65" s="11"/>
      <c r="V65" s="11"/>
      <c r="W65" s="11"/>
    </row>
    <row r="66" spans="1:23">
      <c r="A66" s="415"/>
      <c r="B66" s="2" t="s">
        <v>34</v>
      </c>
      <c r="C66" s="7" t="s">
        <v>63</v>
      </c>
      <c r="D66" s="249">
        <v>1.1200000000000001</v>
      </c>
      <c r="E66" s="11">
        <f>E26/Production!E22</f>
        <v>0.99463567277603926</v>
      </c>
      <c r="F66" s="11">
        <f>F26/Production!F22</f>
        <v>1.247504166597911</v>
      </c>
      <c r="G66" s="11">
        <f>G26/Production!G22</f>
        <v>1.1829565881041564</v>
      </c>
      <c r="H66" s="11">
        <f>H26/Production!H22</f>
        <v>0.93698863509000019</v>
      </c>
      <c r="I66" s="11" t="e">
        <f>I26/Production!I22</f>
        <v>#DIV/0!</v>
      </c>
      <c r="J66" s="11" t="e">
        <f>J26/Production!J22</f>
        <v>#DIV/0!</v>
      </c>
      <c r="K66" s="11" t="e">
        <f>K26/Production!K22</f>
        <v>#DIV/0!</v>
      </c>
      <c r="L66" s="11" t="e">
        <f>L26/Production!L22</f>
        <v>#DIV/0!</v>
      </c>
      <c r="M66" s="11" t="e">
        <f>M26/Production!M22</f>
        <v>#DIV/0!</v>
      </c>
      <c r="N66" s="11" t="e">
        <f>N26/Production!N22</f>
        <v>#DIV/0!</v>
      </c>
      <c r="O66" s="11" t="e">
        <f>O26/Production!O22</f>
        <v>#DIV/0!</v>
      </c>
      <c r="P66" s="11" t="e">
        <f>P26/Production!P22</f>
        <v>#DIV/0!</v>
      </c>
      <c r="Q66" s="11">
        <f>Q26/Production!Q22</f>
        <v>1.0847757548568793</v>
      </c>
      <c r="R66" s="11"/>
      <c r="S66" s="11"/>
      <c r="T66" s="11"/>
      <c r="U66" s="11"/>
      <c r="V66" s="11"/>
      <c r="W66" s="11"/>
    </row>
    <row r="67" spans="1:23">
      <c r="A67" s="415"/>
      <c r="B67" s="2" t="s">
        <v>35</v>
      </c>
      <c r="C67" s="7" t="s">
        <v>63</v>
      </c>
      <c r="D67" s="246">
        <v>2.8</v>
      </c>
      <c r="E67" s="11">
        <f>E27/Production!E23</f>
        <v>2.374592793220085</v>
      </c>
      <c r="F67" s="11">
        <f>F27/Production!F23</f>
        <v>2.405798037885396</v>
      </c>
      <c r="G67" s="11">
        <f>G27/Production!G23</f>
        <v>1.6609839008361662</v>
      </c>
      <c r="H67" s="11">
        <f>H27/Production!H23</f>
        <v>2.6362511432721796</v>
      </c>
      <c r="I67" s="11" t="e">
        <f>I27/Production!I23</f>
        <v>#DIV/0!</v>
      </c>
      <c r="J67" s="11" t="e">
        <f>J27/Production!J23</f>
        <v>#DIV/0!</v>
      </c>
      <c r="K67" s="11" t="e">
        <f>K27/Production!K23</f>
        <v>#DIV/0!</v>
      </c>
      <c r="L67" s="11" t="e">
        <f>L27/Production!L23</f>
        <v>#DIV/0!</v>
      </c>
      <c r="M67" s="11" t="e">
        <f>M27/Production!M23</f>
        <v>#DIV/0!</v>
      </c>
      <c r="N67" s="11" t="e">
        <f>N27/Production!N23</f>
        <v>#DIV/0!</v>
      </c>
      <c r="O67" s="11" t="e">
        <f>O27/Production!O23</f>
        <v>#DIV/0!</v>
      </c>
      <c r="P67" s="11" t="e">
        <f>P27/Production!P23</f>
        <v>#DIV/0!</v>
      </c>
      <c r="Q67" s="11">
        <f>Q27/Production!Q23</f>
        <v>2.1915789136066688</v>
      </c>
      <c r="R67" s="11"/>
      <c r="S67" s="11"/>
      <c r="T67" s="11"/>
      <c r="U67" s="11"/>
      <c r="V67" s="11"/>
      <c r="W67" s="11"/>
    </row>
    <row r="68" spans="1:23">
      <c r="A68" s="415"/>
      <c r="B68" s="2" t="s">
        <v>36</v>
      </c>
      <c r="C68" s="7" t="s">
        <v>63</v>
      </c>
      <c r="D68" s="246">
        <v>1.87</v>
      </c>
      <c r="E68" s="11">
        <f>E28/Production!E24</f>
        <v>1.1142506142506143</v>
      </c>
      <c r="F68" s="11">
        <f>F28/Production!F24</f>
        <v>1.0511247443762781</v>
      </c>
      <c r="G68" s="11">
        <f>G28/Production!G24</f>
        <v>1.8056054617319439</v>
      </c>
      <c r="H68" s="11">
        <f>H28/Production!H24</f>
        <v>0.99501108647450109</v>
      </c>
      <c r="I68" s="11" t="e">
        <f>I28/Production!I24</f>
        <v>#DIV/0!</v>
      </c>
      <c r="J68" s="11" t="e">
        <f>J28/Production!J24</f>
        <v>#DIV/0!</v>
      </c>
      <c r="K68" s="11" t="e">
        <f>K28/Production!K24</f>
        <v>#DIV/0!</v>
      </c>
      <c r="L68" s="11" t="e">
        <f>L28/Production!L24</f>
        <v>#DIV/0!</v>
      </c>
      <c r="M68" s="11" t="e">
        <f>M28/Production!M24</f>
        <v>#DIV/0!</v>
      </c>
      <c r="N68" s="11" t="e">
        <f>N28/Production!N24</f>
        <v>#DIV/0!</v>
      </c>
      <c r="O68" s="11" t="e">
        <f>O28/Production!O24</f>
        <v>#DIV/0!</v>
      </c>
      <c r="P68" s="11" t="e">
        <f>P28/Production!P24</f>
        <v>#DIV/0!</v>
      </c>
      <c r="Q68" s="11">
        <f>Q28/Production!Q24</f>
        <v>1.2035955692394806</v>
      </c>
      <c r="R68" s="11"/>
      <c r="S68" s="11"/>
      <c r="T68" s="11"/>
      <c r="U68" s="11"/>
      <c r="V68" s="11"/>
      <c r="W68" s="11"/>
    </row>
    <row r="69" spans="1:23">
      <c r="A69" s="415"/>
      <c r="B69" s="2" t="s">
        <v>37</v>
      </c>
      <c r="C69" s="7" t="s">
        <v>63</v>
      </c>
      <c r="D69" s="32">
        <v>0.56999999999999995</v>
      </c>
      <c r="E69" s="11">
        <f>E29/Production!E25</f>
        <v>1.1093027498108707</v>
      </c>
      <c r="F69" s="11">
        <f>F29/Production!F25</f>
        <v>0.89714137523755433</v>
      </c>
      <c r="G69" s="11">
        <f>G29/Production!G25</f>
        <v>0.70569326646573272</v>
      </c>
      <c r="H69" s="11">
        <f>H29/Production!H25</f>
        <v>0.70518713021558144</v>
      </c>
      <c r="I69" s="11" t="e">
        <f>I29/Production!I25</f>
        <v>#DIV/0!</v>
      </c>
      <c r="J69" s="11" t="e">
        <f>J29/Production!J25</f>
        <v>#DIV/0!</v>
      </c>
      <c r="K69" s="11" t="e">
        <f>K29/Production!K25</f>
        <v>#DIV/0!</v>
      </c>
      <c r="L69" s="11" t="e">
        <f>L29/Production!L25</f>
        <v>#DIV/0!</v>
      </c>
      <c r="M69" s="11" t="e">
        <f>M29/Production!M25</f>
        <v>#DIV/0!</v>
      </c>
      <c r="N69" s="11" t="e">
        <f>N29/Production!N25</f>
        <v>#DIV/0!</v>
      </c>
      <c r="O69" s="11" t="e">
        <f>O29/Production!O25</f>
        <v>#DIV/0!</v>
      </c>
      <c r="P69" s="11" t="e">
        <f>P29/Production!P25</f>
        <v>#DIV/0!</v>
      </c>
      <c r="Q69" s="11">
        <f>Q29/Production!Q25</f>
        <v>0.82421088382397978</v>
      </c>
      <c r="R69" s="11"/>
      <c r="S69" s="11"/>
      <c r="T69" s="11"/>
      <c r="U69" s="11"/>
      <c r="V69" s="11"/>
      <c r="W69" s="11"/>
    </row>
    <row r="70" spans="1:23">
      <c r="A70" s="415"/>
      <c r="B70" s="2" t="s">
        <v>38</v>
      </c>
      <c r="C70" s="7" t="s">
        <v>63</v>
      </c>
      <c r="D70" s="209" t="s">
        <v>64</v>
      </c>
      <c r="E70" s="11">
        <f>E30/Production!E26</f>
        <v>4.3260404439050486</v>
      </c>
      <c r="F70" s="11">
        <f>F30/Production!F26</f>
        <v>4.827290500055585</v>
      </c>
      <c r="G70" s="11">
        <f>G30/Production!G26</f>
        <v>4.4886212807477648</v>
      </c>
      <c r="H70" s="11">
        <f>H30/Production!H26</f>
        <v>3.910564700315744</v>
      </c>
      <c r="I70" s="11" t="e">
        <f>I30/Production!I26</f>
        <v>#DIV/0!</v>
      </c>
      <c r="J70" s="11" t="e">
        <f>J30/Production!J26</f>
        <v>#DIV/0!</v>
      </c>
      <c r="K70" s="11" t="e">
        <f>K30/Production!K26</f>
        <v>#DIV/0!</v>
      </c>
      <c r="L70" s="11" t="e">
        <f>L30/Production!L26</f>
        <v>#DIV/0!</v>
      </c>
      <c r="M70" s="11" t="e">
        <f>M30/Production!M26</f>
        <v>#DIV/0!</v>
      </c>
      <c r="N70" s="11" t="e">
        <f>N30/Production!N26</f>
        <v>#DIV/0!</v>
      </c>
      <c r="O70" s="11" t="e">
        <f>O30/Production!O26</f>
        <v>#DIV/0!</v>
      </c>
      <c r="P70" s="11" t="e">
        <f>P30/Production!P26</f>
        <v>#DIV/0!</v>
      </c>
      <c r="Q70" s="11">
        <f>Q30/Production!Q26</f>
        <v>4.3548221699286946</v>
      </c>
      <c r="R70" s="11"/>
      <c r="S70" s="11"/>
      <c r="T70" s="11"/>
      <c r="U70" s="11"/>
      <c r="V70" s="11"/>
      <c r="W70" s="11"/>
    </row>
    <row r="71" spans="1:23">
      <c r="A71" s="415"/>
      <c r="B71" s="2" t="s">
        <v>39</v>
      </c>
      <c r="C71" s="7" t="s">
        <v>63</v>
      </c>
      <c r="D71" s="209" t="s">
        <v>64</v>
      </c>
      <c r="E71" s="11">
        <f>E31/Production!E27</f>
        <v>2.6052212787731515</v>
      </c>
      <c r="F71" s="11">
        <f>F31/Production!F27</f>
        <v>2.6991742136288535</v>
      </c>
      <c r="G71" s="11">
        <f>G31/Production!G27</f>
        <v>2.6962989021030488</v>
      </c>
      <c r="H71" s="11">
        <f>H31/Production!H27</f>
        <v>2.7864377175191968</v>
      </c>
      <c r="I71" s="11" t="e">
        <f>I31/Production!I27</f>
        <v>#DIV/0!</v>
      </c>
      <c r="J71" s="11" t="e">
        <f>J31/Production!J27</f>
        <v>#DIV/0!</v>
      </c>
      <c r="K71" s="11" t="e">
        <f>K31/Production!K27</f>
        <v>#DIV/0!</v>
      </c>
      <c r="L71" s="11" t="e">
        <f>L31/Production!L27</f>
        <v>#DIV/0!</v>
      </c>
      <c r="M71" s="11" t="e">
        <f>M31/Production!M27</f>
        <v>#DIV/0!</v>
      </c>
      <c r="N71" s="11" t="e">
        <f>N31/Production!N27</f>
        <v>#DIV/0!</v>
      </c>
      <c r="O71" s="11" t="e">
        <f>O31/Production!O27</f>
        <v>#DIV/0!</v>
      </c>
      <c r="P71" s="11" t="e">
        <f>P31/Production!P27</f>
        <v>#DIV/0!</v>
      </c>
      <c r="Q71" s="11">
        <f>Q31/Production!Q27</f>
        <v>2.6948340019451447</v>
      </c>
      <c r="R71" s="11"/>
      <c r="S71" s="11"/>
      <c r="T71" s="11"/>
      <c r="U71" s="11"/>
      <c r="V71" s="11"/>
      <c r="W71" s="11"/>
    </row>
    <row r="72" spans="1:23">
      <c r="A72" s="415"/>
      <c r="B72" s="2" t="s">
        <v>40</v>
      </c>
      <c r="C72" s="7" t="s">
        <v>63</v>
      </c>
      <c r="D72" s="249">
        <v>4.26</v>
      </c>
      <c r="E72" s="11">
        <f>E32/Production!E28</f>
        <v>3.6356789286047984</v>
      </c>
      <c r="F72" s="11">
        <f>F32/Production!F28</f>
        <v>3.9762677133286082</v>
      </c>
      <c r="G72" s="11">
        <f>G32/Production!G28</f>
        <v>3.7604277361656693</v>
      </c>
      <c r="H72" s="11">
        <f>H32/Production!H28</f>
        <v>3.5277612824574209</v>
      </c>
      <c r="I72" s="11" t="e">
        <f>I32/Production!I28</f>
        <v>#DIV/0!</v>
      </c>
      <c r="J72" s="11" t="e">
        <f>J32/Production!J28</f>
        <v>#DIV/0!</v>
      </c>
      <c r="K72" s="11" t="e">
        <f>K32/Production!K28</f>
        <v>#DIV/0!</v>
      </c>
      <c r="L72" s="11" t="e">
        <f>L32/Production!L28</f>
        <v>#DIV/0!</v>
      </c>
      <c r="M72" s="11" t="e">
        <f>M32/Production!M28</f>
        <v>#DIV/0!</v>
      </c>
      <c r="N72" s="11" t="e">
        <f>N32/Production!N28</f>
        <v>#DIV/0!</v>
      </c>
      <c r="O72" s="11" t="e">
        <f>O32/Production!O28</f>
        <v>#DIV/0!</v>
      </c>
      <c r="P72" s="11" t="e">
        <f>P32/Production!P28</f>
        <v>#DIV/0!</v>
      </c>
      <c r="Q72" s="11">
        <f>Q32/Production!Q28</f>
        <v>3.7138430231850288</v>
      </c>
      <c r="R72" s="11"/>
      <c r="S72" s="11"/>
      <c r="T72" s="11"/>
      <c r="U72" s="11"/>
      <c r="V72" s="11"/>
      <c r="W72" s="11"/>
    </row>
    <row r="73" spans="1:23">
      <c r="A73" s="416"/>
      <c r="B73" s="2" t="s">
        <v>42</v>
      </c>
      <c r="C73" s="7" t="s">
        <v>63</v>
      </c>
      <c r="D73" s="32">
        <v>1.1200000000000001</v>
      </c>
      <c r="E73" s="11">
        <f>E33/Production!E29</f>
        <v>0.45442560913193852</v>
      </c>
      <c r="F73" s="11">
        <f>F33/Production!F29</f>
        <v>0.49079248551337307</v>
      </c>
      <c r="G73" s="11">
        <f>G33/Production!G29</f>
        <v>0.41493775933609961</v>
      </c>
      <c r="H73" s="11">
        <f>H33/Production!H29</f>
        <v>0.65635777060852152</v>
      </c>
      <c r="I73" s="11" t="e">
        <f>I33/Production!I29</f>
        <v>#DIV/0!</v>
      </c>
      <c r="J73" s="11" t="e">
        <f>J33/Production!J29</f>
        <v>#DIV/0!</v>
      </c>
      <c r="K73" s="11" t="e">
        <f>K33/Production!K29</f>
        <v>#DIV/0!</v>
      </c>
      <c r="L73" s="11" t="e">
        <f>L33/Production!L29</f>
        <v>#DIV/0!</v>
      </c>
      <c r="M73" s="11" t="e">
        <f>M33/Production!M29</f>
        <v>#DIV/0!</v>
      </c>
      <c r="N73" s="11" t="e">
        <f>N33/Production!N29</f>
        <v>#DIV/0!</v>
      </c>
      <c r="O73" s="11" t="e">
        <f>O33/Production!O29</f>
        <v>#DIV/0!</v>
      </c>
      <c r="P73" s="11" t="e">
        <f>P33/Production!P29</f>
        <v>#DIV/0!</v>
      </c>
      <c r="Q73" s="11">
        <f>Q33/Production!Q29</f>
        <v>0.48024888810989635</v>
      </c>
      <c r="R73" s="1"/>
      <c r="S73" s="1"/>
      <c r="T73" s="1"/>
      <c r="U73" s="1"/>
      <c r="V73" s="1"/>
      <c r="W73" s="1"/>
    </row>
    <row r="74" spans="1:23">
      <c r="A74" s="72"/>
      <c r="B74" s="2" t="s">
        <v>43</v>
      </c>
      <c r="C74" s="7" t="s">
        <v>63</v>
      </c>
      <c r="D74" s="32">
        <v>1.1100000000000001</v>
      </c>
      <c r="E74" s="11">
        <f>E34/Production!E30</f>
        <v>0.77752252390216137</v>
      </c>
      <c r="F74" s="11">
        <f>F34/Production!F30</f>
        <v>0.91211978420493756</v>
      </c>
      <c r="G74" s="11">
        <f>G34/Production!G30</f>
        <v>0.70115315767846687</v>
      </c>
      <c r="H74" s="11">
        <f>H34/Production!H30</f>
        <v>0.97318238423884118</v>
      </c>
      <c r="I74" s="11" t="e">
        <f>I34/Production!I30</f>
        <v>#DIV/0!</v>
      </c>
      <c r="J74" s="11" t="e">
        <f>J34/Production!J30</f>
        <v>#DIV/0!</v>
      </c>
      <c r="K74" s="11" t="e">
        <f>K34/Production!K30</f>
        <v>#DIV/0!</v>
      </c>
      <c r="L74" s="11" t="e">
        <f>L34/Production!L30</f>
        <v>#DIV/0!</v>
      </c>
      <c r="M74" s="11" t="e">
        <f>M34/Production!M30</f>
        <v>#DIV/0!</v>
      </c>
      <c r="N74" s="11" t="e">
        <f>N34/Production!N30</f>
        <v>#DIV/0!</v>
      </c>
      <c r="O74" s="11" t="e">
        <f>O34/Production!O30</f>
        <v>#DIV/0!</v>
      </c>
      <c r="P74" s="11" t="e">
        <f>P34/Production!P30</f>
        <v>#DIV/0!</v>
      </c>
      <c r="Q74" s="11">
        <f>Q34/Production!Q30</f>
        <v>0.81292848121321759</v>
      </c>
    </row>
    <row r="75" spans="1:23">
      <c r="B75" s="130"/>
    </row>
    <row r="76" spans="1:23" ht="18.5">
      <c r="A76" s="411" t="s">
        <v>44</v>
      </c>
      <c r="B76" s="411"/>
      <c r="C76" s="7" t="s">
        <v>63</v>
      </c>
      <c r="D76" s="335"/>
      <c r="E76" s="333">
        <f>E36/Production!E32</f>
        <v>3.1361619832427303</v>
      </c>
      <c r="F76" s="333">
        <f>F36/Production!F32</f>
        <v>3.2611709485636835</v>
      </c>
      <c r="G76" s="333">
        <f>G36/Production!G32</f>
        <v>3.4119391981253533</v>
      </c>
      <c r="H76" s="333">
        <f>H36/Production!H32</f>
        <v>3.4021552913288615</v>
      </c>
      <c r="I76" s="333" t="e">
        <f>I36/Production!I32</f>
        <v>#DIV/0!</v>
      </c>
      <c r="J76" s="333" t="e">
        <f>J36/Production!J32</f>
        <v>#DIV/0!</v>
      </c>
      <c r="K76" s="333" t="e">
        <f>K36/Production!K32</f>
        <v>#DIV/0!</v>
      </c>
      <c r="L76" s="333" t="e">
        <f>L36/Production!L32</f>
        <v>#DIV/0!</v>
      </c>
      <c r="M76" s="333" t="e">
        <f>M36/Production!M32</f>
        <v>#DIV/0!</v>
      </c>
      <c r="N76" s="333" t="e">
        <f>N36/Production!N32</f>
        <v>#DIV/0!</v>
      </c>
      <c r="O76" s="333" t="e">
        <f>O36/Production!O32</f>
        <v>#DIV/0!</v>
      </c>
      <c r="P76" s="333" t="e">
        <f>P36/Production!P32</f>
        <v>#DIV/0!</v>
      </c>
      <c r="Q76" s="334">
        <f>Q36/Production!Q32</f>
        <v>3.2947026482239647</v>
      </c>
      <c r="R76" s="336">
        <f>R36/Production!R32</f>
        <v>3.264363049079416</v>
      </c>
      <c r="S76" s="139">
        <f>S36/Production!S32</f>
        <v>3.4021552913288615</v>
      </c>
      <c r="T76" s="139" t="e">
        <f>T36/Production!T32</f>
        <v>#DIV/0!</v>
      </c>
      <c r="U76" s="139" t="e">
        <f>U36/Production!U32</f>
        <v>#DIV/0!</v>
      </c>
      <c r="V76" s="139">
        <f>V36/Production!V32</f>
        <v>3.2947026482239647</v>
      </c>
      <c r="W76" s="139" t="e">
        <f>W36/Production!W32</f>
        <v>#DIV/0!</v>
      </c>
    </row>
    <row r="77" spans="1:23" ht="23.5">
      <c r="A77" s="421" t="s">
        <v>45</v>
      </c>
      <c r="B77" s="421"/>
      <c r="C77" s="7" t="s">
        <v>63</v>
      </c>
      <c r="D77" s="331">
        <v>3.4</v>
      </c>
      <c r="E77" s="330">
        <v>3.12</v>
      </c>
      <c r="F77" s="330">
        <f>F37/Production!F33</f>
        <v>3.2250575468683147</v>
      </c>
      <c r="G77" s="330">
        <f>G37/Production!G33</f>
        <v>3.364838848323195</v>
      </c>
      <c r="H77" s="330">
        <f>H37/Production!H33</f>
        <v>3.3522771234063264</v>
      </c>
      <c r="I77" s="330" t="e">
        <f>I37/Production!I33</f>
        <v>#DIV/0!</v>
      </c>
      <c r="J77" s="330" t="e">
        <f>J37/Production!J33</f>
        <v>#DIV/0!</v>
      </c>
      <c r="K77" s="330" t="e">
        <f>K37/Production!K33</f>
        <v>#DIV/0!</v>
      </c>
      <c r="L77" s="330" t="e">
        <f>L37/Production!L33</f>
        <v>#DIV/0!</v>
      </c>
      <c r="M77" s="330" t="e">
        <f>M37/Production!M33</f>
        <v>#DIV/0!</v>
      </c>
      <c r="N77" s="330" t="e">
        <f>N37/Production!N33</f>
        <v>#DIV/0!</v>
      </c>
      <c r="O77" s="330" t="e">
        <f>O37/Production!O33</f>
        <v>#DIV/0!</v>
      </c>
      <c r="P77" s="330" t="e">
        <f>P37/Production!P33</f>
        <v>#DIV/0!</v>
      </c>
      <c r="Q77" s="330">
        <f>Q37/Production!Q33</f>
        <v>3.2590119601299223</v>
      </c>
      <c r="R77" s="332">
        <f>R37/Production!R33</f>
        <v>3.2328015078868813</v>
      </c>
      <c r="S77" s="138">
        <f>S37/Production!S33</f>
        <v>3.3522771234063264</v>
      </c>
      <c r="T77" s="138" t="e">
        <f>T37/Production!T33</f>
        <v>#DIV/0!</v>
      </c>
      <c r="U77" s="138" t="e">
        <f>U37/Production!U33</f>
        <v>#DIV/0!</v>
      </c>
      <c r="V77" s="138">
        <f>V37/Production!V33</f>
        <v>3.2590119601299223</v>
      </c>
      <c r="W77" s="138" t="e">
        <f>W37/Production!W33</f>
        <v>#DIV/0!</v>
      </c>
    </row>
    <row r="78" spans="1:23"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</row>
    <row r="79" spans="1:23" ht="18.5">
      <c r="A79" s="408" t="s">
        <v>46</v>
      </c>
      <c r="B79" s="408"/>
      <c r="C79" s="7" t="s">
        <v>63</v>
      </c>
      <c r="D79" s="338">
        <v>3.03</v>
      </c>
      <c r="E79" s="337">
        <f>E39/Production!E36</f>
        <v>2.941370400291202</v>
      </c>
      <c r="F79" s="337">
        <f>F39/Production!F36</f>
        <v>2.9599713552347584</v>
      </c>
      <c r="G79" s="337">
        <f>G39/Production!G36</f>
        <v>3.2321934043887421</v>
      </c>
      <c r="H79" s="337">
        <f>H39/Production!H36</f>
        <v>3.2661332644409393</v>
      </c>
      <c r="I79" s="337" t="e">
        <f>I39/Production!I36</f>
        <v>#DIV/0!</v>
      </c>
      <c r="J79" s="337" t="e">
        <f>J39/Production!J36</f>
        <v>#DIV/0!</v>
      </c>
      <c r="K79" s="337" t="e">
        <f>K39/Production!K36</f>
        <v>#DIV/0!</v>
      </c>
      <c r="L79" s="337" t="e">
        <f>L39/Production!L36</f>
        <v>#DIV/0!</v>
      </c>
      <c r="M79" s="337" t="e">
        <f>M39/Production!M36</f>
        <v>#DIV/0!</v>
      </c>
      <c r="N79" s="337" t="e">
        <f>N39/Production!N36</f>
        <v>#DIV/0!</v>
      </c>
      <c r="O79" s="337" t="e">
        <f>O39/Production!O36</f>
        <v>#DIV/0!</v>
      </c>
      <c r="P79" s="337" t="e">
        <f>P39/Production!P36</f>
        <v>#DIV/0!</v>
      </c>
      <c r="Q79" s="337">
        <f>Q39/Production!Q36</f>
        <v>3.0696326236575815</v>
      </c>
      <c r="R79" s="35"/>
      <c r="S79" s="35"/>
      <c r="T79" s="35"/>
      <c r="U79" s="35"/>
      <c r="V79" s="35"/>
      <c r="W79" s="35"/>
    </row>
    <row r="80" spans="1:23" ht="18.5">
      <c r="A80" s="408" t="s">
        <v>47</v>
      </c>
      <c r="B80" s="408"/>
      <c r="C80" s="7" t="s">
        <v>63</v>
      </c>
      <c r="D80" s="338">
        <v>4.1500000000000004</v>
      </c>
      <c r="E80" s="337">
        <f>E40/Production!E37</f>
        <v>3.5035309954641485</v>
      </c>
      <c r="F80" s="337">
        <f>F40/Production!F37</f>
        <v>3.8570080300520373</v>
      </c>
      <c r="G80" s="337">
        <f>G40/Production!G37</f>
        <v>3.5824168698969814</v>
      </c>
      <c r="H80" s="337">
        <f>H40/Production!H37</f>
        <v>3.4927919572853154</v>
      </c>
      <c r="I80" s="337" t="e">
        <f>I40/Production!I37</f>
        <v>#DIV/0!</v>
      </c>
      <c r="J80" s="337" t="e">
        <f>J40/Production!J37</f>
        <v>#DIV/0!</v>
      </c>
      <c r="K80" s="337" t="e">
        <f>K40/Production!K37</f>
        <v>#DIV/0!</v>
      </c>
      <c r="L80" s="337" t="e">
        <f>L40/Production!L37</f>
        <v>#DIV/0!</v>
      </c>
      <c r="M80" s="337" t="e">
        <f>M40/Production!M37</f>
        <v>#DIV/0!</v>
      </c>
      <c r="N80" s="337" t="e">
        <f>N40/Production!N37</f>
        <v>#DIV/0!</v>
      </c>
      <c r="O80" s="337" t="e">
        <f>O40/Production!O37</f>
        <v>#DIV/0!</v>
      </c>
      <c r="P80" s="337" t="e">
        <f>P40/Production!P37</f>
        <v>#DIV/0!</v>
      </c>
      <c r="Q80" s="337">
        <f>Q40/Production!Q37</f>
        <v>3.5986639892420751</v>
      </c>
      <c r="R80" s="35"/>
      <c r="S80" s="35"/>
      <c r="T80" s="35"/>
      <c r="U80" s="35"/>
      <c r="V80" s="35"/>
      <c r="W80" s="35"/>
    </row>
    <row r="81" spans="1:23"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</row>
    <row r="82" spans="1:23"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</row>
    <row r="83" spans="1:23">
      <c r="G83">
        <v>31</v>
      </c>
      <c r="H83">
        <v>29</v>
      </c>
      <c r="I83">
        <v>31</v>
      </c>
      <c r="J83">
        <v>30</v>
      </c>
      <c r="K83">
        <v>31</v>
      </c>
      <c r="L83">
        <v>30</v>
      </c>
      <c r="M83">
        <v>31</v>
      </c>
      <c r="N83">
        <v>31</v>
      </c>
      <c r="O83">
        <v>30</v>
      </c>
      <c r="P83">
        <v>31</v>
      </c>
      <c r="Q83">
        <v>30</v>
      </c>
      <c r="R83">
        <v>31</v>
      </c>
      <c r="S83">
        <f>SUM(G83:R83)</f>
        <v>366</v>
      </c>
    </row>
    <row r="84" spans="1:23">
      <c r="A84" s="45"/>
      <c r="B84" s="45"/>
      <c r="C84" s="40">
        <v>2020</v>
      </c>
      <c r="D84" s="40">
        <v>2021</v>
      </c>
      <c r="E84" s="40">
        <v>2022</v>
      </c>
      <c r="F84" s="40">
        <v>2023</v>
      </c>
      <c r="G84" s="46">
        <f t="shared" ref="G84:S84" si="100">E2</f>
        <v>46023</v>
      </c>
      <c r="H84" s="46">
        <f t="shared" si="100"/>
        <v>46054</v>
      </c>
      <c r="I84" s="46">
        <f t="shared" si="100"/>
        <v>46082</v>
      </c>
      <c r="J84" s="46">
        <f t="shared" si="100"/>
        <v>46113</v>
      </c>
      <c r="K84" s="46">
        <f t="shared" si="100"/>
        <v>46143</v>
      </c>
      <c r="L84" s="46">
        <f t="shared" si="100"/>
        <v>46174</v>
      </c>
      <c r="M84" s="46">
        <f t="shared" si="100"/>
        <v>46204</v>
      </c>
      <c r="N84" s="46">
        <f t="shared" si="100"/>
        <v>46235</v>
      </c>
      <c r="O84" s="46">
        <f t="shared" si="100"/>
        <v>46266</v>
      </c>
      <c r="P84" s="46">
        <f t="shared" si="100"/>
        <v>46296</v>
      </c>
      <c r="Q84" s="46">
        <f t="shared" si="100"/>
        <v>46327</v>
      </c>
      <c r="R84" s="46">
        <f t="shared" si="100"/>
        <v>46357</v>
      </c>
      <c r="S84" s="46" t="str">
        <f t="shared" si="100"/>
        <v>YTD 2026</v>
      </c>
    </row>
    <row r="85" spans="1:23">
      <c r="A85" s="47" t="s">
        <v>65</v>
      </c>
      <c r="B85" s="47" t="s">
        <v>63</v>
      </c>
      <c r="G85" s="48">
        <f>$D$76</f>
        <v>0</v>
      </c>
      <c r="H85" s="48">
        <f>$D$76</f>
        <v>0</v>
      </c>
      <c r="I85" s="48">
        <f t="shared" ref="I85:S85" si="101">$D$76</f>
        <v>0</v>
      </c>
      <c r="J85" s="48">
        <f t="shared" si="101"/>
        <v>0</v>
      </c>
      <c r="K85" s="48">
        <f t="shared" si="101"/>
        <v>0</v>
      </c>
      <c r="L85" s="48">
        <f t="shared" si="101"/>
        <v>0</v>
      </c>
      <c r="M85" s="48">
        <f t="shared" si="101"/>
        <v>0</v>
      </c>
      <c r="N85" s="48">
        <f t="shared" si="101"/>
        <v>0</v>
      </c>
      <c r="O85" s="48">
        <f t="shared" si="101"/>
        <v>0</v>
      </c>
      <c r="P85" s="48">
        <f t="shared" si="101"/>
        <v>0</v>
      </c>
      <c r="Q85" s="48">
        <f t="shared" si="101"/>
        <v>0</v>
      </c>
      <c r="R85" s="48">
        <f t="shared" si="101"/>
        <v>0</v>
      </c>
      <c r="S85" s="48">
        <f t="shared" si="101"/>
        <v>0</v>
      </c>
    </row>
    <row r="86" spans="1:23">
      <c r="A86" s="47" t="s">
        <v>66</v>
      </c>
      <c r="B86" s="47" t="s">
        <v>63</v>
      </c>
      <c r="C86" s="35">
        <f>'[2]Water withdrawal'!L27</f>
        <v>3.013262924204104</v>
      </c>
      <c r="D86" s="35">
        <f>'[2]Water withdrawal'!M27</f>
        <v>2.9758424662630598</v>
      </c>
      <c r="E86" s="35">
        <f>'[2]Water withdrawal'!N27</f>
        <v>3.0251207557311637</v>
      </c>
      <c r="F86" s="35">
        <f>'[3]Water withdrawal'!$Q$59</f>
        <v>3.1451859125394681</v>
      </c>
      <c r="G86" s="48">
        <f>E77</f>
        <v>3.12</v>
      </c>
      <c r="H86" s="48">
        <f t="shared" ref="H86:R86" si="102">F77</f>
        <v>3.2250575468683147</v>
      </c>
      <c r="I86" s="48">
        <f t="shared" si="102"/>
        <v>3.364838848323195</v>
      </c>
      <c r="J86" s="48">
        <f t="shared" si="102"/>
        <v>3.3522771234063264</v>
      </c>
      <c r="K86" s="48" t="e">
        <f t="shared" si="102"/>
        <v>#DIV/0!</v>
      </c>
      <c r="L86" s="48" t="e">
        <f t="shared" si="102"/>
        <v>#DIV/0!</v>
      </c>
      <c r="M86" s="48" t="e">
        <f t="shared" si="102"/>
        <v>#DIV/0!</v>
      </c>
      <c r="N86" s="48" t="e">
        <f t="shared" si="102"/>
        <v>#DIV/0!</v>
      </c>
      <c r="O86" s="48" t="e">
        <f t="shared" si="102"/>
        <v>#DIV/0!</v>
      </c>
      <c r="P86" s="48" t="e">
        <f t="shared" si="102"/>
        <v>#DIV/0!</v>
      </c>
      <c r="Q86" s="48" t="e">
        <f t="shared" si="102"/>
        <v>#DIV/0!</v>
      </c>
      <c r="R86" s="48" t="e">
        <f t="shared" si="102"/>
        <v>#DIV/0!</v>
      </c>
      <c r="S86" s="48">
        <f>$Q$77</f>
        <v>3.2590119601299223</v>
      </c>
    </row>
    <row r="87" spans="1:23">
      <c r="A87" s="47" t="s">
        <v>67</v>
      </c>
      <c r="B87" s="47" t="s">
        <v>68</v>
      </c>
      <c r="C87" s="35">
        <v>9.0561442384612807</v>
      </c>
      <c r="D87" s="35">
        <v>10.3315058334617</v>
      </c>
      <c r="E87" s="35">
        <v>8.0495006936000006</v>
      </c>
      <c r="F87" s="50">
        <f>[3]Production!$Q$23/1000000</f>
        <v>8.2806149300000023</v>
      </c>
      <c r="G87" s="49">
        <f>Production!E32/1000000</f>
        <v>1.0082520960000001</v>
      </c>
      <c r="H87" s="49">
        <f>Production!F32/1000000</f>
        <v>0.91341520300000012</v>
      </c>
      <c r="I87" s="49">
        <f>Production!G32/1000000</f>
        <v>0.89563731899999977</v>
      </c>
      <c r="J87" s="49">
        <f>Production!H32/1000000</f>
        <v>0.79547501399999998</v>
      </c>
      <c r="K87" s="49">
        <f>Production!I32/1000000</f>
        <v>0</v>
      </c>
      <c r="L87" s="49">
        <f>Production!J32/1000000</f>
        <v>0</v>
      </c>
      <c r="M87" s="49">
        <f>Production!K32/1000000</f>
        <v>0</v>
      </c>
      <c r="N87" s="49">
        <f>Production!L32/1000000</f>
        <v>0</v>
      </c>
      <c r="O87" s="49">
        <f>Production!M32/1000000</f>
        <v>0</v>
      </c>
      <c r="P87" s="49">
        <f>Production!N32/1000000</f>
        <v>0</v>
      </c>
      <c r="Q87" s="49">
        <f>Production!O32/1000000</f>
        <v>0</v>
      </c>
      <c r="R87" s="49">
        <f>Production!P32/1000000</f>
        <v>0</v>
      </c>
      <c r="S87" s="49">
        <f>Production!Q32/1000000</f>
        <v>3.6127796319999996</v>
      </c>
    </row>
    <row r="88" spans="1:23">
      <c r="B88" s="119" t="s">
        <v>69</v>
      </c>
      <c r="G88" s="50">
        <f t="shared" ref="G88:S88" si="103">E36/G83</f>
        <v>102001.35138709676</v>
      </c>
      <c r="H88" s="50">
        <f t="shared" si="103"/>
        <v>102717.34910344827</v>
      </c>
      <c r="I88" s="50">
        <f t="shared" si="103"/>
        <v>98576.13148387098</v>
      </c>
      <c r="J88" s="50">
        <f t="shared" si="103"/>
        <v>90210.984266666666</v>
      </c>
      <c r="K88" s="50">
        <f t="shared" si="103"/>
        <v>0</v>
      </c>
      <c r="L88" s="50">
        <f t="shared" si="103"/>
        <v>0</v>
      </c>
      <c r="M88" s="50">
        <f t="shared" si="103"/>
        <v>0</v>
      </c>
      <c r="N88" s="50">
        <f t="shared" si="103"/>
        <v>0</v>
      </c>
      <c r="O88" s="50">
        <f t="shared" si="103"/>
        <v>0</v>
      </c>
      <c r="P88" s="50">
        <f t="shared" si="103"/>
        <v>0</v>
      </c>
      <c r="Q88" s="50">
        <f t="shared" si="103"/>
        <v>0</v>
      </c>
      <c r="R88" s="50">
        <f t="shared" si="103"/>
        <v>0</v>
      </c>
      <c r="S88" s="50">
        <f t="shared" si="103"/>
        <v>32521.952516393441</v>
      </c>
    </row>
    <row r="89" spans="1:23">
      <c r="B89" s="113" t="s">
        <v>70</v>
      </c>
      <c r="C89" s="114">
        <f>'[2]Water withdrawal'!L28</f>
        <v>2.9333515920732274</v>
      </c>
      <c r="D89" s="114">
        <f>'[2]Water withdrawal'!M28</f>
        <v>2.9194011944849119</v>
      </c>
      <c r="E89" s="114">
        <f>'[2]Water withdrawal'!N28</f>
        <v>2.9877157064308952</v>
      </c>
      <c r="F89" s="114">
        <f>'[4]Water withdrawal'!$Q$60</f>
        <v>3.0907485486864377</v>
      </c>
    </row>
    <row r="92" spans="1:23">
      <c r="C92" s="70" t="s">
        <v>5</v>
      </c>
    </row>
    <row r="93" spans="1:23">
      <c r="B93" s="70" t="s">
        <v>16</v>
      </c>
      <c r="C93" s="197">
        <f t="shared" ref="C93:C100" si="104">E114</f>
        <v>5979142.4160000002</v>
      </c>
    </row>
    <row r="94" spans="1:23">
      <c r="B94" s="70" t="s">
        <v>48</v>
      </c>
      <c r="C94" s="197">
        <f t="shared" si="104"/>
        <v>974601.64</v>
      </c>
    </row>
    <row r="95" spans="1:23">
      <c r="B95" s="70" t="s">
        <v>49</v>
      </c>
      <c r="C95" s="197">
        <f t="shared" si="104"/>
        <v>1624191.75</v>
      </c>
    </row>
    <row r="96" spans="1:23">
      <c r="B96" s="70" t="s">
        <v>50</v>
      </c>
      <c r="C96" s="197">
        <f t="shared" si="104"/>
        <v>51846.619000000006</v>
      </c>
    </row>
    <row r="97" spans="1:3">
      <c r="B97" s="70" t="s">
        <v>51</v>
      </c>
      <c r="C97" s="197">
        <f t="shared" si="104"/>
        <v>70017.788</v>
      </c>
    </row>
    <row r="98" spans="1:3">
      <c r="B98" s="70" t="s">
        <v>52</v>
      </c>
      <c r="C98" s="197">
        <f t="shared" si="104"/>
        <v>11442.2</v>
      </c>
    </row>
    <row r="99" spans="1:3">
      <c r="B99" s="70" t="s">
        <v>53</v>
      </c>
      <c r="C99" s="197">
        <f t="shared" si="104"/>
        <v>12134.68</v>
      </c>
    </row>
    <row r="100" spans="1:3">
      <c r="C100" s="197">
        <f t="shared" si="104"/>
        <v>8723377.0930000003</v>
      </c>
    </row>
    <row r="111" spans="1:3">
      <c r="A111" s="83"/>
    </row>
    <row r="113" spans="2:5">
      <c r="C113" t="s">
        <v>71</v>
      </c>
      <c r="D113" t="s">
        <v>72</v>
      </c>
      <c r="E113" t="s">
        <v>73</v>
      </c>
    </row>
    <row r="114" spans="2:5">
      <c r="B114" s="70" t="s">
        <v>16</v>
      </c>
      <c r="C114" s="50">
        <f>SUM(E5:M5,E30:M30)</f>
        <v>7661821.6529999999</v>
      </c>
      <c r="D114" s="50">
        <f>SUM(E5:J5,E30:J30)</f>
        <v>7661821.6529999999</v>
      </c>
      <c r="E114" s="50">
        <f>SUM(E5:G5,E30:G30)</f>
        <v>5979142.4160000002</v>
      </c>
    </row>
    <row r="115" spans="2:5">
      <c r="B115" s="70" t="s">
        <v>48</v>
      </c>
      <c r="C115" s="50">
        <f>SUM(E6:M6,E21:M24)</f>
        <v>1253941.29</v>
      </c>
      <c r="D115" s="50">
        <f>SUM(E6:J6,E21:J24)</f>
        <v>1253941.29</v>
      </c>
      <c r="E115" s="50">
        <f>SUM(E6:G6,E21:G24)</f>
        <v>974601.64</v>
      </c>
    </row>
    <row r="116" spans="2:5">
      <c r="B116" s="70" t="s">
        <v>49</v>
      </c>
      <c r="C116" s="50">
        <f>SUM(E7:M7,E31:M31)</f>
        <v>2119367.08</v>
      </c>
      <c r="D116" s="50">
        <f>SUM(E7:J7,E31:J31)</f>
        <v>2119367.08</v>
      </c>
      <c r="E116" s="50">
        <f>SUM(E7:G7,E31:G31)</f>
        <v>1624191.75</v>
      </c>
    </row>
    <row r="117" spans="2:5">
      <c r="B117" s="70" t="s">
        <v>50</v>
      </c>
      <c r="C117" s="50">
        <f>SUM(E8:M10,E25:M28,E33:M33)</f>
        <v>64852.43</v>
      </c>
      <c r="D117" s="50">
        <f>SUM(E8:J10,E25:J28,F33:N33)</f>
        <v>64559.43</v>
      </c>
      <c r="E117" s="50">
        <f>SUM(E8:G10,E25:G28,E33:G33)</f>
        <v>51846.619000000006</v>
      </c>
    </row>
    <row r="118" spans="2:5">
      <c r="B118" s="70" t="s">
        <v>51</v>
      </c>
      <c r="C118" s="50">
        <f>SUM(E19:M20)</f>
        <v>84057.788</v>
      </c>
      <c r="D118" s="50">
        <f>SUM(E19:J20)</f>
        <v>84057.788</v>
      </c>
      <c r="E118" s="50">
        <f>SUM(E19:G20)</f>
        <v>70017.788</v>
      </c>
    </row>
    <row r="119" spans="2:5">
      <c r="B119" s="70" t="s">
        <v>52</v>
      </c>
      <c r="C119" s="50">
        <f>SUM(E11:M11,E29:M29)</f>
        <v>10555.4</v>
      </c>
      <c r="D119" s="50">
        <f>SUM(E11:J11,E29:J29)</f>
        <v>10555.4</v>
      </c>
      <c r="E119" s="50">
        <f>SUM(E11:G11,E29:G29,E12:G12)</f>
        <v>11442.2</v>
      </c>
    </row>
    <row r="120" spans="2:5">
      <c r="B120" s="70" t="s">
        <v>53</v>
      </c>
      <c r="C120" s="50">
        <f>SUM(E13:M13)</f>
        <v>66283.98000000001</v>
      </c>
      <c r="D120" s="50">
        <f>SUM(E13:J13)</f>
        <v>66283.98000000001</v>
      </c>
      <c r="E120" s="50">
        <f>SUM(E13:G13)</f>
        <v>12134.68</v>
      </c>
    </row>
    <row r="121" spans="2:5">
      <c r="E121" s="50">
        <f>SUM(E114:E120)</f>
        <v>8723377.0930000003</v>
      </c>
    </row>
    <row r="166" spans="2:10">
      <c r="C166" s="36"/>
      <c r="D166" s="36"/>
      <c r="E166" s="40">
        <v>2020</v>
      </c>
      <c r="F166" s="40">
        <v>2021</v>
      </c>
      <c r="G166" s="40">
        <v>2022</v>
      </c>
      <c r="H166" s="40" t="s">
        <v>74</v>
      </c>
      <c r="I166" s="40" t="s">
        <v>75</v>
      </c>
      <c r="J166" s="40" t="s">
        <v>76</v>
      </c>
    </row>
    <row r="167" spans="2:10">
      <c r="B167" s="417" t="s">
        <v>77</v>
      </c>
      <c r="C167" s="37" t="s">
        <v>66</v>
      </c>
      <c r="D167" s="37" t="s">
        <v>63</v>
      </c>
      <c r="E167" s="41">
        <v>3.0132629242041049</v>
      </c>
      <c r="F167" s="41">
        <v>2.9796559967372449</v>
      </c>
      <c r="G167" s="41">
        <v>3.2304292450927736</v>
      </c>
      <c r="H167" s="41">
        <f>S85</f>
        <v>0</v>
      </c>
      <c r="I167" s="42">
        <f>S86</f>
        <v>3.2590119601299223</v>
      </c>
      <c r="J167" s="39">
        <f>'[5]Water withdrawal'!$Q$59</f>
        <v>3.171595648089264</v>
      </c>
    </row>
    <row r="168" spans="2:10">
      <c r="B168" s="418"/>
      <c r="C168" s="37" t="s">
        <v>67</v>
      </c>
      <c r="D168" s="37" t="s">
        <v>68</v>
      </c>
      <c r="E168" s="38">
        <f>9056144.23846128/1000000</f>
        <v>9.0561442384612807</v>
      </c>
      <c r="F168" s="38">
        <f>10331505.8334617/1000000</f>
        <v>10.3315058334617</v>
      </c>
      <c r="G168" s="38">
        <f>8049500.6936/1000000</f>
        <v>8.0495006936000006</v>
      </c>
      <c r="H168" s="38">
        <f>9198495.51208318/1000000</f>
        <v>9.1984955120831806</v>
      </c>
      <c r="I168" s="39">
        <f>S87</f>
        <v>3.6127796319999996</v>
      </c>
      <c r="J168" s="39">
        <f>[5]Production!$Q$23/1000000</f>
        <v>8.4065699373519642</v>
      </c>
    </row>
    <row r="169" spans="2:10">
      <c r="B169" s="419" t="s">
        <v>78</v>
      </c>
      <c r="C169" s="37" t="s">
        <v>66</v>
      </c>
      <c r="D169" s="37" t="s">
        <v>63</v>
      </c>
      <c r="E169" s="38">
        <v>2.9333515920732274</v>
      </c>
      <c r="F169" s="38">
        <v>2.9233839892907909</v>
      </c>
      <c r="G169" s="38">
        <v>3.2060528157270913</v>
      </c>
      <c r="H169" s="43"/>
      <c r="I169" s="38">
        <v>3.1041422188374912</v>
      </c>
      <c r="J169" s="39">
        <f>'[5]Water withdrawal'!$Q$60</f>
        <v>3.104852680141323</v>
      </c>
    </row>
    <row r="170" spans="2:10">
      <c r="B170" s="420"/>
      <c r="C170" s="37" t="s">
        <v>67</v>
      </c>
      <c r="D170" s="37" t="s">
        <v>68</v>
      </c>
      <c r="E170" s="38">
        <f>[6]Sheet1!B40/1000000</f>
        <v>8.5473448657681743</v>
      </c>
      <c r="F170" s="38">
        <f>[6]Sheet1!C40/1000000</f>
        <v>9.7048037773794942</v>
      </c>
      <c r="G170" s="38">
        <f>[6]Sheet1!D40/1000000</f>
        <v>7.5174074896</v>
      </c>
      <c r="H170" s="43">
        <f>[7]Production!$K$30/1000000</f>
        <v>8.6185785120831842</v>
      </c>
      <c r="I170" s="38">
        <f>[4]Production!$Q$24/1000000</f>
        <v>7.7716394610000004</v>
      </c>
      <c r="J170" s="38">
        <f>[5]Production!$Q$24/1000000</f>
        <v>7.887026059976832</v>
      </c>
    </row>
    <row r="171" spans="2:10">
      <c r="J171" s="44">
        <f>(E167-J167)/E167</f>
        <v>-5.2545273302687184E-2</v>
      </c>
    </row>
  </sheetData>
  <mergeCells count="16">
    <mergeCell ref="A1:W1"/>
    <mergeCell ref="A3:A20"/>
    <mergeCell ref="A43:W43"/>
    <mergeCell ref="A45:A60"/>
    <mergeCell ref="A36:B36"/>
    <mergeCell ref="A37:B37"/>
    <mergeCell ref="A21:A33"/>
    <mergeCell ref="A39:B39"/>
    <mergeCell ref="A40:B40"/>
    <mergeCell ref="A61:A73"/>
    <mergeCell ref="B167:B168"/>
    <mergeCell ref="B169:B170"/>
    <mergeCell ref="A76:B76"/>
    <mergeCell ref="A77:B77"/>
    <mergeCell ref="A79:B79"/>
    <mergeCell ref="A80:B80"/>
  </mergeCells>
  <conditionalFormatting sqref="E47">
    <cfRule type="cellIs" dxfId="3756" priority="934" operator="greaterThan">
      <formula>$D$47</formula>
    </cfRule>
    <cfRule type="cellIs" dxfId="3755" priority="935" operator="lessThanOrEqual">
      <formula>$D$47</formula>
    </cfRule>
  </conditionalFormatting>
  <conditionalFormatting sqref="F47">
    <cfRule type="cellIs" dxfId="3754" priority="932" operator="greaterThan">
      <formula>$D$47</formula>
    </cfRule>
    <cfRule type="cellIs" dxfId="3753" priority="933" operator="lessThanOrEqual">
      <formula>$D$47</formula>
    </cfRule>
  </conditionalFormatting>
  <conditionalFormatting sqref="G47">
    <cfRule type="cellIs" dxfId="3752" priority="928" operator="greaterThan">
      <formula>$D$47</formula>
    </cfRule>
    <cfRule type="cellIs" dxfId="3751" priority="929" operator="lessThanOrEqual">
      <formula>$D$47</formula>
    </cfRule>
  </conditionalFormatting>
  <conditionalFormatting sqref="H47">
    <cfRule type="cellIs" dxfId="3750" priority="926" operator="greaterThan">
      <formula>$D$47</formula>
    </cfRule>
    <cfRule type="cellIs" dxfId="3749" priority="927" operator="lessThanOrEqual">
      <formula>$D$47</formula>
    </cfRule>
  </conditionalFormatting>
  <conditionalFormatting sqref="I47">
    <cfRule type="cellIs" dxfId="3748" priority="924" operator="greaterThan">
      <formula>$D$47</formula>
    </cfRule>
    <cfRule type="cellIs" dxfId="3747" priority="925" operator="lessThanOrEqual">
      <formula>$D$47</formula>
    </cfRule>
  </conditionalFormatting>
  <conditionalFormatting sqref="J47">
    <cfRule type="cellIs" dxfId="3746" priority="922" operator="greaterThan">
      <formula>$D$47</formula>
    </cfRule>
    <cfRule type="cellIs" dxfId="3745" priority="923" operator="lessThanOrEqual">
      <formula>$D$47</formula>
    </cfRule>
  </conditionalFormatting>
  <conditionalFormatting sqref="K47">
    <cfRule type="cellIs" dxfId="3744" priority="920" operator="greaterThan">
      <formula>$D$47</formula>
    </cfRule>
    <cfRule type="cellIs" dxfId="3743" priority="921" operator="lessThanOrEqual">
      <formula>$D$47</formula>
    </cfRule>
  </conditionalFormatting>
  <conditionalFormatting sqref="L47">
    <cfRule type="cellIs" dxfId="3742" priority="918" operator="greaterThan">
      <formula>$D$47</formula>
    </cfRule>
    <cfRule type="cellIs" dxfId="3741" priority="919" operator="lessThanOrEqual">
      <formula>$D$47</formula>
    </cfRule>
  </conditionalFormatting>
  <conditionalFormatting sqref="M47">
    <cfRule type="cellIs" dxfId="3740" priority="916" operator="greaterThan">
      <formula>$D$47</formula>
    </cfRule>
    <cfRule type="cellIs" dxfId="3739" priority="917" operator="lessThanOrEqual">
      <formula>$D$47</formula>
    </cfRule>
  </conditionalFormatting>
  <conditionalFormatting sqref="N47">
    <cfRule type="cellIs" dxfId="3738" priority="914" operator="greaterThan">
      <formula>$D$47</formula>
    </cfRule>
    <cfRule type="cellIs" dxfId="3737" priority="915" operator="lessThanOrEqual">
      <formula>$D$47</formula>
    </cfRule>
  </conditionalFormatting>
  <conditionalFormatting sqref="O47">
    <cfRule type="cellIs" dxfId="3736" priority="912" operator="greaterThan">
      <formula>$D$47</formula>
    </cfRule>
    <cfRule type="cellIs" dxfId="3735" priority="913" operator="lessThanOrEqual">
      <formula>$D$47</formula>
    </cfRule>
  </conditionalFormatting>
  <conditionalFormatting sqref="P47">
    <cfRule type="cellIs" dxfId="3734" priority="910" operator="greaterThan">
      <formula>$D$47</formula>
    </cfRule>
    <cfRule type="cellIs" dxfId="3733" priority="911" operator="lessThanOrEqual">
      <formula>$D$47</formula>
    </cfRule>
  </conditionalFormatting>
  <conditionalFormatting sqref="Q47">
    <cfRule type="cellIs" dxfId="3732" priority="908" operator="greaterThan">
      <formula>$D$47</formula>
    </cfRule>
    <cfRule type="cellIs" dxfId="3731" priority="909" operator="lessThanOrEqual">
      <formula>$D$47</formula>
    </cfRule>
  </conditionalFormatting>
  <conditionalFormatting sqref="E48">
    <cfRule type="cellIs" dxfId="3730" priority="906" operator="greaterThan">
      <formula>$D$48</formula>
    </cfRule>
    <cfRule type="cellIs" dxfId="3729" priority="907" operator="lessThanOrEqual">
      <formula>$D$48</formula>
    </cfRule>
  </conditionalFormatting>
  <conditionalFormatting sqref="F48">
    <cfRule type="cellIs" dxfId="3728" priority="880" operator="greaterThan">
      <formula>$D$48</formula>
    </cfRule>
    <cfRule type="cellIs" dxfId="3727" priority="881" operator="lessThanOrEqual">
      <formula>$D$48</formula>
    </cfRule>
  </conditionalFormatting>
  <conditionalFormatting sqref="G48">
    <cfRule type="cellIs" dxfId="3726" priority="878" operator="greaterThan">
      <formula>$D$48</formula>
    </cfRule>
    <cfRule type="cellIs" dxfId="3725" priority="879" operator="lessThanOrEqual">
      <formula>$D$48</formula>
    </cfRule>
  </conditionalFormatting>
  <conditionalFormatting sqref="H48">
    <cfRule type="cellIs" dxfId="3724" priority="876" operator="greaterThan">
      <formula>$D$48</formula>
    </cfRule>
    <cfRule type="cellIs" dxfId="3723" priority="877" operator="lessThanOrEqual">
      <formula>$D$48</formula>
    </cfRule>
  </conditionalFormatting>
  <conditionalFormatting sqref="I48">
    <cfRule type="cellIs" dxfId="3722" priority="874" operator="greaterThan">
      <formula>$D$48</formula>
    </cfRule>
    <cfRule type="cellIs" dxfId="3721" priority="875" operator="lessThanOrEqual">
      <formula>$D$48</formula>
    </cfRule>
  </conditionalFormatting>
  <conditionalFormatting sqref="J48">
    <cfRule type="cellIs" dxfId="3720" priority="872" operator="greaterThan">
      <formula>$D$48</formula>
    </cfRule>
    <cfRule type="cellIs" dxfId="3719" priority="873" operator="lessThanOrEqual">
      <formula>$D$48</formula>
    </cfRule>
  </conditionalFormatting>
  <conditionalFormatting sqref="K48">
    <cfRule type="cellIs" dxfId="3718" priority="870" operator="greaterThan">
      <formula>$D$48</formula>
    </cfRule>
    <cfRule type="cellIs" dxfId="3717" priority="871" operator="lessThanOrEqual">
      <formula>$D$48</formula>
    </cfRule>
  </conditionalFormatting>
  <conditionalFormatting sqref="L48">
    <cfRule type="cellIs" dxfId="3716" priority="868" operator="greaterThan">
      <formula>$D$48</formula>
    </cfRule>
    <cfRule type="cellIs" dxfId="3715" priority="869" operator="lessThanOrEqual">
      <formula>$D$48</formula>
    </cfRule>
  </conditionalFormatting>
  <conditionalFormatting sqref="M48">
    <cfRule type="cellIs" dxfId="3714" priority="866" operator="greaterThan">
      <formula>$D$48</formula>
    </cfRule>
    <cfRule type="cellIs" dxfId="3713" priority="867" operator="lessThanOrEqual">
      <formula>$D$48</formula>
    </cfRule>
  </conditionalFormatting>
  <conditionalFormatting sqref="N48">
    <cfRule type="cellIs" dxfId="3712" priority="864" operator="greaterThan">
      <formula>$D$48</formula>
    </cfRule>
    <cfRule type="cellIs" dxfId="3711" priority="865" operator="lessThanOrEqual">
      <formula>$D$48</formula>
    </cfRule>
  </conditionalFormatting>
  <conditionalFormatting sqref="O48">
    <cfRule type="cellIs" dxfId="3710" priority="862" operator="greaterThan">
      <formula>$D$48</formula>
    </cfRule>
    <cfRule type="cellIs" dxfId="3709" priority="863" operator="lessThanOrEqual">
      <formula>$D$48</formula>
    </cfRule>
  </conditionalFormatting>
  <conditionalFormatting sqref="P48">
    <cfRule type="cellIs" dxfId="3708" priority="860" operator="greaterThan">
      <formula>$D$48</formula>
    </cfRule>
    <cfRule type="cellIs" dxfId="3707" priority="861" operator="lessThanOrEqual">
      <formula>$D$48</formula>
    </cfRule>
  </conditionalFormatting>
  <conditionalFormatting sqref="Q48">
    <cfRule type="cellIs" dxfId="3706" priority="858" operator="greaterThan">
      <formula>$D$48</formula>
    </cfRule>
    <cfRule type="cellIs" dxfId="3705" priority="859" operator="lessThanOrEqual">
      <formula>$D$48</formula>
    </cfRule>
  </conditionalFormatting>
  <conditionalFormatting sqref="E49">
    <cfRule type="cellIs" dxfId="3704" priority="856" operator="greaterThan">
      <formula>$D$49</formula>
    </cfRule>
    <cfRule type="cellIs" dxfId="3703" priority="857" operator="lessThanOrEqual">
      <formula>$D$49</formula>
    </cfRule>
  </conditionalFormatting>
  <conditionalFormatting sqref="F49">
    <cfRule type="cellIs" dxfId="3702" priority="854" operator="greaterThan">
      <formula>$D$49</formula>
    </cfRule>
    <cfRule type="cellIs" dxfId="3701" priority="855" operator="lessThanOrEqual">
      <formula>$D$49</formula>
    </cfRule>
  </conditionalFormatting>
  <conditionalFormatting sqref="G49">
    <cfRule type="cellIs" dxfId="3700" priority="852" operator="greaterThan">
      <formula>$D$49</formula>
    </cfRule>
    <cfRule type="cellIs" dxfId="3699" priority="853" operator="lessThanOrEqual">
      <formula>$D$49</formula>
    </cfRule>
  </conditionalFormatting>
  <conditionalFormatting sqref="H49">
    <cfRule type="cellIs" dxfId="3698" priority="850" operator="greaterThan">
      <formula>$D$49</formula>
    </cfRule>
    <cfRule type="cellIs" dxfId="3697" priority="851" operator="lessThanOrEqual">
      <formula>$D$49</formula>
    </cfRule>
  </conditionalFormatting>
  <conditionalFormatting sqref="I49">
    <cfRule type="cellIs" dxfId="3696" priority="848" operator="greaterThan">
      <formula>$D$49</formula>
    </cfRule>
    <cfRule type="cellIs" dxfId="3695" priority="849" operator="lessThanOrEqual">
      <formula>$D$49</formula>
    </cfRule>
  </conditionalFormatting>
  <conditionalFormatting sqref="J49">
    <cfRule type="cellIs" dxfId="3694" priority="846" operator="greaterThan">
      <formula>$D$49</formula>
    </cfRule>
    <cfRule type="cellIs" dxfId="3693" priority="847" operator="lessThanOrEqual">
      <formula>$D$49</formula>
    </cfRule>
  </conditionalFormatting>
  <conditionalFormatting sqref="K49">
    <cfRule type="cellIs" dxfId="3692" priority="844" operator="greaterThan">
      <formula>$D$49</formula>
    </cfRule>
    <cfRule type="cellIs" dxfId="3691" priority="845" operator="lessThanOrEqual">
      <formula>$D$49</formula>
    </cfRule>
  </conditionalFormatting>
  <conditionalFormatting sqref="L49">
    <cfRule type="cellIs" dxfId="3690" priority="842" operator="greaterThan">
      <formula>$D$49</formula>
    </cfRule>
    <cfRule type="cellIs" dxfId="3689" priority="843" operator="lessThanOrEqual">
      <formula>$D$49</formula>
    </cfRule>
  </conditionalFormatting>
  <conditionalFormatting sqref="M49">
    <cfRule type="cellIs" dxfId="3688" priority="840" operator="greaterThan">
      <formula>$D$49</formula>
    </cfRule>
    <cfRule type="cellIs" dxfId="3687" priority="841" operator="lessThanOrEqual">
      <formula>$D$49</formula>
    </cfRule>
  </conditionalFormatting>
  <conditionalFormatting sqref="N49">
    <cfRule type="cellIs" dxfId="3686" priority="838" operator="greaterThan">
      <formula>$D$49</formula>
    </cfRule>
    <cfRule type="cellIs" dxfId="3685" priority="839" operator="lessThanOrEqual">
      <formula>$D$49</formula>
    </cfRule>
  </conditionalFormatting>
  <conditionalFormatting sqref="O49">
    <cfRule type="cellIs" dxfId="3684" priority="836" operator="greaterThan">
      <formula>$D$49</formula>
    </cfRule>
    <cfRule type="cellIs" dxfId="3683" priority="837" operator="lessThanOrEqual">
      <formula>$D$49</formula>
    </cfRule>
  </conditionalFormatting>
  <conditionalFormatting sqref="P49">
    <cfRule type="cellIs" dxfId="3682" priority="834" operator="greaterThan">
      <formula>$D$49</formula>
    </cfRule>
    <cfRule type="cellIs" dxfId="3681" priority="835" operator="lessThanOrEqual">
      <formula>$D$49</formula>
    </cfRule>
  </conditionalFormatting>
  <conditionalFormatting sqref="Q49">
    <cfRule type="cellIs" dxfId="3680" priority="832" operator="greaterThan">
      <formula>$D$49</formula>
    </cfRule>
    <cfRule type="cellIs" dxfId="3679" priority="833" operator="lessThanOrEqual">
      <formula>$D$49</formula>
    </cfRule>
  </conditionalFormatting>
  <conditionalFormatting sqref="E50">
    <cfRule type="cellIs" dxfId="3678" priority="830" operator="greaterThan">
      <formula>$D50</formula>
    </cfRule>
    <cfRule type="cellIs" dxfId="3677" priority="831" operator="lessThanOrEqual">
      <formula>$D50</formula>
    </cfRule>
  </conditionalFormatting>
  <conditionalFormatting sqref="E51">
    <cfRule type="cellIs" dxfId="3676" priority="828" operator="greaterThan">
      <formula>$D51</formula>
    </cfRule>
    <cfRule type="cellIs" dxfId="3675" priority="829" operator="lessThanOrEqual">
      <formula>$D51</formula>
    </cfRule>
  </conditionalFormatting>
  <conditionalFormatting sqref="E52">
    <cfRule type="cellIs" dxfId="3674" priority="826" operator="greaterThan">
      <formula>$D52</formula>
    </cfRule>
    <cfRule type="cellIs" dxfId="3673" priority="827" operator="lessThanOrEqual">
      <formula>$D52</formula>
    </cfRule>
  </conditionalFormatting>
  <conditionalFormatting sqref="E53:Q53">
    <cfRule type="cellIs" dxfId="3672" priority="825" operator="lessThanOrEqual">
      <formula>$D53</formula>
    </cfRule>
  </conditionalFormatting>
  <conditionalFormatting sqref="E55">
    <cfRule type="cellIs" dxfId="3671" priority="822" operator="greaterThan">
      <formula>$D55</formula>
    </cfRule>
    <cfRule type="cellIs" dxfId="3670" priority="823" operator="lessThanOrEqual">
      <formula>$D55</formula>
    </cfRule>
  </conditionalFormatting>
  <conditionalFormatting sqref="E56">
    <cfRule type="cellIs" dxfId="3669" priority="820" operator="greaterThan">
      <formula>$D56</formula>
    </cfRule>
    <cfRule type="cellIs" dxfId="3668" priority="821" operator="lessThanOrEqual">
      <formula>$D56</formula>
    </cfRule>
  </conditionalFormatting>
  <conditionalFormatting sqref="E57">
    <cfRule type="cellIs" dxfId="3667" priority="818" operator="greaterThan">
      <formula>$D57</formula>
    </cfRule>
    <cfRule type="cellIs" dxfId="3666" priority="819" operator="lessThanOrEqual">
      <formula>$D57</formula>
    </cfRule>
  </conditionalFormatting>
  <conditionalFormatting sqref="E58">
    <cfRule type="cellIs" dxfId="3665" priority="816" operator="greaterThan">
      <formula>$D58</formula>
    </cfRule>
    <cfRule type="cellIs" dxfId="3664" priority="817" operator="lessThanOrEqual">
      <formula>$D58</formula>
    </cfRule>
  </conditionalFormatting>
  <conditionalFormatting sqref="E59">
    <cfRule type="cellIs" dxfId="3663" priority="814" operator="greaterThan">
      <formula>$D59</formula>
    </cfRule>
    <cfRule type="cellIs" dxfId="3662" priority="815" operator="lessThanOrEqual">
      <formula>$D59</formula>
    </cfRule>
  </conditionalFormatting>
  <conditionalFormatting sqref="E60">
    <cfRule type="cellIs" dxfId="3661" priority="812" operator="greaterThan">
      <formula>$D60</formula>
    </cfRule>
    <cfRule type="cellIs" dxfId="3660" priority="813" operator="lessThanOrEqual">
      <formula>$D60</formula>
    </cfRule>
  </conditionalFormatting>
  <conditionalFormatting sqref="E61">
    <cfRule type="cellIs" dxfId="3659" priority="810" operator="greaterThan">
      <formula>$D61</formula>
    </cfRule>
    <cfRule type="cellIs" dxfId="3658" priority="811" operator="lessThanOrEqual">
      <formula>$D61</formula>
    </cfRule>
  </conditionalFormatting>
  <conditionalFormatting sqref="E62">
    <cfRule type="cellIs" dxfId="3657" priority="808" operator="greaterThan">
      <formula>$D62</formula>
    </cfRule>
    <cfRule type="cellIs" dxfId="3656" priority="809" operator="lessThanOrEqual">
      <formula>$D62</formula>
    </cfRule>
  </conditionalFormatting>
  <conditionalFormatting sqref="E63">
    <cfRule type="cellIs" dxfId="3655" priority="806" operator="greaterThan">
      <formula>$D63</formula>
    </cfRule>
    <cfRule type="cellIs" dxfId="3654" priority="807" operator="lessThanOrEqual">
      <formula>$D63</formula>
    </cfRule>
  </conditionalFormatting>
  <conditionalFormatting sqref="E64">
    <cfRule type="cellIs" dxfId="3653" priority="804" operator="greaterThan">
      <formula>$D64</formula>
    </cfRule>
    <cfRule type="cellIs" dxfId="3652" priority="805" operator="lessThanOrEqual">
      <formula>$D64</formula>
    </cfRule>
  </conditionalFormatting>
  <conditionalFormatting sqref="E65">
    <cfRule type="cellIs" dxfId="3651" priority="802" operator="greaterThan">
      <formula>$D65</formula>
    </cfRule>
    <cfRule type="cellIs" dxfId="3650" priority="803" operator="lessThanOrEqual">
      <formula>$D65</formula>
    </cfRule>
  </conditionalFormatting>
  <conditionalFormatting sqref="E66">
    <cfRule type="cellIs" dxfId="3649" priority="800" operator="greaterThan">
      <formula>$D66</formula>
    </cfRule>
    <cfRule type="cellIs" dxfId="3648" priority="801" operator="lessThanOrEqual">
      <formula>$D66</formula>
    </cfRule>
  </conditionalFormatting>
  <conditionalFormatting sqref="E67">
    <cfRule type="cellIs" dxfId="3647" priority="798" operator="greaterThan">
      <formula>$D67</formula>
    </cfRule>
    <cfRule type="cellIs" dxfId="3646" priority="799" operator="lessThanOrEqual">
      <formula>$D67</formula>
    </cfRule>
  </conditionalFormatting>
  <conditionalFormatting sqref="E68">
    <cfRule type="cellIs" dxfId="3645" priority="796" operator="greaterThan">
      <formula>$D68</formula>
    </cfRule>
    <cfRule type="cellIs" dxfId="3644" priority="797" operator="lessThanOrEqual">
      <formula>$D68</formula>
    </cfRule>
  </conditionalFormatting>
  <conditionalFormatting sqref="E69">
    <cfRule type="cellIs" dxfId="3643" priority="794" operator="greaterThan">
      <formula>$D69</formula>
    </cfRule>
    <cfRule type="cellIs" dxfId="3642" priority="795" operator="lessThanOrEqual">
      <formula>$D69</formula>
    </cfRule>
  </conditionalFormatting>
  <conditionalFormatting sqref="E70">
    <cfRule type="cellIs" dxfId="3641" priority="792" operator="greaterThan">
      <formula>$D70</formula>
    </cfRule>
    <cfRule type="cellIs" dxfId="3640" priority="793" operator="lessThanOrEqual">
      <formula>$D70</formula>
    </cfRule>
  </conditionalFormatting>
  <conditionalFormatting sqref="E71:E72">
    <cfRule type="cellIs" dxfId="3639" priority="790" operator="greaterThan">
      <formula>$D71</formula>
    </cfRule>
    <cfRule type="cellIs" dxfId="3638" priority="791" operator="lessThanOrEqual">
      <formula>$D71</formula>
    </cfRule>
  </conditionalFormatting>
  <conditionalFormatting sqref="E73:E74 F74:P74">
    <cfRule type="cellIs" dxfId="3637" priority="788" operator="greaterThan">
      <formula>$D73</formula>
    </cfRule>
    <cfRule type="cellIs" dxfId="3636" priority="789" operator="lessThanOrEqual">
      <formula>$D73</formula>
    </cfRule>
  </conditionalFormatting>
  <conditionalFormatting sqref="F50">
    <cfRule type="cellIs" dxfId="3635" priority="786" operator="greaterThan">
      <formula>$D50</formula>
    </cfRule>
    <cfRule type="cellIs" dxfId="3634" priority="787" operator="lessThanOrEqual">
      <formula>$D50</formula>
    </cfRule>
  </conditionalFormatting>
  <conditionalFormatting sqref="F51">
    <cfRule type="cellIs" dxfId="3633" priority="784" operator="greaterThan">
      <formula>$D51</formula>
    </cfRule>
    <cfRule type="cellIs" dxfId="3632" priority="785" operator="lessThanOrEqual">
      <formula>$D51</formula>
    </cfRule>
  </conditionalFormatting>
  <conditionalFormatting sqref="F52">
    <cfRule type="cellIs" dxfId="3631" priority="782" operator="greaterThan">
      <formula>$D52</formula>
    </cfRule>
    <cfRule type="cellIs" dxfId="3630" priority="783" operator="lessThanOrEqual">
      <formula>$D52</formula>
    </cfRule>
  </conditionalFormatting>
  <conditionalFormatting sqref="F55">
    <cfRule type="cellIs" dxfId="3629" priority="778" operator="greaterThan">
      <formula>$D55</formula>
    </cfRule>
    <cfRule type="cellIs" dxfId="3628" priority="779" operator="lessThanOrEqual">
      <formula>$D55</formula>
    </cfRule>
  </conditionalFormatting>
  <conditionalFormatting sqref="F56">
    <cfRule type="cellIs" dxfId="3627" priority="776" operator="greaterThan">
      <formula>$D56</formula>
    </cfRule>
    <cfRule type="cellIs" dxfId="3626" priority="777" operator="lessThanOrEqual">
      <formula>$D56</formula>
    </cfRule>
  </conditionalFormatting>
  <conditionalFormatting sqref="F57">
    <cfRule type="cellIs" dxfId="3625" priority="774" operator="greaterThan">
      <formula>$D57</formula>
    </cfRule>
    <cfRule type="cellIs" dxfId="3624" priority="775" operator="lessThanOrEqual">
      <formula>$D57</formula>
    </cfRule>
  </conditionalFormatting>
  <conditionalFormatting sqref="F58">
    <cfRule type="cellIs" dxfId="3623" priority="772" operator="greaterThan">
      <formula>$D58</formula>
    </cfRule>
    <cfRule type="cellIs" dxfId="3622" priority="773" operator="lessThanOrEqual">
      <formula>$D58</formula>
    </cfRule>
  </conditionalFormatting>
  <conditionalFormatting sqref="F59">
    <cfRule type="cellIs" dxfId="3621" priority="770" operator="greaterThan">
      <formula>$D59</formula>
    </cfRule>
    <cfRule type="cellIs" dxfId="3620" priority="771" operator="lessThanOrEqual">
      <formula>$D59</formula>
    </cfRule>
  </conditionalFormatting>
  <conditionalFormatting sqref="F60">
    <cfRule type="cellIs" dxfId="3619" priority="768" operator="greaterThan">
      <formula>$D60</formula>
    </cfRule>
    <cfRule type="cellIs" dxfId="3618" priority="769" operator="lessThanOrEqual">
      <formula>$D60</formula>
    </cfRule>
  </conditionalFormatting>
  <conditionalFormatting sqref="F61">
    <cfRule type="cellIs" dxfId="3617" priority="766" operator="greaterThan">
      <formula>$D61</formula>
    </cfRule>
    <cfRule type="cellIs" dxfId="3616" priority="767" operator="lessThanOrEqual">
      <formula>$D61</formula>
    </cfRule>
  </conditionalFormatting>
  <conditionalFormatting sqref="F62">
    <cfRule type="cellIs" dxfId="3615" priority="764" operator="greaterThan">
      <formula>$D62</formula>
    </cfRule>
    <cfRule type="cellIs" dxfId="3614" priority="765" operator="lessThanOrEqual">
      <formula>$D62</formula>
    </cfRule>
  </conditionalFormatting>
  <conditionalFormatting sqref="F63">
    <cfRule type="cellIs" dxfId="3613" priority="762" operator="greaterThan">
      <formula>$D63</formula>
    </cfRule>
    <cfRule type="cellIs" dxfId="3612" priority="763" operator="lessThanOrEqual">
      <formula>$D63</formula>
    </cfRule>
  </conditionalFormatting>
  <conditionalFormatting sqref="F64">
    <cfRule type="cellIs" dxfId="3611" priority="760" operator="greaterThan">
      <formula>$D64</formula>
    </cfRule>
    <cfRule type="cellIs" dxfId="3610" priority="761" operator="lessThanOrEqual">
      <formula>$D64</formula>
    </cfRule>
  </conditionalFormatting>
  <conditionalFormatting sqref="F65">
    <cfRule type="cellIs" dxfId="3609" priority="758" operator="greaterThan">
      <formula>$D65</formula>
    </cfRule>
    <cfRule type="cellIs" dxfId="3608" priority="759" operator="lessThanOrEqual">
      <formula>$D65</formula>
    </cfRule>
  </conditionalFormatting>
  <conditionalFormatting sqref="F66">
    <cfRule type="cellIs" dxfId="3607" priority="756" operator="greaterThan">
      <formula>$D66</formula>
    </cfRule>
    <cfRule type="cellIs" dxfId="3606" priority="757" operator="lessThanOrEqual">
      <formula>$D66</formula>
    </cfRule>
  </conditionalFormatting>
  <conditionalFormatting sqref="F67">
    <cfRule type="cellIs" dxfId="3605" priority="754" operator="greaterThan">
      <formula>$D67</formula>
    </cfRule>
    <cfRule type="cellIs" dxfId="3604" priority="755" operator="lessThanOrEqual">
      <formula>$D67</formula>
    </cfRule>
  </conditionalFormatting>
  <conditionalFormatting sqref="F68">
    <cfRule type="cellIs" dxfId="3603" priority="752" operator="greaterThan">
      <formula>$D68</formula>
    </cfRule>
    <cfRule type="cellIs" dxfId="3602" priority="753" operator="lessThanOrEqual">
      <formula>$D68</formula>
    </cfRule>
  </conditionalFormatting>
  <conditionalFormatting sqref="F69">
    <cfRule type="cellIs" dxfId="3601" priority="750" operator="greaterThan">
      <formula>$D69</formula>
    </cfRule>
    <cfRule type="cellIs" dxfId="3600" priority="751" operator="lessThanOrEqual">
      <formula>$D69</formula>
    </cfRule>
  </conditionalFormatting>
  <conditionalFormatting sqref="F70">
    <cfRule type="cellIs" dxfId="3599" priority="748" operator="greaterThan">
      <formula>$D70</formula>
    </cfRule>
    <cfRule type="cellIs" dxfId="3598" priority="749" operator="lessThanOrEqual">
      <formula>$D70</formula>
    </cfRule>
  </conditionalFormatting>
  <conditionalFormatting sqref="F71:F72 G72:P72">
    <cfRule type="cellIs" dxfId="3597" priority="746" operator="greaterThan">
      <formula>$D71</formula>
    </cfRule>
    <cfRule type="cellIs" dxfId="3596" priority="747" operator="lessThanOrEqual">
      <formula>$D71</formula>
    </cfRule>
  </conditionalFormatting>
  <conditionalFormatting sqref="F73">
    <cfRule type="cellIs" dxfId="3595" priority="744" operator="greaterThan">
      <formula>$D73</formula>
    </cfRule>
    <cfRule type="cellIs" dxfId="3594" priority="745" operator="lessThanOrEqual">
      <formula>$D73</formula>
    </cfRule>
  </conditionalFormatting>
  <conditionalFormatting sqref="G50">
    <cfRule type="cellIs" dxfId="3593" priority="742" operator="greaterThan">
      <formula>$D50</formula>
    </cfRule>
    <cfRule type="cellIs" dxfId="3592" priority="743" operator="lessThanOrEqual">
      <formula>$D50</formula>
    </cfRule>
  </conditionalFormatting>
  <conditionalFormatting sqref="G51">
    <cfRule type="cellIs" dxfId="3591" priority="740" operator="greaterThan">
      <formula>$D51</formula>
    </cfRule>
    <cfRule type="cellIs" dxfId="3590" priority="741" operator="lessThanOrEqual">
      <formula>$D51</formula>
    </cfRule>
  </conditionalFormatting>
  <conditionalFormatting sqref="G52">
    <cfRule type="cellIs" dxfId="3589" priority="738" operator="greaterThan">
      <formula>$D52</formula>
    </cfRule>
    <cfRule type="cellIs" dxfId="3588" priority="739" operator="lessThanOrEqual">
      <formula>$D52</formula>
    </cfRule>
  </conditionalFormatting>
  <conditionalFormatting sqref="G55">
    <cfRule type="cellIs" dxfId="3587" priority="734" operator="greaterThan">
      <formula>$D55</formula>
    </cfRule>
    <cfRule type="cellIs" dxfId="3586" priority="735" operator="lessThanOrEqual">
      <formula>$D55</formula>
    </cfRule>
  </conditionalFormatting>
  <conditionalFormatting sqref="G56">
    <cfRule type="cellIs" dxfId="3585" priority="732" operator="greaterThan">
      <formula>$D56</formula>
    </cfRule>
    <cfRule type="cellIs" dxfId="3584" priority="733" operator="lessThanOrEqual">
      <formula>$D56</formula>
    </cfRule>
  </conditionalFormatting>
  <conditionalFormatting sqref="G57">
    <cfRule type="cellIs" dxfId="3583" priority="730" operator="greaterThan">
      <formula>$D57</formula>
    </cfRule>
    <cfRule type="cellIs" dxfId="3582" priority="731" operator="lessThanOrEqual">
      <formula>$D57</formula>
    </cfRule>
  </conditionalFormatting>
  <conditionalFormatting sqref="G58">
    <cfRule type="cellIs" dxfId="3581" priority="728" operator="greaterThan">
      <formula>$D58</formula>
    </cfRule>
    <cfRule type="cellIs" dxfId="3580" priority="729" operator="lessThanOrEqual">
      <formula>$D58</formula>
    </cfRule>
  </conditionalFormatting>
  <conditionalFormatting sqref="G59">
    <cfRule type="cellIs" dxfId="3579" priority="726" operator="greaterThan">
      <formula>$D59</formula>
    </cfRule>
    <cfRule type="cellIs" dxfId="3578" priority="727" operator="lessThanOrEqual">
      <formula>$D59</formula>
    </cfRule>
  </conditionalFormatting>
  <conditionalFormatting sqref="G60">
    <cfRule type="cellIs" dxfId="3577" priority="724" operator="greaterThan">
      <formula>$D60</formula>
    </cfRule>
    <cfRule type="cellIs" dxfId="3576" priority="725" operator="lessThanOrEqual">
      <formula>$D60</formula>
    </cfRule>
  </conditionalFormatting>
  <conditionalFormatting sqref="G61">
    <cfRule type="cellIs" dxfId="3575" priority="722" operator="greaterThan">
      <formula>$D61</formula>
    </cfRule>
    <cfRule type="cellIs" dxfId="3574" priority="723" operator="lessThanOrEqual">
      <formula>$D61</formula>
    </cfRule>
  </conditionalFormatting>
  <conditionalFormatting sqref="G62">
    <cfRule type="cellIs" dxfId="3573" priority="720" operator="greaterThan">
      <formula>$D62</formula>
    </cfRule>
    <cfRule type="cellIs" dxfId="3572" priority="721" operator="lessThanOrEqual">
      <formula>$D62</formula>
    </cfRule>
  </conditionalFormatting>
  <conditionalFormatting sqref="G63">
    <cfRule type="cellIs" dxfId="3571" priority="718" operator="greaterThan">
      <formula>$D63</formula>
    </cfRule>
    <cfRule type="cellIs" dxfId="3570" priority="719" operator="lessThanOrEqual">
      <formula>$D63</formula>
    </cfRule>
  </conditionalFormatting>
  <conditionalFormatting sqref="G64">
    <cfRule type="cellIs" dxfId="3569" priority="716" operator="greaterThan">
      <formula>$D64</formula>
    </cfRule>
    <cfRule type="cellIs" dxfId="3568" priority="717" operator="lessThanOrEqual">
      <formula>$D64</formula>
    </cfRule>
  </conditionalFormatting>
  <conditionalFormatting sqref="G65">
    <cfRule type="cellIs" dxfId="3567" priority="714" operator="greaterThan">
      <formula>$D65</formula>
    </cfRule>
    <cfRule type="cellIs" dxfId="3566" priority="715" operator="lessThanOrEqual">
      <formula>$D65</formula>
    </cfRule>
  </conditionalFormatting>
  <conditionalFormatting sqref="G66">
    <cfRule type="cellIs" dxfId="3565" priority="712" operator="greaterThan">
      <formula>$D66</formula>
    </cfRule>
    <cfRule type="cellIs" dxfId="3564" priority="713" operator="lessThanOrEqual">
      <formula>$D66</formula>
    </cfRule>
  </conditionalFormatting>
  <conditionalFormatting sqref="G67">
    <cfRule type="cellIs" dxfId="3563" priority="710" operator="greaterThan">
      <formula>$D67</formula>
    </cfRule>
    <cfRule type="cellIs" dxfId="3562" priority="711" operator="lessThanOrEqual">
      <formula>$D67</formula>
    </cfRule>
  </conditionalFormatting>
  <conditionalFormatting sqref="G68">
    <cfRule type="cellIs" dxfId="3561" priority="708" operator="greaterThan">
      <formula>$D68</formula>
    </cfRule>
    <cfRule type="cellIs" dxfId="3560" priority="709" operator="lessThanOrEqual">
      <formula>$D68</formula>
    </cfRule>
  </conditionalFormatting>
  <conditionalFormatting sqref="G69">
    <cfRule type="cellIs" dxfId="3559" priority="706" operator="greaterThan">
      <formula>$D69</formula>
    </cfRule>
    <cfRule type="cellIs" dxfId="3558" priority="707" operator="lessThanOrEqual">
      <formula>$D69</formula>
    </cfRule>
  </conditionalFormatting>
  <conditionalFormatting sqref="G70">
    <cfRule type="cellIs" dxfId="3557" priority="704" operator="greaterThan">
      <formula>$D70</formula>
    </cfRule>
    <cfRule type="cellIs" dxfId="3556" priority="705" operator="lessThanOrEqual">
      <formula>$D70</formula>
    </cfRule>
  </conditionalFormatting>
  <conditionalFormatting sqref="G71">
    <cfRule type="cellIs" dxfId="3555" priority="702" operator="greaterThan">
      <formula>$D71</formula>
    </cfRule>
    <cfRule type="cellIs" dxfId="3554" priority="703" operator="lessThanOrEqual">
      <formula>$D71</formula>
    </cfRule>
  </conditionalFormatting>
  <conditionalFormatting sqref="G73">
    <cfRule type="cellIs" dxfId="3553" priority="700" operator="greaterThan">
      <formula>$D73</formula>
    </cfRule>
    <cfRule type="cellIs" dxfId="3552" priority="701" operator="lessThanOrEqual">
      <formula>$D73</formula>
    </cfRule>
  </conditionalFormatting>
  <conditionalFormatting sqref="H50">
    <cfRule type="cellIs" dxfId="3551" priority="698" operator="greaterThan">
      <formula>$D50</formula>
    </cfRule>
    <cfRule type="cellIs" dxfId="3550" priority="699" operator="lessThanOrEqual">
      <formula>$D50</formula>
    </cfRule>
  </conditionalFormatting>
  <conditionalFormatting sqref="H51">
    <cfRule type="cellIs" dxfId="3549" priority="696" operator="greaterThan">
      <formula>$D51</formula>
    </cfRule>
    <cfRule type="cellIs" dxfId="3548" priority="697" operator="lessThanOrEqual">
      <formula>$D51</formula>
    </cfRule>
  </conditionalFormatting>
  <conditionalFormatting sqref="H52">
    <cfRule type="cellIs" dxfId="3547" priority="694" operator="greaterThan">
      <formula>$D52</formula>
    </cfRule>
    <cfRule type="cellIs" dxfId="3546" priority="695" operator="lessThanOrEqual">
      <formula>$D52</formula>
    </cfRule>
  </conditionalFormatting>
  <conditionalFormatting sqref="H55">
    <cfRule type="cellIs" dxfId="3545" priority="690" operator="greaterThan">
      <formula>$D55</formula>
    </cfRule>
    <cfRule type="cellIs" dxfId="3544" priority="691" operator="lessThanOrEqual">
      <formula>$D55</formula>
    </cfRule>
  </conditionalFormatting>
  <conditionalFormatting sqref="H56">
    <cfRule type="cellIs" dxfId="3543" priority="688" operator="greaterThan">
      <formula>$D56</formula>
    </cfRule>
    <cfRule type="cellIs" dxfId="3542" priority="689" operator="lessThanOrEqual">
      <formula>$D56</formula>
    </cfRule>
  </conditionalFormatting>
  <conditionalFormatting sqref="H57">
    <cfRule type="cellIs" dxfId="3541" priority="686" operator="greaterThan">
      <formula>$D57</formula>
    </cfRule>
    <cfRule type="cellIs" dxfId="3540" priority="687" operator="lessThanOrEqual">
      <formula>$D57</formula>
    </cfRule>
  </conditionalFormatting>
  <conditionalFormatting sqref="H58">
    <cfRule type="cellIs" dxfId="3539" priority="684" operator="greaterThan">
      <formula>$D58</formula>
    </cfRule>
    <cfRule type="cellIs" dxfId="3538" priority="685" operator="lessThanOrEqual">
      <formula>$D58</formula>
    </cfRule>
  </conditionalFormatting>
  <conditionalFormatting sqref="H59">
    <cfRule type="cellIs" dxfId="3537" priority="682" operator="greaterThan">
      <formula>$D59</formula>
    </cfRule>
    <cfRule type="cellIs" dxfId="3536" priority="683" operator="lessThanOrEqual">
      <formula>$D59</formula>
    </cfRule>
  </conditionalFormatting>
  <conditionalFormatting sqref="H60">
    <cfRule type="cellIs" dxfId="3535" priority="680" operator="greaterThan">
      <formula>$D60</formula>
    </cfRule>
    <cfRule type="cellIs" dxfId="3534" priority="681" operator="lessThanOrEqual">
      <formula>$D60</formula>
    </cfRule>
  </conditionalFormatting>
  <conditionalFormatting sqref="H61">
    <cfRule type="cellIs" dxfId="3533" priority="678" operator="greaterThan">
      <formula>$D61</formula>
    </cfRule>
    <cfRule type="cellIs" dxfId="3532" priority="679" operator="lessThanOrEqual">
      <formula>$D61</formula>
    </cfRule>
  </conditionalFormatting>
  <conditionalFormatting sqref="H62">
    <cfRule type="cellIs" dxfId="3531" priority="676" operator="greaterThan">
      <formula>$D62</formula>
    </cfRule>
    <cfRule type="cellIs" dxfId="3530" priority="677" operator="lessThanOrEqual">
      <formula>$D62</formula>
    </cfRule>
  </conditionalFormatting>
  <conditionalFormatting sqref="H63">
    <cfRule type="cellIs" dxfId="3529" priority="674" operator="greaterThan">
      <formula>$D63</formula>
    </cfRule>
    <cfRule type="cellIs" dxfId="3528" priority="675" operator="lessThanOrEqual">
      <formula>$D63</formula>
    </cfRule>
  </conditionalFormatting>
  <conditionalFormatting sqref="H64">
    <cfRule type="cellIs" dxfId="3527" priority="672" operator="greaterThan">
      <formula>$D64</formula>
    </cfRule>
    <cfRule type="cellIs" dxfId="3526" priority="673" operator="lessThanOrEqual">
      <formula>$D64</formula>
    </cfRule>
  </conditionalFormatting>
  <conditionalFormatting sqref="H65">
    <cfRule type="cellIs" dxfId="3525" priority="670" operator="greaterThan">
      <formula>$D65</formula>
    </cfRule>
    <cfRule type="cellIs" dxfId="3524" priority="671" operator="lessThanOrEqual">
      <formula>$D65</formula>
    </cfRule>
  </conditionalFormatting>
  <conditionalFormatting sqref="H66">
    <cfRule type="cellIs" dxfId="3523" priority="668" operator="greaterThan">
      <formula>$D66</formula>
    </cfRule>
    <cfRule type="cellIs" dxfId="3522" priority="669" operator="lessThanOrEqual">
      <formula>$D66</formula>
    </cfRule>
  </conditionalFormatting>
  <conditionalFormatting sqref="H67">
    <cfRule type="cellIs" dxfId="3521" priority="666" operator="greaterThan">
      <formula>$D67</formula>
    </cfRule>
    <cfRule type="cellIs" dxfId="3520" priority="667" operator="lessThanOrEqual">
      <formula>$D67</formula>
    </cfRule>
  </conditionalFormatting>
  <conditionalFormatting sqref="H68">
    <cfRule type="cellIs" dxfId="3519" priority="664" operator="greaterThan">
      <formula>$D68</formula>
    </cfRule>
    <cfRule type="cellIs" dxfId="3518" priority="665" operator="lessThanOrEqual">
      <formula>$D68</formula>
    </cfRule>
  </conditionalFormatting>
  <conditionalFormatting sqref="H69">
    <cfRule type="cellIs" dxfId="3517" priority="662" operator="greaterThan">
      <formula>$D69</formula>
    </cfRule>
    <cfRule type="cellIs" dxfId="3516" priority="663" operator="lessThanOrEqual">
      <formula>$D69</formula>
    </cfRule>
  </conditionalFormatting>
  <conditionalFormatting sqref="H70">
    <cfRule type="cellIs" dxfId="3515" priority="660" operator="greaterThan">
      <formula>$D70</formula>
    </cfRule>
    <cfRule type="cellIs" dxfId="3514" priority="661" operator="lessThanOrEqual">
      <formula>$D70</formula>
    </cfRule>
  </conditionalFormatting>
  <conditionalFormatting sqref="H71">
    <cfRule type="cellIs" dxfId="3513" priority="658" operator="greaterThan">
      <formula>$D71</formula>
    </cfRule>
    <cfRule type="cellIs" dxfId="3512" priority="659" operator="lessThanOrEqual">
      <formula>$D71</formula>
    </cfRule>
  </conditionalFormatting>
  <conditionalFormatting sqref="H73">
    <cfRule type="cellIs" dxfId="3511" priority="656" operator="greaterThan">
      <formula>$D73</formula>
    </cfRule>
    <cfRule type="cellIs" dxfId="3510" priority="657" operator="lessThanOrEqual">
      <formula>$D73</formula>
    </cfRule>
  </conditionalFormatting>
  <conditionalFormatting sqref="I50">
    <cfRule type="cellIs" dxfId="3509" priority="654" operator="greaterThan">
      <formula>$D50</formula>
    </cfRule>
    <cfRule type="cellIs" dxfId="3508" priority="655" operator="lessThanOrEqual">
      <formula>$D50</formula>
    </cfRule>
  </conditionalFormatting>
  <conditionalFormatting sqref="I51">
    <cfRule type="cellIs" dxfId="3507" priority="652" operator="greaterThan">
      <formula>$D51</formula>
    </cfRule>
    <cfRule type="cellIs" dxfId="3506" priority="653" operator="lessThanOrEqual">
      <formula>$D51</formula>
    </cfRule>
  </conditionalFormatting>
  <conditionalFormatting sqref="I52">
    <cfRule type="cellIs" dxfId="3505" priority="650" operator="greaterThan">
      <formula>$D52</formula>
    </cfRule>
    <cfRule type="cellIs" dxfId="3504" priority="651" operator="lessThanOrEqual">
      <formula>$D52</formula>
    </cfRule>
  </conditionalFormatting>
  <conditionalFormatting sqref="I55">
    <cfRule type="cellIs" dxfId="3503" priority="646" operator="greaterThan">
      <formula>$D55</formula>
    </cfRule>
    <cfRule type="cellIs" dxfId="3502" priority="647" operator="lessThanOrEqual">
      <formula>$D55</formula>
    </cfRule>
  </conditionalFormatting>
  <conditionalFormatting sqref="I56">
    <cfRule type="cellIs" dxfId="3501" priority="644" operator="greaterThan">
      <formula>$D56</formula>
    </cfRule>
    <cfRule type="cellIs" dxfId="3500" priority="645" operator="lessThanOrEqual">
      <formula>$D56</formula>
    </cfRule>
  </conditionalFormatting>
  <conditionalFormatting sqref="I57">
    <cfRule type="cellIs" dxfId="3499" priority="642" operator="greaterThan">
      <formula>$D57</formula>
    </cfRule>
    <cfRule type="cellIs" dxfId="3498" priority="643" operator="lessThanOrEqual">
      <formula>$D57</formula>
    </cfRule>
  </conditionalFormatting>
  <conditionalFormatting sqref="I58">
    <cfRule type="cellIs" dxfId="3497" priority="640" operator="greaterThan">
      <formula>$D58</formula>
    </cfRule>
    <cfRule type="cellIs" dxfId="3496" priority="641" operator="lessThanOrEqual">
      <formula>$D58</formula>
    </cfRule>
  </conditionalFormatting>
  <conditionalFormatting sqref="I59">
    <cfRule type="cellIs" dxfId="3495" priority="638" operator="greaterThan">
      <formula>$D59</formula>
    </cfRule>
    <cfRule type="cellIs" dxfId="3494" priority="639" operator="lessThanOrEqual">
      <formula>$D59</formula>
    </cfRule>
  </conditionalFormatting>
  <conditionalFormatting sqref="I60">
    <cfRule type="cellIs" dxfId="3493" priority="636" operator="greaterThan">
      <formula>$D60</formula>
    </cfRule>
    <cfRule type="cellIs" dxfId="3492" priority="637" operator="lessThanOrEqual">
      <formula>$D60</formula>
    </cfRule>
  </conditionalFormatting>
  <conditionalFormatting sqref="I61">
    <cfRule type="cellIs" dxfId="3491" priority="634" operator="greaterThan">
      <formula>$D61</formula>
    </cfRule>
    <cfRule type="cellIs" dxfId="3490" priority="635" operator="lessThanOrEqual">
      <formula>$D61</formula>
    </cfRule>
  </conditionalFormatting>
  <conditionalFormatting sqref="I62">
    <cfRule type="cellIs" dxfId="3489" priority="632" operator="greaterThan">
      <formula>$D62</formula>
    </cfRule>
    <cfRule type="cellIs" dxfId="3488" priority="633" operator="lessThanOrEqual">
      <formula>$D62</formula>
    </cfRule>
  </conditionalFormatting>
  <conditionalFormatting sqref="I63">
    <cfRule type="cellIs" dxfId="3487" priority="630" operator="greaterThan">
      <formula>$D63</formula>
    </cfRule>
    <cfRule type="cellIs" dxfId="3486" priority="631" operator="lessThanOrEqual">
      <formula>$D63</formula>
    </cfRule>
  </conditionalFormatting>
  <conditionalFormatting sqref="I64">
    <cfRule type="cellIs" dxfId="3485" priority="628" operator="greaterThan">
      <formula>$D64</formula>
    </cfRule>
    <cfRule type="cellIs" dxfId="3484" priority="629" operator="lessThanOrEqual">
      <formula>$D64</formula>
    </cfRule>
  </conditionalFormatting>
  <conditionalFormatting sqref="I65">
    <cfRule type="cellIs" dxfId="3483" priority="626" operator="greaterThan">
      <formula>$D65</formula>
    </cfRule>
    <cfRule type="cellIs" dxfId="3482" priority="627" operator="lessThanOrEqual">
      <formula>$D65</formula>
    </cfRule>
  </conditionalFormatting>
  <conditionalFormatting sqref="I66">
    <cfRule type="cellIs" dxfId="3481" priority="624" operator="greaterThan">
      <formula>$D66</formula>
    </cfRule>
    <cfRule type="cellIs" dxfId="3480" priority="625" operator="lessThanOrEqual">
      <formula>$D66</formula>
    </cfRule>
  </conditionalFormatting>
  <conditionalFormatting sqref="I67">
    <cfRule type="cellIs" dxfId="3479" priority="622" operator="greaterThan">
      <formula>$D67</formula>
    </cfRule>
    <cfRule type="cellIs" dxfId="3478" priority="623" operator="lessThanOrEqual">
      <formula>$D67</formula>
    </cfRule>
  </conditionalFormatting>
  <conditionalFormatting sqref="I68">
    <cfRule type="cellIs" dxfId="3477" priority="620" operator="greaterThan">
      <formula>$D68</formula>
    </cfRule>
    <cfRule type="cellIs" dxfId="3476" priority="621" operator="lessThanOrEqual">
      <formula>$D68</formula>
    </cfRule>
  </conditionalFormatting>
  <conditionalFormatting sqref="I69">
    <cfRule type="cellIs" dxfId="3475" priority="618" operator="greaterThan">
      <formula>$D69</formula>
    </cfRule>
    <cfRule type="cellIs" dxfId="3474" priority="619" operator="lessThanOrEqual">
      <formula>$D69</formula>
    </cfRule>
  </conditionalFormatting>
  <conditionalFormatting sqref="I70">
    <cfRule type="cellIs" dxfId="3473" priority="616" operator="greaterThan">
      <formula>$D70</formula>
    </cfRule>
    <cfRule type="cellIs" dxfId="3472" priority="617" operator="lessThanOrEqual">
      <formula>$D70</formula>
    </cfRule>
  </conditionalFormatting>
  <conditionalFormatting sqref="I71">
    <cfRule type="cellIs" dxfId="3471" priority="614" operator="greaterThan">
      <formula>$D71</formula>
    </cfRule>
    <cfRule type="cellIs" dxfId="3470" priority="615" operator="lessThanOrEqual">
      <formula>$D71</formula>
    </cfRule>
  </conditionalFormatting>
  <conditionalFormatting sqref="I73">
    <cfRule type="cellIs" dxfId="3469" priority="612" operator="greaterThan">
      <formula>$D73</formula>
    </cfRule>
    <cfRule type="cellIs" dxfId="3468" priority="613" operator="lessThanOrEqual">
      <formula>$D73</formula>
    </cfRule>
  </conditionalFormatting>
  <conditionalFormatting sqref="J50">
    <cfRule type="cellIs" dxfId="3467" priority="610" operator="greaterThan">
      <formula>$D50</formula>
    </cfRule>
    <cfRule type="cellIs" dxfId="3466" priority="611" operator="lessThanOrEqual">
      <formula>$D50</formula>
    </cfRule>
  </conditionalFormatting>
  <conditionalFormatting sqref="J51">
    <cfRule type="cellIs" dxfId="3465" priority="608" operator="greaterThan">
      <formula>$D51</formula>
    </cfRule>
    <cfRule type="cellIs" dxfId="3464" priority="609" operator="lessThanOrEqual">
      <formula>$D51</formula>
    </cfRule>
  </conditionalFormatting>
  <conditionalFormatting sqref="J52">
    <cfRule type="cellIs" dxfId="3463" priority="606" operator="greaterThan">
      <formula>$D52</formula>
    </cfRule>
    <cfRule type="cellIs" dxfId="3462" priority="607" operator="lessThanOrEqual">
      <formula>$D52</formula>
    </cfRule>
  </conditionalFormatting>
  <conditionalFormatting sqref="J55">
    <cfRule type="cellIs" dxfId="3461" priority="602" operator="greaterThan">
      <formula>$D55</formula>
    </cfRule>
    <cfRule type="cellIs" dxfId="3460" priority="603" operator="lessThanOrEqual">
      <formula>$D55</formula>
    </cfRule>
  </conditionalFormatting>
  <conditionalFormatting sqref="J56">
    <cfRule type="cellIs" dxfId="3459" priority="600" operator="greaterThan">
      <formula>$D56</formula>
    </cfRule>
    <cfRule type="cellIs" dxfId="3458" priority="601" operator="lessThanOrEqual">
      <formula>$D56</formula>
    </cfRule>
  </conditionalFormatting>
  <conditionalFormatting sqref="J57">
    <cfRule type="cellIs" dxfId="3457" priority="598" operator="greaterThan">
      <formula>$D57</formula>
    </cfRule>
    <cfRule type="cellIs" dxfId="3456" priority="599" operator="lessThanOrEqual">
      <formula>$D57</formula>
    </cfRule>
  </conditionalFormatting>
  <conditionalFormatting sqref="J58">
    <cfRule type="cellIs" dxfId="3455" priority="596" operator="greaterThan">
      <formula>$D58</formula>
    </cfRule>
    <cfRule type="cellIs" dxfId="3454" priority="597" operator="lessThanOrEqual">
      <formula>$D58</formula>
    </cfRule>
  </conditionalFormatting>
  <conditionalFormatting sqref="J59">
    <cfRule type="cellIs" dxfId="3453" priority="594" operator="greaterThan">
      <formula>$D59</formula>
    </cfRule>
    <cfRule type="cellIs" dxfId="3452" priority="595" operator="lessThanOrEqual">
      <formula>$D59</formula>
    </cfRule>
  </conditionalFormatting>
  <conditionalFormatting sqref="J60">
    <cfRule type="cellIs" dxfId="3451" priority="592" operator="greaterThan">
      <formula>$D60</formula>
    </cfRule>
    <cfRule type="cellIs" dxfId="3450" priority="593" operator="lessThanOrEqual">
      <formula>$D60</formula>
    </cfRule>
  </conditionalFormatting>
  <conditionalFormatting sqref="J61">
    <cfRule type="cellIs" dxfId="3449" priority="590" operator="greaterThan">
      <formula>$D61</formula>
    </cfRule>
    <cfRule type="cellIs" dxfId="3448" priority="591" operator="lessThanOrEqual">
      <formula>$D61</formula>
    </cfRule>
  </conditionalFormatting>
  <conditionalFormatting sqref="J62">
    <cfRule type="cellIs" dxfId="3447" priority="588" operator="greaterThan">
      <formula>$D62</formula>
    </cfRule>
    <cfRule type="cellIs" dxfId="3446" priority="589" operator="lessThanOrEqual">
      <formula>$D62</formula>
    </cfRule>
  </conditionalFormatting>
  <conditionalFormatting sqref="J63">
    <cfRule type="cellIs" dxfId="3445" priority="586" operator="greaterThan">
      <formula>$D63</formula>
    </cfRule>
    <cfRule type="cellIs" dxfId="3444" priority="587" operator="lessThanOrEqual">
      <formula>$D63</formula>
    </cfRule>
  </conditionalFormatting>
  <conditionalFormatting sqref="J64">
    <cfRule type="cellIs" dxfId="3443" priority="584" operator="greaterThan">
      <formula>$D64</formula>
    </cfRule>
    <cfRule type="cellIs" dxfId="3442" priority="585" operator="lessThanOrEqual">
      <formula>$D64</formula>
    </cfRule>
  </conditionalFormatting>
  <conditionalFormatting sqref="J65">
    <cfRule type="cellIs" dxfId="3441" priority="582" operator="greaterThan">
      <formula>$D65</formula>
    </cfRule>
    <cfRule type="cellIs" dxfId="3440" priority="583" operator="lessThanOrEqual">
      <formula>$D65</formula>
    </cfRule>
  </conditionalFormatting>
  <conditionalFormatting sqref="J66">
    <cfRule type="cellIs" dxfId="3439" priority="580" operator="greaterThan">
      <formula>$D66</formula>
    </cfRule>
    <cfRule type="cellIs" dxfId="3438" priority="581" operator="lessThanOrEqual">
      <formula>$D66</formula>
    </cfRule>
  </conditionalFormatting>
  <conditionalFormatting sqref="J67">
    <cfRule type="cellIs" dxfId="3437" priority="578" operator="greaterThan">
      <formula>$D67</formula>
    </cfRule>
    <cfRule type="cellIs" dxfId="3436" priority="579" operator="lessThanOrEqual">
      <formula>$D67</formula>
    </cfRule>
  </conditionalFormatting>
  <conditionalFormatting sqref="J68">
    <cfRule type="cellIs" dxfId="3435" priority="576" operator="greaterThan">
      <formula>$D68</formula>
    </cfRule>
    <cfRule type="cellIs" dxfId="3434" priority="577" operator="lessThanOrEqual">
      <formula>$D68</formula>
    </cfRule>
  </conditionalFormatting>
  <conditionalFormatting sqref="J69">
    <cfRule type="cellIs" dxfId="3433" priority="574" operator="greaterThan">
      <formula>$D69</formula>
    </cfRule>
    <cfRule type="cellIs" dxfId="3432" priority="575" operator="lessThanOrEqual">
      <formula>$D69</formula>
    </cfRule>
  </conditionalFormatting>
  <conditionalFormatting sqref="J70">
    <cfRule type="cellIs" dxfId="3431" priority="572" operator="greaterThan">
      <formula>$D70</formula>
    </cfRule>
    <cfRule type="cellIs" dxfId="3430" priority="573" operator="lessThanOrEqual">
      <formula>$D70</formula>
    </cfRule>
  </conditionalFormatting>
  <conditionalFormatting sqref="J71">
    <cfRule type="cellIs" dxfId="3429" priority="570" operator="greaterThan">
      <formula>$D71</formula>
    </cfRule>
    <cfRule type="cellIs" dxfId="3428" priority="571" operator="lessThanOrEqual">
      <formula>$D71</formula>
    </cfRule>
  </conditionalFormatting>
  <conditionalFormatting sqref="J73">
    <cfRule type="cellIs" dxfId="3427" priority="568" operator="greaterThan">
      <formula>$D73</formula>
    </cfRule>
    <cfRule type="cellIs" dxfId="3426" priority="569" operator="lessThanOrEqual">
      <formula>$D73</formula>
    </cfRule>
  </conditionalFormatting>
  <conditionalFormatting sqref="K50">
    <cfRule type="cellIs" dxfId="3425" priority="566" operator="greaterThan">
      <formula>$D50</formula>
    </cfRule>
    <cfRule type="cellIs" dxfId="3424" priority="567" operator="lessThanOrEqual">
      <formula>$D50</formula>
    </cfRule>
  </conditionalFormatting>
  <conditionalFormatting sqref="K51">
    <cfRule type="cellIs" dxfId="3423" priority="564" operator="greaterThan">
      <formula>$D51</formula>
    </cfRule>
    <cfRule type="cellIs" dxfId="3422" priority="565" operator="lessThanOrEqual">
      <formula>$D51</formula>
    </cfRule>
  </conditionalFormatting>
  <conditionalFormatting sqref="K52">
    <cfRule type="cellIs" dxfId="3421" priority="562" operator="greaterThan">
      <formula>$D52</formula>
    </cfRule>
    <cfRule type="cellIs" dxfId="3420" priority="563" operator="lessThanOrEqual">
      <formula>$D52</formula>
    </cfRule>
  </conditionalFormatting>
  <conditionalFormatting sqref="K55">
    <cfRule type="cellIs" dxfId="3419" priority="558" operator="greaterThan">
      <formula>$D55</formula>
    </cfRule>
    <cfRule type="cellIs" dxfId="3418" priority="559" operator="lessThanOrEqual">
      <formula>$D55</formula>
    </cfRule>
  </conditionalFormatting>
  <conditionalFormatting sqref="K56">
    <cfRule type="cellIs" dxfId="3417" priority="556" operator="greaterThan">
      <formula>$D56</formula>
    </cfRule>
    <cfRule type="cellIs" dxfId="3416" priority="557" operator="lessThanOrEqual">
      <formula>$D56</formula>
    </cfRule>
  </conditionalFormatting>
  <conditionalFormatting sqref="K57">
    <cfRule type="cellIs" dxfId="3415" priority="554" operator="greaterThan">
      <formula>$D57</formula>
    </cfRule>
    <cfRule type="cellIs" dxfId="3414" priority="555" operator="lessThanOrEqual">
      <formula>$D57</formula>
    </cfRule>
  </conditionalFormatting>
  <conditionalFormatting sqref="K58">
    <cfRule type="cellIs" dxfId="3413" priority="552" operator="greaterThan">
      <formula>$D58</formula>
    </cfRule>
    <cfRule type="cellIs" dxfId="3412" priority="553" operator="lessThanOrEqual">
      <formula>$D58</formula>
    </cfRule>
  </conditionalFormatting>
  <conditionalFormatting sqref="K59">
    <cfRule type="cellIs" dxfId="3411" priority="550" operator="greaterThan">
      <formula>$D59</formula>
    </cfRule>
    <cfRule type="cellIs" dxfId="3410" priority="551" operator="lessThanOrEqual">
      <formula>$D59</formula>
    </cfRule>
  </conditionalFormatting>
  <conditionalFormatting sqref="K60">
    <cfRule type="cellIs" dxfId="3409" priority="548" operator="greaterThan">
      <formula>$D60</formula>
    </cfRule>
    <cfRule type="cellIs" dxfId="3408" priority="549" operator="lessThanOrEqual">
      <formula>$D60</formula>
    </cfRule>
  </conditionalFormatting>
  <conditionalFormatting sqref="K61">
    <cfRule type="cellIs" dxfId="3407" priority="546" operator="greaterThan">
      <formula>$D61</formula>
    </cfRule>
    <cfRule type="cellIs" dxfId="3406" priority="547" operator="lessThanOrEqual">
      <formula>$D61</formula>
    </cfRule>
  </conditionalFormatting>
  <conditionalFormatting sqref="K62">
    <cfRule type="cellIs" dxfId="3405" priority="544" operator="greaterThan">
      <formula>$D62</formula>
    </cfRule>
    <cfRule type="cellIs" dxfId="3404" priority="545" operator="lessThanOrEqual">
      <formula>$D62</formula>
    </cfRule>
  </conditionalFormatting>
  <conditionalFormatting sqref="K63">
    <cfRule type="cellIs" dxfId="3403" priority="542" operator="greaterThan">
      <formula>$D63</formula>
    </cfRule>
    <cfRule type="cellIs" dxfId="3402" priority="543" operator="lessThanOrEqual">
      <formula>$D63</formula>
    </cfRule>
  </conditionalFormatting>
  <conditionalFormatting sqref="K64">
    <cfRule type="cellIs" dxfId="3401" priority="540" operator="greaterThan">
      <formula>$D64</formula>
    </cfRule>
    <cfRule type="cellIs" dxfId="3400" priority="541" operator="lessThanOrEqual">
      <formula>$D64</formula>
    </cfRule>
  </conditionalFormatting>
  <conditionalFormatting sqref="K65">
    <cfRule type="cellIs" dxfId="3399" priority="538" operator="greaterThan">
      <formula>$D65</formula>
    </cfRule>
    <cfRule type="cellIs" dxfId="3398" priority="539" operator="lessThanOrEqual">
      <formula>$D65</formula>
    </cfRule>
  </conditionalFormatting>
  <conditionalFormatting sqref="K66">
    <cfRule type="cellIs" dxfId="3397" priority="536" operator="greaterThan">
      <formula>$D66</formula>
    </cfRule>
    <cfRule type="cellIs" dxfId="3396" priority="537" operator="lessThanOrEqual">
      <formula>$D66</formula>
    </cfRule>
  </conditionalFormatting>
  <conditionalFormatting sqref="K67">
    <cfRule type="cellIs" dxfId="3395" priority="534" operator="greaterThan">
      <formula>$D67</formula>
    </cfRule>
    <cfRule type="cellIs" dxfId="3394" priority="535" operator="lessThanOrEqual">
      <formula>$D67</formula>
    </cfRule>
  </conditionalFormatting>
  <conditionalFormatting sqref="K68">
    <cfRule type="cellIs" dxfId="3393" priority="532" operator="greaterThan">
      <formula>$D68</formula>
    </cfRule>
    <cfRule type="cellIs" dxfId="3392" priority="533" operator="lessThanOrEqual">
      <formula>$D68</formula>
    </cfRule>
  </conditionalFormatting>
  <conditionalFormatting sqref="K69">
    <cfRule type="cellIs" dxfId="3391" priority="530" operator="greaterThan">
      <formula>$D69</formula>
    </cfRule>
    <cfRule type="cellIs" dxfId="3390" priority="531" operator="lessThanOrEqual">
      <formula>$D69</formula>
    </cfRule>
  </conditionalFormatting>
  <conditionalFormatting sqref="K70">
    <cfRule type="cellIs" dxfId="3389" priority="528" operator="greaterThan">
      <formula>$D70</formula>
    </cfRule>
    <cfRule type="cellIs" dxfId="3388" priority="529" operator="lessThanOrEqual">
      <formula>$D70</formula>
    </cfRule>
  </conditionalFormatting>
  <conditionalFormatting sqref="K71">
    <cfRule type="cellIs" dxfId="3387" priority="526" operator="greaterThan">
      <formula>$D71</formula>
    </cfRule>
    <cfRule type="cellIs" dxfId="3386" priority="527" operator="lessThanOrEqual">
      <formula>$D71</formula>
    </cfRule>
  </conditionalFormatting>
  <conditionalFormatting sqref="K73">
    <cfRule type="cellIs" dxfId="3385" priority="524" operator="greaterThan">
      <formula>$D73</formula>
    </cfRule>
    <cfRule type="cellIs" dxfId="3384" priority="525" operator="lessThanOrEqual">
      <formula>$D73</formula>
    </cfRule>
  </conditionalFormatting>
  <conditionalFormatting sqref="L50">
    <cfRule type="cellIs" dxfId="3383" priority="522" operator="greaterThan">
      <formula>$D50</formula>
    </cfRule>
    <cfRule type="cellIs" dxfId="3382" priority="523" operator="lessThanOrEqual">
      <formula>$D50</formula>
    </cfRule>
  </conditionalFormatting>
  <conditionalFormatting sqref="L51">
    <cfRule type="cellIs" dxfId="3381" priority="520" operator="greaterThan">
      <formula>$D51</formula>
    </cfRule>
    <cfRule type="cellIs" dxfId="3380" priority="521" operator="lessThanOrEqual">
      <formula>$D51</formula>
    </cfRule>
  </conditionalFormatting>
  <conditionalFormatting sqref="L52">
    <cfRule type="cellIs" dxfId="3379" priority="518" operator="greaterThan">
      <formula>$D52</formula>
    </cfRule>
    <cfRule type="cellIs" dxfId="3378" priority="519" operator="lessThanOrEqual">
      <formula>$D52</formula>
    </cfRule>
  </conditionalFormatting>
  <conditionalFormatting sqref="L55">
    <cfRule type="cellIs" dxfId="3377" priority="514" operator="greaterThan">
      <formula>$D55</formula>
    </cfRule>
    <cfRule type="cellIs" dxfId="3376" priority="515" operator="lessThanOrEqual">
      <formula>$D55</formula>
    </cfRule>
  </conditionalFormatting>
  <conditionalFormatting sqref="L56">
    <cfRule type="cellIs" dxfId="3375" priority="512" operator="greaterThan">
      <formula>$D56</formula>
    </cfRule>
    <cfRule type="cellIs" dxfId="3374" priority="513" operator="lessThanOrEqual">
      <formula>$D56</formula>
    </cfRule>
  </conditionalFormatting>
  <conditionalFormatting sqref="L57">
    <cfRule type="cellIs" dxfId="3373" priority="510" operator="greaterThan">
      <formula>$D57</formula>
    </cfRule>
    <cfRule type="cellIs" dxfId="3372" priority="511" operator="lessThanOrEqual">
      <formula>$D57</formula>
    </cfRule>
  </conditionalFormatting>
  <conditionalFormatting sqref="L58">
    <cfRule type="cellIs" dxfId="3371" priority="508" operator="greaterThan">
      <formula>$D58</formula>
    </cfRule>
    <cfRule type="cellIs" dxfId="3370" priority="509" operator="lessThanOrEqual">
      <formula>$D58</formula>
    </cfRule>
  </conditionalFormatting>
  <conditionalFormatting sqref="L59">
    <cfRule type="cellIs" dxfId="3369" priority="506" operator="greaterThan">
      <formula>$D59</formula>
    </cfRule>
    <cfRule type="cellIs" dxfId="3368" priority="507" operator="lessThanOrEqual">
      <formula>$D59</formula>
    </cfRule>
  </conditionalFormatting>
  <conditionalFormatting sqref="L60">
    <cfRule type="cellIs" dxfId="3367" priority="504" operator="greaterThan">
      <formula>$D60</formula>
    </cfRule>
    <cfRule type="cellIs" dxfId="3366" priority="505" operator="lessThanOrEqual">
      <formula>$D60</formula>
    </cfRule>
  </conditionalFormatting>
  <conditionalFormatting sqref="L61">
    <cfRule type="cellIs" dxfId="3365" priority="502" operator="greaterThan">
      <formula>$D61</formula>
    </cfRule>
    <cfRule type="cellIs" dxfId="3364" priority="503" operator="lessThanOrEqual">
      <formula>$D61</formula>
    </cfRule>
  </conditionalFormatting>
  <conditionalFormatting sqref="L62">
    <cfRule type="cellIs" dxfId="3363" priority="500" operator="greaterThan">
      <formula>$D62</formula>
    </cfRule>
    <cfRule type="cellIs" dxfId="3362" priority="501" operator="lessThanOrEqual">
      <formula>$D62</formula>
    </cfRule>
  </conditionalFormatting>
  <conditionalFormatting sqref="L63">
    <cfRule type="cellIs" dxfId="3361" priority="498" operator="greaterThan">
      <formula>$D63</formula>
    </cfRule>
    <cfRule type="cellIs" dxfId="3360" priority="499" operator="lessThanOrEqual">
      <formula>$D63</formula>
    </cfRule>
  </conditionalFormatting>
  <conditionalFormatting sqref="L64">
    <cfRule type="cellIs" dxfId="3359" priority="496" operator="greaterThan">
      <formula>$D64</formula>
    </cfRule>
    <cfRule type="cellIs" dxfId="3358" priority="497" operator="lessThanOrEqual">
      <formula>$D64</formula>
    </cfRule>
  </conditionalFormatting>
  <conditionalFormatting sqref="L65">
    <cfRule type="cellIs" dxfId="3357" priority="494" operator="greaterThan">
      <formula>$D65</formula>
    </cfRule>
    <cfRule type="cellIs" dxfId="3356" priority="495" operator="lessThanOrEqual">
      <formula>$D65</formula>
    </cfRule>
  </conditionalFormatting>
  <conditionalFormatting sqref="L66">
    <cfRule type="cellIs" dxfId="3355" priority="492" operator="greaterThan">
      <formula>$D66</formula>
    </cfRule>
    <cfRule type="cellIs" dxfId="3354" priority="493" operator="lessThanOrEqual">
      <formula>$D66</formula>
    </cfRule>
  </conditionalFormatting>
  <conditionalFormatting sqref="L67">
    <cfRule type="cellIs" dxfId="3353" priority="490" operator="greaterThan">
      <formula>$D67</formula>
    </cfRule>
    <cfRule type="cellIs" dxfId="3352" priority="491" operator="lessThanOrEqual">
      <formula>$D67</formula>
    </cfRule>
  </conditionalFormatting>
  <conditionalFormatting sqref="L68">
    <cfRule type="cellIs" dxfId="3351" priority="488" operator="greaterThan">
      <formula>$D68</formula>
    </cfRule>
    <cfRule type="cellIs" dxfId="3350" priority="489" operator="lessThanOrEqual">
      <formula>$D68</formula>
    </cfRule>
  </conditionalFormatting>
  <conditionalFormatting sqref="L69">
    <cfRule type="cellIs" dxfId="3349" priority="486" operator="greaterThan">
      <formula>$D69</formula>
    </cfRule>
    <cfRule type="cellIs" dxfId="3348" priority="487" operator="lessThanOrEqual">
      <formula>$D69</formula>
    </cfRule>
  </conditionalFormatting>
  <conditionalFormatting sqref="L70">
    <cfRule type="cellIs" dxfId="3347" priority="484" operator="greaterThan">
      <formula>$D70</formula>
    </cfRule>
    <cfRule type="cellIs" dxfId="3346" priority="485" operator="lessThanOrEqual">
      <formula>$D70</formula>
    </cfRule>
  </conditionalFormatting>
  <conditionalFormatting sqref="L71">
    <cfRule type="cellIs" dxfId="3345" priority="482" operator="greaterThan">
      <formula>$D71</formula>
    </cfRule>
    <cfRule type="cellIs" dxfId="3344" priority="483" operator="lessThanOrEqual">
      <formula>$D71</formula>
    </cfRule>
  </conditionalFormatting>
  <conditionalFormatting sqref="L73">
    <cfRule type="cellIs" dxfId="3343" priority="480" operator="greaterThan">
      <formula>$D73</formula>
    </cfRule>
    <cfRule type="cellIs" dxfId="3342" priority="481" operator="lessThanOrEqual">
      <formula>$D73</formula>
    </cfRule>
  </conditionalFormatting>
  <conditionalFormatting sqref="M50">
    <cfRule type="cellIs" dxfId="3341" priority="478" operator="greaterThan">
      <formula>$D50</formula>
    </cfRule>
    <cfRule type="cellIs" dxfId="3340" priority="479" operator="lessThanOrEqual">
      <formula>$D50</formula>
    </cfRule>
  </conditionalFormatting>
  <conditionalFormatting sqref="M51">
    <cfRule type="cellIs" dxfId="3339" priority="476" operator="greaterThan">
      <formula>$D51</formula>
    </cfRule>
    <cfRule type="cellIs" dxfId="3338" priority="477" operator="lessThanOrEqual">
      <formula>$D51</formula>
    </cfRule>
  </conditionalFormatting>
  <conditionalFormatting sqref="M52">
    <cfRule type="cellIs" dxfId="3337" priority="474" operator="greaterThan">
      <formula>$D52</formula>
    </cfRule>
    <cfRule type="cellIs" dxfId="3336" priority="475" operator="lessThanOrEqual">
      <formula>$D52</formula>
    </cfRule>
  </conditionalFormatting>
  <conditionalFormatting sqref="M55">
    <cfRule type="cellIs" dxfId="3335" priority="470" operator="greaterThan">
      <formula>$D55</formula>
    </cfRule>
    <cfRule type="cellIs" dxfId="3334" priority="471" operator="lessThanOrEqual">
      <formula>$D55</formula>
    </cfRule>
  </conditionalFormatting>
  <conditionalFormatting sqref="M56">
    <cfRule type="cellIs" dxfId="3333" priority="468" operator="greaterThan">
      <formula>$D56</formula>
    </cfRule>
    <cfRule type="cellIs" dxfId="3332" priority="469" operator="lessThanOrEqual">
      <formula>$D56</formula>
    </cfRule>
  </conditionalFormatting>
  <conditionalFormatting sqref="M57">
    <cfRule type="cellIs" dxfId="3331" priority="466" operator="greaterThan">
      <formula>$D57</formula>
    </cfRule>
    <cfRule type="cellIs" dxfId="3330" priority="467" operator="lessThanOrEqual">
      <formula>$D57</formula>
    </cfRule>
  </conditionalFormatting>
  <conditionalFormatting sqref="M58">
    <cfRule type="cellIs" dxfId="3329" priority="464" operator="greaterThan">
      <formula>$D58</formula>
    </cfRule>
    <cfRule type="cellIs" dxfId="3328" priority="465" operator="lessThanOrEqual">
      <formula>$D58</formula>
    </cfRule>
  </conditionalFormatting>
  <conditionalFormatting sqref="M59">
    <cfRule type="cellIs" dxfId="3327" priority="462" operator="greaterThan">
      <formula>$D59</formula>
    </cfRule>
    <cfRule type="cellIs" dxfId="3326" priority="463" operator="lessThanOrEqual">
      <formula>$D59</formula>
    </cfRule>
  </conditionalFormatting>
  <conditionalFormatting sqref="M60">
    <cfRule type="cellIs" dxfId="3325" priority="460" operator="greaterThan">
      <formula>$D60</formula>
    </cfRule>
    <cfRule type="cellIs" dxfId="3324" priority="461" operator="lessThanOrEqual">
      <formula>$D60</formula>
    </cfRule>
  </conditionalFormatting>
  <conditionalFormatting sqref="M61">
    <cfRule type="cellIs" dxfId="3323" priority="458" operator="greaterThan">
      <formula>$D61</formula>
    </cfRule>
    <cfRule type="cellIs" dxfId="3322" priority="459" operator="lessThanOrEqual">
      <formula>$D61</formula>
    </cfRule>
  </conditionalFormatting>
  <conditionalFormatting sqref="M62">
    <cfRule type="cellIs" dxfId="3321" priority="456" operator="greaterThan">
      <formula>$D62</formula>
    </cfRule>
    <cfRule type="cellIs" dxfId="3320" priority="457" operator="lessThanOrEqual">
      <formula>$D62</formula>
    </cfRule>
  </conditionalFormatting>
  <conditionalFormatting sqref="M63">
    <cfRule type="cellIs" dxfId="3319" priority="454" operator="greaterThan">
      <formula>$D63</formula>
    </cfRule>
    <cfRule type="cellIs" dxfId="3318" priority="455" operator="lessThanOrEqual">
      <formula>$D63</formula>
    </cfRule>
  </conditionalFormatting>
  <conditionalFormatting sqref="M64">
    <cfRule type="cellIs" dxfId="3317" priority="452" operator="greaterThan">
      <formula>$D64</formula>
    </cfRule>
    <cfRule type="cellIs" dxfId="3316" priority="453" operator="lessThanOrEqual">
      <formula>$D64</formula>
    </cfRule>
  </conditionalFormatting>
  <conditionalFormatting sqref="M65">
    <cfRule type="cellIs" dxfId="3315" priority="450" operator="greaterThan">
      <formula>$D65</formula>
    </cfRule>
    <cfRule type="cellIs" dxfId="3314" priority="451" operator="lessThanOrEqual">
      <formula>$D65</formula>
    </cfRule>
  </conditionalFormatting>
  <conditionalFormatting sqref="M66">
    <cfRule type="cellIs" dxfId="3313" priority="448" operator="greaterThan">
      <formula>$D66</formula>
    </cfRule>
    <cfRule type="cellIs" dxfId="3312" priority="449" operator="lessThanOrEqual">
      <formula>$D66</formula>
    </cfRule>
  </conditionalFormatting>
  <conditionalFormatting sqref="M67">
    <cfRule type="cellIs" dxfId="3311" priority="446" operator="greaterThan">
      <formula>$D67</formula>
    </cfRule>
    <cfRule type="cellIs" dxfId="3310" priority="447" operator="lessThanOrEqual">
      <formula>$D67</formula>
    </cfRule>
  </conditionalFormatting>
  <conditionalFormatting sqref="M68">
    <cfRule type="cellIs" dxfId="3309" priority="444" operator="greaterThan">
      <formula>$D68</formula>
    </cfRule>
    <cfRule type="cellIs" dxfId="3308" priority="445" operator="lessThanOrEqual">
      <formula>$D68</formula>
    </cfRule>
  </conditionalFormatting>
  <conditionalFormatting sqref="M69">
    <cfRule type="cellIs" dxfId="3307" priority="442" operator="greaterThan">
      <formula>$D69</formula>
    </cfRule>
    <cfRule type="cellIs" dxfId="3306" priority="443" operator="lessThanOrEqual">
      <formula>$D69</formula>
    </cfRule>
  </conditionalFormatting>
  <conditionalFormatting sqref="M70">
    <cfRule type="cellIs" dxfId="3305" priority="440" operator="greaterThan">
      <formula>$D70</formula>
    </cfRule>
    <cfRule type="cellIs" dxfId="3304" priority="441" operator="lessThanOrEqual">
      <formula>$D70</formula>
    </cfRule>
  </conditionalFormatting>
  <conditionalFormatting sqref="M71">
    <cfRule type="cellIs" dxfId="3303" priority="438" operator="greaterThan">
      <formula>$D71</formula>
    </cfRule>
    <cfRule type="cellIs" dxfId="3302" priority="439" operator="lessThanOrEqual">
      <formula>$D71</formula>
    </cfRule>
  </conditionalFormatting>
  <conditionalFormatting sqref="M73">
    <cfRule type="cellIs" dxfId="3301" priority="436" operator="greaterThan">
      <formula>$D73</formula>
    </cfRule>
    <cfRule type="cellIs" dxfId="3300" priority="437" operator="lessThanOrEqual">
      <formula>$D73</formula>
    </cfRule>
  </conditionalFormatting>
  <conditionalFormatting sqref="N50">
    <cfRule type="cellIs" dxfId="3299" priority="434" operator="greaterThan">
      <formula>$D50</formula>
    </cfRule>
    <cfRule type="cellIs" dxfId="3298" priority="435" operator="lessThanOrEqual">
      <formula>$D50</formula>
    </cfRule>
  </conditionalFormatting>
  <conditionalFormatting sqref="N51">
    <cfRule type="cellIs" dxfId="3297" priority="432" operator="greaterThan">
      <formula>$D51</formula>
    </cfRule>
    <cfRule type="cellIs" dxfId="3296" priority="433" operator="lessThanOrEqual">
      <formula>$D51</formula>
    </cfRule>
  </conditionalFormatting>
  <conditionalFormatting sqref="N52">
    <cfRule type="cellIs" dxfId="3295" priority="430" operator="greaterThan">
      <formula>$D52</formula>
    </cfRule>
    <cfRule type="cellIs" dxfId="3294" priority="431" operator="lessThanOrEqual">
      <formula>$D52</formula>
    </cfRule>
  </conditionalFormatting>
  <conditionalFormatting sqref="N55">
    <cfRule type="cellIs" dxfId="3293" priority="426" operator="greaterThan">
      <formula>$D55</formula>
    </cfRule>
    <cfRule type="cellIs" dxfId="3292" priority="427" operator="lessThanOrEqual">
      <formula>$D55</formula>
    </cfRule>
  </conditionalFormatting>
  <conditionalFormatting sqref="N56">
    <cfRule type="cellIs" dxfId="3291" priority="424" operator="greaterThan">
      <formula>$D56</formula>
    </cfRule>
    <cfRule type="cellIs" dxfId="3290" priority="425" operator="lessThanOrEqual">
      <formula>$D56</formula>
    </cfRule>
  </conditionalFormatting>
  <conditionalFormatting sqref="N57">
    <cfRule type="cellIs" dxfId="3289" priority="422" operator="greaterThan">
      <formula>$D57</formula>
    </cfRule>
    <cfRule type="cellIs" dxfId="3288" priority="423" operator="lessThanOrEqual">
      <formula>$D57</formula>
    </cfRule>
  </conditionalFormatting>
  <conditionalFormatting sqref="N58">
    <cfRule type="cellIs" dxfId="3287" priority="420" operator="greaterThan">
      <formula>$D58</formula>
    </cfRule>
    <cfRule type="cellIs" dxfId="3286" priority="421" operator="lessThanOrEqual">
      <formula>$D58</formula>
    </cfRule>
  </conditionalFormatting>
  <conditionalFormatting sqref="N59">
    <cfRule type="cellIs" dxfId="3285" priority="418" operator="greaterThan">
      <formula>$D59</formula>
    </cfRule>
    <cfRule type="cellIs" dxfId="3284" priority="419" operator="lessThanOrEqual">
      <formula>$D59</formula>
    </cfRule>
  </conditionalFormatting>
  <conditionalFormatting sqref="N60">
    <cfRule type="cellIs" dxfId="3283" priority="416" operator="greaterThan">
      <formula>$D60</formula>
    </cfRule>
    <cfRule type="cellIs" dxfId="3282" priority="417" operator="lessThanOrEqual">
      <formula>$D60</formula>
    </cfRule>
  </conditionalFormatting>
  <conditionalFormatting sqref="N61">
    <cfRule type="cellIs" dxfId="3281" priority="414" operator="greaterThan">
      <formula>$D61</formula>
    </cfRule>
    <cfRule type="cellIs" dxfId="3280" priority="415" operator="lessThanOrEqual">
      <formula>$D61</formula>
    </cfRule>
  </conditionalFormatting>
  <conditionalFormatting sqref="N62">
    <cfRule type="cellIs" dxfId="3279" priority="412" operator="greaterThan">
      <formula>$D62</formula>
    </cfRule>
    <cfRule type="cellIs" dxfId="3278" priority="413" operator="lessThanOrEqual">
      <formula>$D62</formula>
    </cfRule>
  </conditionalFormatting>
  <conditionalFormatting sqref="N63">
    <cfRule type="cellIs" dxfId="3277" priority="410" operator="greaterThan">
      <formula>$D63</formula>
    </cfRule>
    <cfRule type="cellIs" dxfId="3276" priority="411" operator="lessThanOrEqual">
      <formula>$D63</formula>
    </cfRule>
  </conditionalFormatting>
  <conditionalFormatting sqref="N64">
    <cfRule type="cellIs" dxfId="3275" priority="408" operator="greaterThan">
      <formula>$D64</formula>
    </cfRule>
    <cfRule type="cellIs" dxfId="3274" priority="409" operator="lessThanOrEqual">
      <formula>$D64</formula>
    </cfRule>
  </conditionalFormatting>
  <conditionalFormatting sqref="N65">
    <cfRule type="cellIs" dxfId="3273" priority="406" operator="greaterThan">
      <formula>$D65</formula>
    </cfRule>
    <cfRule type="cellIs" dxfId="3272" priority="407" operator="lessThanOrEqual">
      <formula>$D65</formula>
    </cfRule>
  </conditionalFormatting>
  <conditionalFormatting sqref="N66">
    <cfRule type="cellIs" dxfId="3271" priority="404" operator="greaterThan">
      <formula>$D66</formula>
    </cfRule>
    <cfRule type="cellIs" dxfId="3270" priority="405" operator="lessThanOrEqual">
      <formula>$D66</formula>
    </cfRule>
  </conditionalFormatting>
  <conditionalFormatting sqref="N67">
    <cfRule type="cellIs" dxfId="3269" priority="402" operator="greaterThan">
      <formula>$D67</formula>
    </cfRule>
    <cfRule type="cellIs" dxfId="3268" priority="403" operator="lessThanOrEqual">
      <formula>$D67</formula>
    </cfRule>
  </conditionalFormatting>
  <conditionalFormatting sqref="N68">
    <cfRule type="cellIs" dxfId="3267" priority="400" operator="greaterThan">
      <formula>$D68</formula>
    </cfRule>
    <cfRule type="cellIs" dxfId="3266" priority="401" operator="lessThanOrEqual">
      <formula>$D68</formula>
    </cfRule>
  </conditionalFormatting>
  <conditionalFormatting sqref="N69">
    <cfRule type="cellIs" dxfId="3265" priority="398" operator="greaterThan">
      <formula>$D69</formula>
    </cfRule>
    <cfRule type="cellIs" dxfId="3264" priority="399" operator="lessThanOrEqual">
      <formula>$D69</formula>
    </cfRule>
  </conditionalFormatting>
  <conditionalFormatting sqref="N70">
    <cfRule type="cellIs" dxfId="3263" priority="396" operator="greaterThan">
      <formula>$D70</formula>
    </cfRule>
    <cfRule type="cellIs" dxfId="3262" priority="397" operator="lessThanOrEqual">
      <formula>$D70</formula>
    </cfRule>
  </conditionalFormatting>
  <conditionalFormatting sqref="N71">
    <cfRule type="cellIs" dxfId="3261" priority="394" operator="greaterThan">
      <formula>$D71</formula>
    </cfRule>
    <cfRule type="cellIs" dxfId="3260" priority="395" operator="lessThanOrEqual">
      <formula>$D71</formula>
    </cfRule>
  </conditionalFormatting>
  <conditionalFormatting sqref="N73">
    <cfRule type="cellIs" dxfId="3259" priority="392" operator="greaterThan">
      <formula>$D73</formula>
    </cfRule>
    <cfRule type="cellIs" dxfId="3258" priority="393" operator="lessThanOrEqual">
      <formula>$D73</formula>
    </cfRule>
  </conditionalFormatting>
  <conditionalFormatting sqref="O50">
    <cfRule type="cellIs" dxfId="3257" priority="390" operator="greaterThan">
      <formula>$D50</formula>
    </cfRule>
    <cfRule type="cellIs" dxfId="3256" priority="391" operator="lessThanOrEqual">
      <formula>$D50</formula>
    </cfRule>
  </conditionalFormatting>
  <conditionalFormatting sqref="O51">
    <cfRule type="cellIs" dxfId="3255" priority="388" operator="greaterThan">
      <formula>$D51</formula>
    </cfRule>
    <cfRule type="cellIs" dxfId="3254" priority="389" operator="lessThanOrEqual">
      <formula>$D51</formula>
    </cfRule>
  </conditionalFormatting>
  <conditionalFormatting sqref="O52">
    <cfRule type="cellIs" dxfId="3253" priority="386" operator="greaterThan">
      <formula>$D52</formula>
    </cfRule>
    <cfRule type="cellIs" dxfId="3252" priority="387" operator="lessThanOrEqual">
      <formula>$D52</formula>
    </cfRule>
  </conditionalFormatting>
  <conditionalFormatting sqref="O55">
    <cfRule type="cellIs" dxfId="3251" priority="382" operator="greaterThan">
      <formula>$D55</formula>
    </cfRule>
    <cfRule type="cellIs" dxfId="3250" priority="383" operator="lessThanOrEqual">
      <formula>$D55</formula>
    </cfRule>
  </conditionalFormatting>
  <conditionalFormatting sqref="O56">
    <cfRule type="cellIs" dxfId="3249" priority="380" operator="greaterThan">
      <formula>$D56</formula>
    </cfRule>
    <cfRule type="cellIs" dxfId="3248" priority="381" operator="lessThanOrEqual">
      <formula>$D56</formula>
    </cfRule>
  </conditionalFormatting>
  <conditionalFormatting sqref="O57">
    <cfRule type="cellIs" dxfId="3247" priority="378" operator="greaterThan">
      <formula>$D57</formula>
    </cfRule>
    <cfRule type="cellIs" dxfId="3246" priority="379" operator="lessThanOrEqual">
      <formula>$D57</formula>
    </cfRule>
  </conditionalFormatting>
  <conditionalFormatting sqref="O58">
    <cfRule type="cellIs" dxfId="3245" priority="376" operator="greaterThan">
      <formula>$D58</formula>
    </cfRule>
    <cfRule type="cellIs" dxfId="3244" priority="377" operator="lessThanOrEqual">
      <formula>$D58</formula>
    </cfRule>
  </conditionalFormatting>
  <conditionalFormatting sqref="O59">
    <cfRule type="cellIs" dxfId="3243" priority="374" operator="greaterThan">
      <formula>$D59</formula>
    </cfRule>
    <cfRule type="cellIs" dxfId="3242" priority="375" operator="lessThanOrEqual">
      <formula>$D59</formula>
    </cfRule>
  </conditionalFormatting>
  <conditionalFormatting sqref="O60">
    <cfRule type="cellIs" dxfId="3241" priority="372" operator="greaterThan">
      <formula>$D60</formula>
    </cfRule>
    <cfRule type="cellIs" dxfId="3240" priority="373" operator="lessThanOrEqual">
      <formula>$D60</formula>
    </cfRule>
  </conditionalFormatting>
  <conditionalFormatting sqref="O61">
    <cfRule type="cellIs" dxfId="3239" priority="370" operator="greaterThan">
      <formula>$D61</formula>
    </cfRule>
    <cfRule type="cellIs" dxfId="3238" priority="371" operator="lessThanOrEqual">
      <formula>$D61</formula>
    </cfRule>
  </conditionalFormatting>
  <conditionalFormatting sqref="O62">
    <cfRule type="cellIs" dxfId="3237" priority="368" operator="greaterThan">
      <formula>$D62</formula>
    </cfRule>
    <cfRule type="cellIs" dxfId="3236" priority="369" operator="lessThanOrEqual">
      <formula>$D62</formula>
    </cfRule>
  </conditionalFormatting>
  <conditionalFormatting sqref="O63">
    <cfRule type="cellIs" dxfId="3235" priority="366" operator="greaterThan">
      <formula>$D63</formula>
    </cfRule>
    <cfRule type="cellIs" dxfId="3234" priority="367" operator="lessThanOrEqual">
      <formula>$D63</formula>
    </cfRule>
  </conditionalFormatting>
  <conditionalFormatting sqref="O64">
    <cfRule type="cellIs" dxfId="3233" priority="364" operator="greaterThan">
      <formula>$D64</formula>
    </cfRule>
    <cfRule type="cellIs" dxfId="3232" priority="365" operator="lessThanOrEqual">
      <formula>$D64</formula>
    </cfRule>
  </conditionalFormatting>
  <conditionalFormatting sqref="O65">
    <cfRule type="cellIs" dxfId="3231" priority="362" operator="greaterThan">
      <formula>$D65</formula>
    </cfRule>
    <cfRule type="cellIs" dxfId="3230" priority="363" operator="lessThanOrEqual">
      <formula>$D65</formula>
    </cfRule>
  </conditionalFormatting>
  <conditionalFormatting sqref="O66">
    <cfRule type="cellIs" dxfId="3229" priority="360" operator="greaterThan">
      <formula>$D66</formula>
    </cfRule>
    <cfRule type="cellIs" dxfId="3228" priority="361" operator="lessThanOrEqual">
      <formula>$D66</formula>
    </cfRule>
  </conditionalFormatting>
  <conditionalFormatting sqref="O67">
    <cfRule type="cellIs" dxfId="3227" priority="358" operator="greaterThan">
      <formula>$D67</formula>
    </cfRule>
    <cfRule type="cellIs" dxfId="3226" priority="359" operator="lessThanOrEqual">
      <formula>$D67</formula>
    </cfRule>
  </conditionalFormatting>
  <conditionalFormatting sqref="O68">
    <cfRule type="cellIs" dxfId="3225" priority="356" operator="greaterThan">
      <formula>$D68</formula>
    </cfRule>
    <cfRule type="cellIs" dxfId="3224" priority="357" operator="lessThanOrEqual">
      <formula>$D68</formula>
    </cfRule>
  </conditionalFormatting>
  <conditionalFormatting sqref="O69">
    <cfRule type="cellIs" dxfId="3223" priority="354" operator="greaterThan">
      <formula>$D69</formula>
    </cfRule>
    <cfRule type="cellIs" dxfId="3222" priority="355" operator="lessThanOrEqual">
      <formula>$D69</formula>
    </cfRule>
  </conditionalFormatting>
  <conditionalFormatting sqref="O70">
    <cfRule type="cellIs" dxfId="3221" priority="352" operator="greaterThan">
      <formula>$D70</formula>
    </cfRule>
    <cfRule type="cellIs" dxfId="3220" priority="353" operator="lessThanOrEqual">
      <formula>$D70</formula>
    </cfRule>
  </conditionalFormatting>
  <conditionalFormatting sqref="O71">
    <cfRule type="cellIs" dxfId="3219" priority="350" operator="greaterThan">
      <formula>$D71</formula>
    </cfRule>
    <cfRule type="cellIs" dxfId="3218" priority="351" operator="lessThanOrEqual">
      <formula>$D71</formula>
    </cfRule>
  </conditionalFormatting>
  <conditionalFormatting sqref="O73">
    <cfRule type="cellIs" dxfId="3217" priority="348" operator="greaterThan">
      <formula>$D73</formula>
    </cfRule>
    <cfRule type="cellIs" dxfId="3216" priority="349" operator="lessThanOrEqual">
      <formula>$D73</formula>
    </cfRule>
  </conditionalFormatting>
  <conditionalFormatting sqref="P50">
    <cfRule type="cellIs" dxfId="3215" priority="346" operator="greaterThan">
      <formula>$D50</formula>
    </cfRule>
    <cfRule type="cellIs" dxfId="3214" priority="347" operator="lessThanOrEqual">
      <formula>$D50</formula>
    </cfRule>
  </conditionalFormatting>
  <conditionalFormatting sqref="P51">
    <cfRule type="cellIs" dxfId="3213" priority="344" operator="greaterThan">
      <formula>$D51</formula>
    </cfRule>
    <cfRule type="cellIs" dxfId="3212" priority="345" operator="lessThanOrEqual">
      <formula>$D51</formula>
    </cfRule>
  </conditionalFormatting>
  <conditionalFormatting sqref="P52">
    <cfRule type="cellIs" dxfId="3211" priority="342" operator="greaterThan">
      <formula>$D52</formula>
    </cfRule>
    <cfRule type="cellIs" dxfId="3210" priority="343" operator="lessThanOrEqual">
      <formula>$D52</formula>
    </cfRule>
  </conditionalFormatting>
  <conditionalFormatting sqref="P55">
    <cfRule type="cellIs" dxfId="3209" priority="338" operator="greaterThan">
      <formula>$D55</formula>
    </cfRule>
    <cfRule type="cellIs" dxfId="3208" priority="339" operator="lessThanOrEqual">
      <formula>$D55</formula>
    </cfRule>
  </conditionalFormatting>
  <conditionalFormatting sqref="P56">
    <cfRule type="cellIs" dxfId="3207" priority="336" operator="greaterThan">
      <formula>$D56</formula>
    </cfRule>
    <cfRule type="cellIs" dxfId="3206" priority="337" operator="lessThanOrEqual">
      <formula>$D56</formula>
    </cfRule>
  </conditionalFormatting>
  <conditionalFormatting sqref="P57">
    <cfRule type="cellIs" dxfId="3205" priority="334" operator="greaterThan">
      <formula>$D57</formula>
    </cfRule>
    <cfRule type="cellIs" dxfId="3204" priority="335" operator="lessThanOrEqual">
      <formula>$D57</formula>
    </cfRule>
  </conditionalFormatting>
  <conditionalFormatting sqref="P58">
    <cfRule type="cellIs" dxfId="3203" priority="332" operator="greaterThan">
      <formula>$D58</formula>
    </cfRule>
    <cfRule type="cellIs" dxfId="3202" priority="333" operator="lessThanOrEqual">
      <formula>$D58</formula>
    </cfRule>
  </conditionalFormatting>
  <conditionalFormatting sqref="P59">
    <cfRule type="cellIs" dxfId="3201" priority="330" operator="greaterThan">
      <formula>$D59</formula>
    </cfRule>
    <cfRule type="cellIs" dxfId="3200" priority="331" operator="lessThanOrEqual">
      <formula>$D59</formula>
    </cfRule>
  </conditionalFormatting>
  <conditionalFormatting sqref="P60">
    <cfRule type="cellIs" dxfId="3199" priority="328" operator="greaterThan">
      <formula>$D60</formula>
    </cfRule>
    <cfRule type="cellIs" dxfId="3198" priority="329" operator="lessThanOrEqual">
      <formula>$D60</formula>
    </cfRule>
  </conditionalFormatting>
  <conditionalFormatting sqref="P61">
    <cfRule type="cellIs" dxfId="3197" priority="326" operator="greaterThan">
      <formula>$D61</formula>
    </cfRule>
    <cfRule type="cellIs" dxfId="3196" priority="327" operator="lessThanOrEqual">
      <formula>$D61</formula>
    </cfRule>
  </conditionalFormatting>
  <conditionalFormatting sqref="P62">
    <cfRule type="cellIs" dxfId="3195" priority="324" operator="greaterThan">
      <formula>$D62</formula>
    </cfRule>
    <cfRule type="cellIs" dxfId="3194" priority="325" operator="lessThanOrEqual">
      <formula>$D62</formula>
    </cfRule>
  </conditionalFormatting>
  <conditionalFormatting sqref="P63">
    <cfRule type="cellIs" dxfId="3193" priority="322" operator="greaterThan">
      <formula>$D63</formula>
    </cfRule>
    <cfRule type="cellIs" dxfId="3192" priority="323" operator="lessThanOrEqual">
      <formula>$D63</formula>
    </cfRule>
  </conditionalFormatting>
  <conditionalFormatting sqref="P64">
    <cfRule type="cellIs" dxfId="3191" priority="320" operator="greaterThan">
      <formula>$D64</formula>
    </cfRule>
    <cfRule type="cellIs" dxfId="3190" priority="321" operator="lessThanOrEqual">
      <formula>$D64</formula>
    </cfRule>
  </conditionalFormatting>
  <conditionalFormatting sqref="P65">
    <cfRule type="cellIs" dxfId="3189" priority="318" operator="greaterThan">
      <formula>$D65</formula>
    </cfRule>
    <cfRule type="cellIs" dxfId="3188" priority="319" operator="lessThanOrEqual">
      <formula>$D65</formula>
    </cfRule>
  </conditionalFormatting>
  <conditionalFormatting sqref="P66">
    <cfRule type="cellIs" dxfId="3187" priority="316" operator="greaterThan">
      <formula>$D66</formula>
    </cfRule>
    <cfRule type="cellIs" dxfId="3186" priority="317" operator="lessThanOrEqual">
      <formula>$D66</formula>
    </cfRule>
  </conditionalFormatting>
  <conditionalFormatting sqref="P67">
    <cfRule type="cellIs" dxfId="3185" priority="314" operator="greaterThan">
      <formula>$D67</formula>
    </cfRule>
    <cfRule type="cellIs" dxfId="3184" priority="315" operator="lessThanOrEqual">
      <formula>$D67</formula>
    </cfRule>
  </conditionalFormatting>
  <conditionalFormatting sqref="P68">
    <cfRule type="cellIs" dxfId="3183" priority="312" operator="greaterThan">
      <formula>$D68</formula>
    </cfRule>
    <cfRule type="cellIs" dxfId="3182" priority="313" operator="lessThanOrEqual">
      <formula>$D68</formula>
    </cfRule>
  </conditionalFormatting>
  <conditionalFormatting sqref="P69">
    <cfRule type="cellIs" dxfId="3181" priority="310" operator="greaterThan">
      <formula>$D69</formula>
    </cfRule>
    <cfRule type="cellIs" dxfId="3180" priority="311" operator="lessThanOrEqual">
      <formula>$D69</formula>
    </cfRule>
  </conditionalFormatting>
  <conditionalFormatting sqref="P70">
    <cfRule type="cellIs" dxfId="3179" priority="308" operator="greaterThan">
      <formula>$D70</formula>
    </cfRule>
    <cfRule type="cellIs" dxfId="3178" priority="309" operator="lessThanOrEqual">
      <formula>$D70</formula>
    </cfRule>
  </conditionalFormatting>
  <conditionalFormatting sqref="P71">
    <cfRule type="cellIs" dxfId="3177" priority="306" operator="greaterThan">
      <formula>$D71</formula>
    </cfRule>
    <cfRule type="cellIs" dxfId="3176" priority="307" operator="lessThanOrEqual">
      <formula>$D71</formula>
    </cfRule>
  </conditionalFormatting>
  <conditionalFormatting sqref="P73">
    <cfRule type="cellIs" dxfId="3175" priority="304" operator="greaterThan">
      <formula>$D73</formula>
    </cfRule>
    <cfRule type="cellIs" dxfId="3174" priority="305" operator="lessThanOrEqual">
      <formula>$D73</formula>
    </cfRule>
  </conditionalFormatting>
  <conditionalFormatting sqref="Q50">
    <cfRule type="cellIs" dxfId="3173" priority="302" operator="greaterThan">
      <formula>$D50</formula>
    </cfRule>
    <cfRule type="cellIs" dxfId="3172" priority="303" operator="lessThanOrEqual">
      <formula>$D50</formula>
    </cfRule>
  </conditionalFormatting>
  <conditionalFormatting sqref="Q51">
    <cfRule type="cellIs" dxfId="3171" priority="300" operator="greaterThan">
      <formula>$D51</formula>
    </cfRule>
    <cfRule type="cellIs" dxfId="3170" priority="301" operator="lessThanOrEqual">
      <formula>$D51</formula>
    </cfRule>
  </conditionalFormatting>
  <conditionalFormatting sqref="Q52">
    <cfRule type="cellIs" dxfId="3169" priority="298" operator="greaterThan">
      <formula>$D52</formula>
    </cfRule>
    <cfRule type="cellIs" dxfId="3168" priority="299" operator="lessThanOrEqual">
      <formula>$D52</formula>
    </cfRule>
  </conditionalFormatting>
  <conditionalFormatting sqref="Q55">
    <cfRule type="cellIs" dxfId="3167" priority="294" operator="greaterThan">
      <formula>$D55</formula>
    </cfRule>
    <cfRule type="cellIs" dxfId="3166" priority="295" operator="lessThanOrEqual">
      <formula>$D55</formula>
    </cfRule>
  </conditionalFormatting>
  <conditionalFormatting sqref="Q56">
    <cfRule type="cellIs" dxfId="3165" priority="292" operator="greaterThan">
      <formula>$D56</formula>
    </cfRule>
    <cfRule type="cellIs" dxfId="3164" priority="293" operator="lessThanOrEqual">
      <formula>$D56</formula>
    </cfRule>
  </conditionalFormatting>
  <conditionalFormatting sqref="Q57">
    <cfRule type="cellIs" dxfId="3163" priority="290" operator="greaterThan">
      <formula>$D57</formula>
    </cfRule>
    <cfRule type="cellIs" dxfId="3162" priority="291" operator="lessThanOrEqual">
      <formula>$D57</formula>
    </cfRule>
  </conditionalFormatting>
  <conditionalFormatting sqref="Q58">
    <cfRule type="cellIs" dxfId="3161" priority="288" operator="greaterThan">
      <formula>$D58</formula>
    </cfRule>
    <cfRule type="cellIs" dxfId="3160" priority="289" operator="lessThanOrEqual">
      <formula>$D58</formula>
    </cfRule>
  </conditionalFormatting>
  <conditionalFormatting sqref="Q59">
    <cfRule type="cellIs" dxfId="3159" priority="286" operator="greaterThan">
      <formula>$D59</formula>
    </cfRule>
    <cfRule type="cellIs" dxfId="3158" priority="287" operator="lessThanOrEqual">
      <formula>$D59</formula>
    </cfRule>
  </conditionalFormatting>
  <conditionalFormatting sqref="Q60">
    <cfRule type="cellIs" dxfId="3157" priority="284" operator="greaterThan">
      <formula>$D60</formula>
    </cfRule>
    <cfRule type="cellIs" dxfId="3156" priority="285" operator="lessThanOrEqual">
      <formula>$D60</formula>
    </cfRule>
  </conditionalFormatting>
  <conditionalFormatting sqref="Q61">
    <cfRule type="cellIs" dxfId="3155" priority="282" operator="greaterThan">
      <formula>$D61</formula>
    </cfRule>
    <cfRule type="cellIs" dxfId="3154" priority="283" operator="lessThanOrEqual">
      <formula>$D61</formula>
    </cfRule>
  </conditionalFormatting>
  <conditionalFormatting sqref="Q62">
    <cfRule type="cellIs" dxfId="3153" priority="280" operator="greaterThan">
      <formula>$D62</formula>
    </cfRule>
    <cfRule type="cellIs" dxfId="3152" priority="281" operator="lessThanOrEqual">
      <formula>$D62</formula>
    </cfRule>
  </conditionalFormatting>
  <conditionalFormatting sqref="Q63">
    <cfRule type="cellIs" dxfId="3151" priority="278" operator="greaterThan">
      <formula>$D63</formula>
    </cfRule>
    <cfRule type="cellIs" dxfId="3150" priority="279" operator="lessThanOrEqual">
      <formula>$D63</formula>
    </cfRule>
  </conditionalFormatting>
  <conditionalFormatting sqref="Q64">
    <cfRule type="cellIs" dxfId="3149" priority="276" operator="greaterThan">
      <formula>$D64</formula>
    </cfRule>
    <cfRule type="cellIs" dxfId="3148" priority="277" operator="lessThanOrEqual">
      <formula>$D64</formula>
    </cfRule>
  </conditionalFormatting>
  <conditionalFormatting sqref="Q65">
    <cfRule type="cellIs" dxfId="3147" priority="274" operator="greaterThan">
      <formula>$D65</formula>
    </cfRule>
    <cfRule type="cellIs" dxfId="3146" priority="275" operator="lessThanOrEqual">
      <formula>$D65</formula>
    </cfRule>
  </conditionalFormatting>
  <conditionalFormatting sqref="Q66">
    <cfRule type="cellIs" dxfId="3145" priority="272" operator="greaterThan">
      <formula>$D66</formula>
    </cfRule>
    <cfRule type="cellIs" dxfId="3144" priority="273" operator="lessThanOrEqual">
      <formula>$D66</formula>
    </cfRule>
  </conditionalFormatting>
  <conditionalFormatting sqref="Q67">
    <cfRule type="cellIs" dxfId="3143" priority="270" operator="greaterThan">
      <formula>$D67</formula>
    </cfRule>
    <cfRule type="cellIs" dxfId="3142" priority="271" operator="lessThanOrEqual">
      <formula>$D67</formula>
    </cfRule>
  </conditionalFormatting>
  <conditionalFormatting sqref="Q68">
    <cfRule type="cellIs" dxfId="3141" priority="268" operator="greaterThan">
      <formula>$D68</formula>
    </cfRule>
    <cfRule type="cellIs" dxfId="3140" priority="269" operator="lessThanOrEqual">
      <formula>$D68</formula>
    </cfRule>
  </conditionalFormatting>
  <conditionalFormatting sqref="Q69">
    <cfRule type="cellIs" dxfId="3139" priority="266" operator="greaterThan">
      <formula>$D69</formula>
    </cfRule>
    <cfRule type="cellIs" dxfId="3138" priority="267" operator="lessThanOrEqual">
      <formula>$D69</formula>
    </cfRule>
  </conditionalFormatting>
  <conditionalFormatting sqref="Q70">
    <cfRule type="cellIs" dxfId="3137" priority="264" operator="greaterThan">
      <formula>$D70</formula>
    </cfRule>
    <cfRule type="cellIs" dxfId="3136" priority="265" operator="lessThanOrEqual">
      <formula>$D70</formula>
    </cfRule>
  </conditionalFormatting>
  <conditionalFormatting sqref="Q71:Q72">
    <cfRule type="cellIs" dxfId="3135" priority="262" operator="greaterThan">
      <formula>$D71</formula>
    </cfRule>
    <cfRule type="cellIs" dxfId="3134" priority="263" operator="lessThanOrEqual">
      <formula>$D71</formula>
    </cfRule>
  </conditionalFormatting>
  <conditionalFormatting sqref="Q73:Q74">
    <cfRule type="cellIs" dxfId="3133" priority="260" operator="greaterThan">
      <formula>$D73</formula>
    </cfRule>
    <cfRule type="cellIs" dxfId="3132" priority="261" operator="lessThanOrEqual">
      <formula>$D73</formula>
    </cfRule>
  </conditionalFormatting>
  <conditionalFormatting sqref="E45">
    <cfRule type="cellIs" dxfId="3131" priority="226" operator="greaterThan">
      <formula>$D45</formula>
    </cfRule>
    <cfRule type="cellIs" dxfId="3130" priority="227" operator="lessThanOrEqual">
      <formula>$D45</formula>
    </cfRule>
  </conditionalFormatting>
  <conditionalFormatting sqref="E46">
    <cfRule type="cellIs" dxfId="3129" priority="224" operator="greaterThan">
      <formula>$D46</formula>
    </cfRule>
    <cfRule type="cellIs" dxfId="3128" priority="225" operator="lessThanOrEqual">
      <formula>$D46</formula>
    </cfRule>
  </conditionalFormatting>
  <conditionalFormatting sqref="F45">
    <cfRule type="cellIs" dxfId="3127" priority="221" operator="greaterThan">
      <formula>$D45</formula>
    </cfRule>
    <cfRule type="cellIs" dxfId="3126" priority="222" operator="lessThanOrEqual">
      <formula>$D45</formula>
    </cfRule>
  </conditionalFormatting>
  <conditionalFormatting sqref="G45">
    <cfRule type="cellIs" dxfId="3125" priority="219" operator="greaterThan">
      <formula>$D45</formula>
    </cfRule>
    <cfRule type="cellIs" dxfId="3124" priority="220" operator="lessThanOrEqual">
      <formula>$D45</formula>
    </cfRule>
  </conditionalFormatting>
  <conditionalFormatting sqref="H45">
    <cfRule type="cellIs" dxfId="3123" priority="217" operator="greaterThan">
      <formula>$D45</formula>
    </cfRule>
    <cfRule type="cellIs" dxfId="3122" priority="218" operator="lessThanOrEqual">
      <formula>$D45</formula>
    </cfRule>
  </conditionalFormatting>
  <conditionalFormatting sqref="I45">
    <cfRule type="cellIs" dxfId="3121" priority="215" operator="greaterThan">
      <formula>$D45</formula>
    </cfRule>
    <cfRule type="cellIs" dxfId="3120" priority="216" operator="lessThanOrEqual">
      <formula>$D45</formula>
    </cfRule>
  </conditionalFormatting>
  <conditionalFormatting sqref="J45">
    <cfRule type="cellIs" dxfId="3119" priority="213" operator="greaterThan">
      <formula>$D45</formula>
    </cfRule>
    <cfRule type="cellIs" dxfId="3118" priority="214" operator="lessThanOrEqual">
      <formula>$D45</formula>
    </cfRule>
  </conditionalFormatting>
  <conditionalFormatting sqref="K45">
    <cfRule type="cellIs" dxfId="3117" priority="211" operator="greaterThan">
      <formula>$D45</formula>
    </cfRule>
    <cfRule type="cellIs" dxfId="3116" priority="212" operator="lessThanOrEqual">
      <formula>$D45</formula>
    </cfRule>
  </conditionalFormatting>
  <conditionalFormatting sqref="L45">
    <cfRule type="cellIs" dxfId="3115" priority="209" operator="greaterThan">
      <formula>$D45</formula>
    </cfRule>
    <cfRule type="cellIs" dxfId="3114" priority="210" operator="lessThanOrEqual">
      <formula>$D45</formula>
    </cfRule>
  </conditionalFormatting>
  <conditionalFormatting sqref="M45">
    <cfRule type="cellIs" dxfId="3113" priority="207" operator="greaterThan">
      <formula>$D45</formula>
    </cfRule>
    <cfRule type="cellIs" dxfId="3112" priority="208" operator="lessThanOrEqual">
      <formula>$D45</formula>
    </cfRule>
  </conditionalFormatting>
  <conditionalFormatting sqref="N45">
    <cfRule type="cellIs" dxfId="3111" priority="205" operator="greaterThan">
      <formula>$D45</formula>
    </cfRule>
    <cfRule type="cellIs" dxfId="3110" priority="206" operator="lessThanOrEqual">
      <formula>$D45</formula>
    </cfRule>
  </conditionalFormatting>
  <conditionalFormatting sqref="O45">
    <cfRule type="cellIs" dxfId="3109" priority="203" operator="greaterThan">
      <formula>$D45</formula>
    </cfRule>
    <cfRule type="cellIs" dxfId="3108" priority="204" operator="lessThanOrEqual">
      <formula>$D45</formula>
    </cfRule>
  </conditionalFormatting>
  <conditionalFormatting sqref="P45">
    <cfRule type="cellIs" dxfId="3107" priority="201" operator="greaterThan">
      <formula>$D45</formula>
    </cfRule>
    <cfRule type="cellIs" dxfId="3106" priority="202" operator="lessThanOrEqual">
      <formula>$D45</formula>
    </cfRule>
  </conditionalFormatting>
  <conditionalFormatting sqref="Q45">
    <cfRule type="cellIs" dxfId="3105" priority="199" operator="greaterThan">
      <formula>$D45</formula>
    </cfRule>
    <cfRule type="cellIs" dxfId="3104" priority="200" operator="lessThanOrEqual">
      <formula>$D45</formula>
    </cfRule>
  </conditionalFormatting>
  <conditionalFormatting sqref="F46">
    <cfRule type="cellIs" dxfId="3103" priority="197" operator="greaterThan">
      <formula>$D46</formula>
    </cfRule>
    <cfRule type="cellIs" dxfId="3102" priority="198" operator="lessThanOrEqual">
      <formula>$D46</formula>
    </cfRule>
  </conditionalFormatting>
  <conditionalFormatting sqref="G46">
    <cfRule type="cellIs" dxfId="3101" priority="195" operator="greaterThan">
      <formula>$D46</formula>
    </cfRule>
    <cfRule type="cellIs" dxfId="3100" priority="196" operator="lessThanOrEqual">
      <formula>$D46</formula>
    </cfRule>
  </conditionalFormatting>
  <conditionalFormatting sqref="H46">
    <cfRule type="cellIs" dxfId="3099" priority="193" operator="greaterThan">
      <formula>$D46</formula>
    </cfRule>
    <cfRule type="cellIs" dxfId="3098" priority="194" operator="lessThanOrEqual">
      <formula>$D46</formula>
    </cfRule>
  </conditionalFormatting>
  <conditionalFormatting sqref="I46">
    <cfRule type="cellIs" dxfId="3097" priority="191" operator="greaterThan">
      <formula>$D46</formula>
    </cfRule>
    <cfRule type="cellIs" dxfId="3096" priority="192" operator="lessThanOrEqual">
      <formula>$D46</formula>
    </cfRule>
  </conditionalFormatting>
  <conditionalFormatting sqref="J46">
    <cfRule type="cellIs" dxfId="3095" priority="189" operator="greaterThan">
      <formula>$D46</formula>
    </cfRule>
    <cfRule type="cellIs" dxfId="3094" priority="190" operator="lessThanOrEqual">
      <formula>$D46</formula>
    </cfRule>
  </conditionalFormatting>
  <conditionalFormatting sqref="K46">
    <cfRule type="cellIs" dxfId="3093" priority="187" operator="greaterThan">
      <formula>$D46</formula>
    </cfRule>
    <cfRule type="cellIs" dxfId="3092" priority="188" operator="lessThanOrEqual">
      <formula>$D46</formula>
    </cfRule>
  </conditionalFormatting>
  <conditionalFormatting sqref="L46">
    <cfRule type="cellIs" dxfId="3091" priority="185" operator="greaterThan">
      <formula>$D46</formula>
    </cfRule>
    <cfRule type="cellIs" dxfId="3090" priority="186" operator="lessThanOrEqual">
      <formula>$D46</formula>
    </cfRule>
  </conditionalFormatting>
  <conditionalFormatting sqref="M46">
    <cfRule type="cellIs" dxfId="3089" priority="183" operator="greaterThan">
      <formula>$D46</formula>
    </cfRule>
    <cfRule type="cellIs" dxfId="3088" priority="184" operator="lessThanOrEqual">
      <formula>$D46</formula>
    </cfRule>
  </conditionalFormatting>
  <conditionalFormatting sqref="N46">
    <cfRule type="cellIs" dxfId="3087" priority="181" operator="greaterThan">
      <formula>$D46</formula>
    </cfRule>
    <cfRule type="cellIs" dxfId="3086" priority="182" operator="lessThanOrEqual">
      <formula>$D46</formula>
    </cfRule>
  </conditionalFormatting>
  <conditionalFormatting sqref="O46">
    <cfRule type="cellIs" dxfId="3085" priority="179" operator="greaterThan">
      <formula>$D46</formula>
    </cfRule>
    <cfRule type="cellIs" dxfId="3084" priority="180" operator="lessThanOrEqual">
      <formula>$D46</formula>
    </cfRule>
  </conditionalFormatting>
  <conditionalFormatting sqref="P46">
    <cfRule type="cellIs" dxfId="3083" priority="177" operator="greaterThan">
      <formula>$D46</formula>
    </cfRule>
    <cfRule type="cellIs" dxfId="3082" priority="178" operator="lessThanOrEqual">
      <formula>$D46</formula>
    </cfRule>
  </conditionalFormatting>
  <conditionalFormatting sqref="Q46">
    <cfRule type="cellIs" dxfId="3081" priority="175" operator="greaterThan">
      <formula>$D46</formula>
    </cfRule>
    <cfRule type="cellIs" dxfId="3080" priority="176" operator="lessThanOrEqual">
      <formula>$D46</formula>
    </cfRule>
  </conditionalFormatting>
  <conditionalFormatting sqref="R77:W77">
    <cfRule type="cellIs" dxfId="3079" priority="942" operator="greaterThan">
      <formula>#REF!</formula>
    </cfRule>
    <cfRule type="cellIs" dxfId="3078" priority="943" operator="lessThanOrEqual">
      <formula>#REF!</formula>
    </cfRule>
  </conditionalFormatting>
  <conditionalFormatting sqref="E53:Q53">
    <cfRule type="cellIs" dxfId="3077" priority="824" operator="greaterThan">
      <formula>$D53</formula>
    </cfRule>
  </conditionalFormatting>
  <conditionalFormatting sqref="E54:Q54">
    <cfRule type="cellIs" dxfId="3076" priority="158" operator="lessThanOrEqual">
      <formula>$D54</formula>
    </cfRule>
  </conditionalFormatting>
  <conditionalFormatting sqref="E54:Q54">
    <cfRule type="cellIs" dxfId="3075" priority="157" operator="greaterThan">
      <formula>$D54</formula>
    </cfRule>
  </conditionalFormatting>
  <conditionalFormatting sqref="E77">
    <cfRule type="cellIs" dxfId="3074" priority="129" operator="greaterThan">
      <formula>$D$47</formula>
    </cfRule>
    <cfRule type="cellIs" dxfId="3073" priority="130" operator="lessThanOrEqual">
      <formula>$D$47</formula>
    </cfRule>
  </conditionalFormatting>
  <conditionalFormatting sqref="F77">
    <cfRule type="cellIs" dxfId="3072" priority="127" operator="greaterThan">
      <formula>$D$47</formula>
    </cfRule>
    <cfRule type="cellIs" dxfId="3071" priority="128" operator="lessThanOrEqual">
      <formula>$D$47</formula>
    </cfRule>
  </conditionalFormatting>
  <conditionalFormatting sqref="G77">
    <cfRule type="cellIs" dxfId="3070" priority="125" operator="greaterThan">
      <formula>$D$47</formula>
    </cfRule>
    <cfRule type="cellIs" dxfId="3069" priority="126" operator="lessThanOrEqual">
      <formula>$D$47</formula>
    </cfRule>
  </conditionalFormatting>
  <conditionalFormatting sqref="H77">
    <cfRule type="cellIs" dxfId="3068" priority="123" operator="greaterThan">
      <formula>$D$47</formula>
    </cfRule>
    <cfRule type="cellIs" dxfId="3067" priority="124" operator="lessThanOrEqual">
      <formula>$D$47</formula>
    </cfRule>
  </conditionalFormatting>
  <conditionalFormatting sqref="I77">
    <cfRule type="cellIs" dxfId="3066" priority="121" operator="greaterThan">
      <formula>$D$47</formula>
    </cfRule>
    <cfRule type="cellIs" dxfId="3065" priority="122" operator="lessThanOrEqual">
      <formula>$D$47</formula>
    </cfRule>
  </conditionalFormatting>
  <conditionalFormatting sqref="J77">
    <cfRule type="cellIs" dxfId="3064" priority="119" operator="greaterThan">
      <formula>$D$47</formula>
    </cfRule>
    <cfRule type="cellIs" dxfId="3063" priority="120" operator="lessThanOrEqual">
      <formula>$D$47</formula>
    </cfRule>
  </conditionalFormatting>
  <conditionalFormatting sqref="K77">
    <cfRule type="cellIs" dxfId="3062" priority="117" operator="greaterThan">
      <formula>$D$47</formula>
    </cfRule>
    <cfRule type="cellIs" dxfId="3061" priority="118" operator="lessThanOrEqual">
      <formula>$D$47</formula>
    </cfRule>
  </conditionalFormatting>
  <conditionalFormatting sqref="L77">
    <cfRule type="cellIs" dxfId="3060" priority="115" operator="greaterThan">
      <formula>$D$47</formula>
    </cfRule>
    <cfRule type="cellIs" dxfId="3059" priority="116" operator="lessThanOrEqual">
      <formula>$D$47</formula>
    </cfRule>
  </conditionalFormatting>
  <conditionalFormatting sqref="M77">
    <cfRule type="cellIs" dxfId="3058" priority="113" operator="greaterThan">
      <formula>$D$47</formula>
    </cfRule>
    <cfRule type="cellIs" dxfId="3057" priority="114" operator="lessThanOrEqual">
      <formula>$D$47</formula>
    </cfRule>
  </conditionalFormatting>
  <conditionalFormatting sqref="N77">
    <cfRule type="cellIs" dxfId="3056" priority="111" operator="greaterThan">
      <formula>$D$47</formula>
    </cfRule>
    <cfRule type="cellIs" dxfId="3055" priority="112" operator="lessThanOrEqual">
      <formula>$D$47</formula>
    </cfRule>
  </conditionalFormatting>
  <conditionalFormatting sqref="O77">
    <cfRule type="cellIs" dxfId="3054" priority="109" operator="greaterThan">
      <formula>$D$47</formula>
    </cfRule>
    <cfRule type="cellIs" dxfId="3053" priority="110" operator="lessThanOrEqual">
      <formula>$D$47</formula>
    </cfRule>
  </conditionalFormatting>
  <conditionalFormatting sqref="P77">
    <cfRule type="cellIs" dxfId="3052" priority="107" operator="greaterThan">
      <formula>$D$47</formula>
    </cfRule>
    <cfRule type="cellIs" dxfId="3051" priority="108" operator="lessThanOrEqual">
      <formula>$D$47</formula>
    </cfRule>
  </conditionalFormatting>
  <conditionalFormatting sqref="Q77">
    <cfRule type="cellIs" dxfId="3050" priority="105" operator="greaterThan">
      <formula>$D$47</formula>
    </cfRule>
    <cfRule type="cellIs" dxfId="3049" priority="106" operator="lessThanOrEqual">
      <formula>$D$47</formula>
    </cfRule>
  </conditionalFormatting>
  <conditionalFormatting sqref="E79">
    <cfRule type="cellIs" dxfId="3048" priority="51" operator="greaterThan">
      <formula>$D79</formula>
    </cfRule>
    <cfRule type="cellIs" dxfId="3047" priority="52" operator="lessThanOrEqual">
      <formula>$D79</formula>
    </cfRule>
  </conditionalFormatting>
  <conditionalFormatting sqref="F79">
    <cfRule type="cellIs" dxfId="3046" priority="49" operator="greaterThan">
      <formula>$D79</formula>
    </cfRule>
    <cfRule type="cellIs" dxfId="3045" priority="50" operator="lessThanOrEqual">
      <formula>$D79</formula>
    </cfRule>
  </conditionalFormatting>
  <conditionalFormatting sqref="G79">
    <cfRule type="cellIs" dxfId="3044" priority="47" operator="greaterThan">
      <formula>$D79</formula>
    </cfRule>
    <cfRule type="cellIs" dxfId="3043" priority="48" operator="lessThanOrEqual">
      <formula>$D79</formula>
    </cfRule>
  </conditionalFormatting>
  <conditionalFormatting sqref="H79">
    <cfRule type="cellIs" dxfId="3042" priority="45" operator="greaterThan">
      <formula>$D79</formula>
    </cfRule>
    <cfRule type="cellIs" dxfId="3041" priority="46" operator="lessThanOrEqual">
      <formula>$D79</formula>
    </cfRule>
  </conditionalFormatting>
  <conditionalFormatting sqref="I79">
    <cfRule type="cellIs" dxfId="3040" priority="43" operator="greaterThan">
      <formula>$D79</formula>
    </cfRule>
    <cfRule type="cellIs" dxfId="3039" priority="44" operator="lessThanOrEqual">
      <formula>$D79</formula>
    </cfRule>
  </conditionalFormatting>
  <conditionalFormatting sqref="J79">
    <cfRule type="cellIs" dxfId="3038" priority="41" operator="greaterThan">
      <formula>$D79</formula>
    </cfRule>
    <cfRule type="cellIs" dxfId="3037" priority="42" operator="lessThanOrEqual">
      <formula>$D79</formula>
    </cfRule>
  </conditionalFormatting>
  <conditionalFormatting sqref="K79">
    <cfRule type="cellIs" dxfId="3036" priority="39" operator="greaterThan">
      <formula>$D79</formula>
    </cfRule>
    <cfRule type="cellIs" dxfId="3035" priority="40" operator="lessThanOrEqual">
      <formula>$D79</formula>
    </cfRule>
  </conditionalFormatting>
  <conditionalFormatting sqref="L79">
    <cfRule type="cellIs" dxfId="3034" priority="37" operator="greaterThan">
      <formula>$D79</formula>
    </cfRule>
    <cfRule type="cellIs" dxfId="3033" priority="38" operator="lessThanOrEqual">
      <formula>$D79</formula>
    </cfRule>
  </conditionalFormatting>
  <conditionalFormatting sqref="M79">
    <cfRule type="cellIs" dxfId="3032" priority="35" operator="greaterThan">
      <formula>$D79</formula>
    </cfRule>
    <cfRule type="cellIs" dxfId="3031" priority="36" operator="lessThanOrEqual">
      <formula>$D79</formula>
    </cfRule>
  </conditionalFormatting>
  <conditionalFormatting sqref="N79">
    <cfRule type="cellIs" dxfId="3030" priority="33" operator="greaterThan">
      <formula>$D79</formula>
    </cfRule>
    <cfRule type="cellIs" dxfId="3029" priority="34" operator="lessThanOrEqual">
      <formula>$D79</formula>
    </cfRule>
  </conditionalFormatting>
  <conditionalFormatting sqref="O79">
    <cfRule type="cellIs" dxfId="3028" priority="31" operator="greaterThan">
      <formula>$D79</formula>
    </cfRule>
    <cfRule type="cellIs" dxfId="3027" priority="32" operator="lessThanOrEqual">
      <formula>$D79</formula>
    </cfRule>
  </conditionalFormatting>
  <conditionalFormatting sqref="P79">
    <cfRule type="cellIs" dxfId="3026" priority="29" operator="greaterThan">
      <formula>$D79</formula>
    </cfRule>
    <cfRule type="cellIs" dxfId="3025" priority="30" operator="lessThanOrEqual">
      <formula>$D79</formula>
    </cfRule>
  </conditionalFormatting>
  <conditionalFormatting sqref="Q79">
    <cfRule type="cellIs" dxfId="3024" priority="27" operator="greaterThan">
      <formula>$D79</formula>
    </cfRule>
    <cfRule type="cellIs" dxfId="3023" priority="28" operator="lessThanOrEqual">
      <formula>$D79</formula>
    </cfRule>
  </conditionalFormatting>
  <conditionalFormatting sqref="E80">
    <cfRule type="cellIs" dxfId="3022" priority="25" operator="greaterThan">
      <formula>$D80</formula>
    </cfRule>
    <cfRule type="cellIs" dxfId="3021" priority="26" operator="lessThanOrEqual">
      <formula>$D80</formula>
    </cfRule>
  </conditionalFormatting>
  <conditionalFormatting sqref="F80">
    <cfRule type="cellIs" dxfId="3020" priority="23" operator="greaterThan">
      <formula>$D80</formula>
    </cfRule>
    <cfRule type="cellIs" dxfId="3019" priority="24" operator="lessThanOrEqual">
      <formula>$D80</formula>
    </cfRule>
  </conditionalFormatting>
  <conditionalFormatting sqref="G80">
    <cfRule type="cellIs" dxfId="3018" priority="21" operator="greaterThan">
      <formula>$D80</formula>
    </cfRule>
    <cfRule type="cellIs" dxfId="3017" priority="22" operator="lessThanOrEqual">
      <formula>$D80</formula>
    </cfRule>
  </conditionalFormatting>
  <conditionalFormatting sqref="H80">
    <cfRule type="cellIs" dxfId="3016" priority="19" operator="greaterThan">
      <formula>$D80</formula>
    </cfRule>
    <cfRule type="cellIs" dxfId="3015" priority="20" operator="lessThanOrEqual">
      <formula>$D80</formula>
    </cfRule>
  </conditionalFormatting>
  <conditionalFormatting sqref="I80">
    <cfRule type="cellIs" dxfId="3014" priority="17" operator="greaterThan">
      <formula>$D80</formula>
    </cfRule>
    <cfRule type="cellIs" dxfId="3013" priority="18" operator="lessThanOrEqual">
      <formula>$D80</formula>
    </cfRule>
  </conditionalFormatting>
  <conditionalFormatting sqref="J80">
    <cfRule type="cellIs" dxfId="3012" priority="15" operator="greaterThan">
      <formula>$D80</formula>
    </cfRule>
    <cfRule type="cellIs" dxfId="3011" priority="16" operator="lessThanOrEqual">
      <formula>$D80</formula>
    </cfRule>
  </conditionalFormatting>
  <conditionalFormatting sqref="K80">
    <cfRule type="cellIs" dxfId="3010" priority="13" operator="greaterThan">
      <formula>$D80</formula>
    </cfRule>
    <cfRule type="cellIs" dxfId="3009" priority="14" operator="lessThanOrEqual">
      <formula>$D80</formula>
    </cfRule>
  </conditionalFormatting>
  <conditionalFormatting sqref="L80">
    <cfRule type="cellIs" dxfId="3008" priority="11" operator="greaterThan">
      <formula>$D80</formula>
    </cfRule>
    <cfRule type="cellIs" dxfId="3007" priority="12" operator="lessThanOrEqual">
      <formula>$D80</formula>
    </cfRule>
  </conditionalFormatting>
  <conditionalFormatting sqref="M80">
    <cfRule type="cellIs" dxfId="3006" priority="9" operator="greaterThan">
      <formula>$D80</formula>
    </cfRule>
    <cfRule type="cellIs" dxfId="3005" priority="10" operator="lessThanOrEqual">
      <formula>$D80</formula>
    </cfRule>
  </conditionalFormatting>
  <conditionalFormatting sqref="N80">
    <cfRule type="cellIs" dxfId="3004" priority="7" operator="greaterThan">
      <formula>$D80</formula>
    </cfRule>
    <cfRule type="cellIs" dxfId="3003" priority="8" operator="lessThanOrEqual">
      <formula>$D80</formula>
    </cfRule>
  </conditionalFormatting>
  <conditionalFormatting sqref="O80">
    <cfRule type="cellIs" dxfId="3002" priority="5" operator="greaterThan">
      <formula>$D80</formula>
    </cfRule>
    <cfRule type="cellIs" dxfId="3001" priority="6" operator="lessThanOrEqual">
      <formula>$D80</formula>
    </cfRule>
  </conditionalFormatting>
  <conditionalFormatting sqref="P80">
    <cfRule type="cellIs" dxfId="3000" priority="3" operator="greaterThan">
      <formula>$D80</formula>
    </cfRule>
    <cfRule type="cellIs" dxfId="2999" priority="4" operator="lessThanOrEqual">
      <formula>$D80</formula>
    </cfRule>
  </conditionalFormatting>
  <conditionalFormatting sqref="Q80">
    <cfRule type="cellIs" dxfId="2998" priority="1" operator="greaterThan">
      <formula>$D80</formula>
    </cfRule>
    <cfRule type="cellIs" dxfId="2997" priority="2" operator="lessThanOrEqual">
      <formula>$D80</formula>
    </cfRule>
  </conditionalFormatting>
  <pageMargins left="0.7" right="0.7" top="0.75" bottom="0.75" header="0.3" footer="0.3"/>
  <pageSetup paperSize="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00B8-623D-48E2-B493-D3232F19B297}">
  <dimension ref="A1:AN239"/>
  <sheetViews>
    <sheetView zoomScaleNormal="100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E53" sqref="E53"/>
    </sheetView>
  </sheetViews>
  <sheetFormatPr defaultRowHeight="14.5"/>
  <cols>
    <col min="1" max="1" width="24" bestFit="1" customWidth="1"/>
    <col min="2" max="2" width="12.36328125" customWidth="1"/>
    <col min="3" max="3" width="16.7265625" customWidth="1"/>
    <col min="4" max="4" width="11.6328125" bestFit="1" customWidth="1"/>
    <col min="5" max="5" width="17.36328125" bestFit="1" customWidth="1"/>
    <col min="6" max="9" width="14.26953125" bestFit="1" customWidth="1"/>
    <col min="10" max="10" width="17" bestFit="1" customWidth="1"/>
    <col min="11" max="11" width="13.90625" bestFit="1" customWidth="1"/>
    <col min="12" max="15" width="15.26953125" bestFit="1" customWidth="1"/>
    <col min="16" max="16" width="13.26953125" bestFit="1" customWidth="1"/>
    <col min="17" max="17" width="16.7265625" bestFit="1" customWidth="1"/>
    <col min="18" max="18" width="20" bestFit="1" customWidth="1"/>
    <col min="19" max="19" width="14.90625" bestFit="1" customWidth="1"/>
    <col min="20" max="21" width="13.26953125" bestFit="1" customWidth="1"/>
    <col min="22" max="22" width="14.90625" bestFit="1" customWidth="1"/>
    <col min="23" max="25" width="14.90625" customWidth="1"/>
    <col min="26" max="26" width="13.26953125" bestFit="1" customWidth="1"/>
    <col min="27" max="27" width="11.6328125" bestFit="1" customWidth="1"/>
    <col min="28" max="28" width="11.7265625" bestFit="1" customWidth="1"/>
    <col min="29" max="29" width="11.6328125" bestFit="1" customWidth="1"/>
    <col min="30" max="31" width="9.26953125" bestFit="1" customWidth="1"/>
    <col min="32" max="32" width="14.90625" bestFit="1" customWidth="1"/>
    <col min="33" max="33" width="13.90625" bestFit="1" customWidth="1"/>
    <col min="34" max="34" width="11.6328125" bestFit="1" customWidth="1"/>
    <col min="35" max="35" width="13.26953125" bestFit="1" customWidth="1"/>
    <col min="36" max="37" width="11.6328125" bestFit="1" customWidth="1"/>
    <col min="38" max="38" width="13.26953125" bestFit="1" customWidth="1"/>
    <col min="39" max="39" width="11.6328125" bestFit="1" customWidth="1"/>
    <col min="40" max="40" width="17.36328125" bestFit="1" customWidth="1"/>
  </cols>
  <sheetData>
    <row r="1" spans="1:40" ht="18.5">
      <c r="A1" s="427" t="s">
        <v>79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  <c r="M1" s="427"/>
      <c r="N1" s="427"/>
      <c r="O1" s="427"/>
      <c r="P1" s="427"/>
      <c r="Q1" s="427"/>
      <c r="R1" s="427"/>
      <c r="S1" s="427"/>
      <c r="T1" s="427"/>
      <c r="U1" s="427"/>
      <c r="V1" s="427"/>
      <c r="W1" s="427"/>
      <c r="X1" s="427"/>
      <c r="Y1" s="427"/>
      <c r="Z1" s="427"/>
      <c r="AB1" s="51" t="s">
        <v>80</v>
      </c>
    </row>
    <row r="2" spans="1:40">
      <c r="A2" s="1"/>
      <c r="B2" s="2" t="s">
        <v>2</v>
      </c>
      <c r="C2" s="2" t="s">
        <v>3</v>
      </c>
      <c r="D2" s="23" t="s">
        <v>4</v>
      </c>
      <c r="E2" s="3">
        <v>46023</v>
      </c>
      <c r="F2" s="3">
        <v>46054</v>
      </c>
      <c r="G2" s="3">
        <v>46082</v>
      </c>
      <c r="H2" s="3">
        <v>46113</v>
      </c>
      <c r="I2" s="3">
        <v>46143</v>
      </c>
      <c r="J2" s="3">
        <v>46174</v>
      </c>
      <c r="K2" s="3">
        <v>46204</v>
      </c>
      <c r="L2" s="3">
        <v>46235</v>
      </c>
      <c r="M2" s="3">
        <v>46266</v>
      </c>
      <c r="N2" s="3">
        <v>46296</v>
      </c>
      <c r="O2" s="3">
        <v>46327</v>
      </c>
      <c r="P2" s="3">
        <v>46357</v>
      </c>
      <c r="Q2" s="4" t="s">
        <v>55</v>
      </c>
      <c r="R2" s="5" t="s">
        <v>5</v>
      </c>
      <c r="S2" s="5" t="s">
        <v>6</v>
      </c>
      <c r="T2" s="5" t="s">
        <v>7</v>
      </c>
      <c r="U2" s="5" t="s">
        <v>8</v>
      </c>
      <c r="V2" s="5" t="s">
        <v>9</v>
      </c>
      <c r="W2" s="5"/>
      <c r="X2" s="5"/>
      <c r="Y2" s="5"/>
      <c r="Z2" s="5" t="s">
        <v>10</v>
      </c>
      <c r="AB2" s="52">
        <v>46023</v>
      </c>
      <c r="AC2" s="52">
        <v>46054</v>
      </c>
      <c r="AD2" s="52">
        <v>46082</v>
      </c>
      <c r="AE2" s="52">
        <v>46113</v>
      </c>
      <c r="AF2" s="52">
        <v>46143</v>
      </c>
      <c r="AG2" s="52">
        <v>46174</v>
      </c>
      <c r="AH2" s="52">
        <v>46204</v>
      </c>
      <c r="AI2" s="52">
        <v>46235</v>
      </c>
      <c r="AJ2" s="52">
        <v>46266</v>
      </c>
      <c r="AK2" s="52">
        <v>46296</v>
      </c>
      <c r="AL2" s="52">
        <v>46327</v>
      </c>
      <c r="AM2" s="52">
        <v>46357</v>
      </c>
      <c r="AN2" s="53" t="s">
        <v>81</v>
      </c>
    </row>
    <row r="3" spans="1:40">
      <c r="A3" s="414" t="s">
        <v>12</v>
      </c>
      <c r="B3" s="6" t="s">
        <v>13</v>
      </c>
      <c r="C3" s="6" t="s">
        <v>82</v>
      </c>
      <c r="D3" s="33"/>
      <c r="E3" s="24">
        <f>[1]in!$D$1159</f>
        <v>2730</v>
      </c>
      <c r="F3" s="24">
        <f>[1]in!$E$1159</f>
        <v>217610</v>
      </c>
      <c r="G3" s="24">
        <f>[1]in!$F$1159</f>
        <v>13740</v>
      </c>
      <c r="H3" s="24">
        <f>[1]in!$H$1159</f>
        <v>2635</v>
      </c>
      <c r="I3" s="24">
        <f>[1]in!$I$1159</f>
        <v>0</v>
      </c>
      <c r="J3" s="24">
        <f>[1]in!$J$1159</f>
        <v>0</v>
      </c>
      <c r="K3" s="24">
        <f>[1]in!$L$1159</f>
        <v>0</v>
      </c>
      <c r="L3" s="24">
        <f>[1]in!$M$1159</f>
        <v>0</v>
      </c>
      <c r="M3" s="24">
        <f>[1]in!$N$1159</f>
        <v>0</v>
      </c>
      <c r="N3" s="24">
        <f>[1]in!$P$1159</f>
        <v>0</v>
      </c>
      <c r="O3" s="24">
        <f>[1]in!$Q$1159</f>
        <v>0</v>
      </c>
      <c r="P3" s="24">
        <f>[1]in!$R$1159</f>
        <v>0</v>
      </c>
      <c r="Q3" s="25">
        <f>SUM(E3:P3)</f>
        <v>236715</v>
      </c>
      <c r="R3" s="25">
        <f>SUM(E3:G3)</f>
        <v>234080</v>
      </c>
      <c r="S3" s="25">
        <f>SUM(H3:J3)</f>
        <v>2635</v>
      </c>
      <c r="T3" s="25">
        <f>SUM(K3:M3)</f>
        <v>0</v>
      </c>
      <c r="U3" s="25">
        <f>SUM(N3:P3)</f>
        <v>0</v>
      </c>
      <c r="V3" s="25">
        <f>SUM(E3:J3)</f>
        <v>236715</v>
      </c>
      <c r="W3" s="25"/>
      <c r="X3" s="25"/>
      <c r="Y3" s="25"/>
      <c r="Z3" s="25">
        <f>SUM(K3:P3)</f>
        <v>0</v>
      </c>
      <c r="AA3" s="58">
        <f t="shared" ref="AA3:AA12" si="0">Q3/$Q$37</f>
        <v>0.10020399342852462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2">
        <f>SUM(AB3:AM3)</f>
        <v>0</v>
      </c>
    </row>
    <row r="4" spans="1:40">
      <c r="A4" s="415"/>
      <c r="B4" s="6" t="s">
        <v>15</v>
      </c>
      <c r="C4" s="6" t="s">
        <v>82</v>
      </c>
      <c r="D4" s="6"/>
      <c r="E4" s="33">
        <f>[1]in!$D$1160</f>
        <v>129178</v>
      </c>
      <c r="F4" s="111">
        <f>[1]in!$E$1160</f>
        <v>44169</v>
      </c>
      <c r="G4" s="111">
        <f>[1]in!$F$1160</f>
        <v>11944</v>
      </c>
      <c r="H4" s="111">
        <f>[1]in!$H$1160</f>
        <v>33837</v>
      </c>
      <c r="I4" s="111">
        <f>[1]in!$I$1160</f>
        <v>0</v>
      </c>
      <c r="J4" s="111">
        <f>[1]in!$J$1160</f>
        <v>0</v>
      </c>
      <c r="K4" s="111">
        <f>[1]in!$L$1160</f>
        <v>0</v>
      </c>
      <c r="L4" s="111">
        <f>[1]in!$M$1160</f>
        <v>0</v>
      </c>
      <c r="M4" s="111">
        <f>[1]in!$N$1160</f>
        <v>0</v>
      </c>
      <c r="N4" s="111">
        <f>[1]in!$P$1160</f>
        <v>0</v>
      </c>
      <c r="O4" s="111">
        <f>[1]in!$Q$1160</f>
        <v>0</v>
      </c>
      <c r="P4" s="111">
        <f>[1]in!$R$1160</f>
        <v>0</v>
      </c>
      <c r="Q4" s="25">
        <f t="shared" ref="Q4:Q31" si="1">SUM(E4:P4)</f>
        <v>219128</v>
      </c>
      <c r="R4" s="25">
        <f t="shared" ref="R4:R28" si="2">SUM(E4:G4)</f>
        <v>185291</v>
      </c>
      <c r="S4" s="25">
        <f t="shared" ref="S4:S28" si="3">SUM(H4:J4)</f>
        <v>33837</v>
      </c>
      <c r="T4" s="25">
        <f t="shared" ref="T4:T28" si="4">SUM(K4:M4)</f>
        <v>0</v>
      </c>
      <c r="U4" s="25">
        <f t="shared" ref="U4:U28" si="5">SUM(N4:P4)</f>
        <v>0</v>
      </c>
      <c r="V4" s="25">
        <f t="shared" ref="V4:V28" si="6">SUM(E4:J4)</f>
        <v>219128</v>
      </c>
      <c r="W4" s="25"/>
      <c r="X4" s="25"/>
      <c r="Y4" s="25"/>
      <c r="Z4" s="25">
        <f t="shared" ref="Z4:Z28" si="7">SUM(K4:P4)</f>
        <v>0</v>
      </c>
      <c r="AA4" s="58">
        <f t="shared" si="0"/>
        <v>9.2759228067531604E-2</v>
      </c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>
        <f t="shared" ref="AN4:AN26" si="8">SUM(AB4:AM4)</f>
        <v>0</v>
      </c>
    </row>
    <row r="5" spans="1:40">
      <c r="A5" s="415"/>
      <c r="B5" s="2" t="s">
        <v>16</v>
      </c>
      <c r="C5" s="7" t="s">
        <v>82</v>
      </c>
      <c r="D5" s="6"/>
      <c r="E5" s="95">
        <f>SUM(E3:E4)</f>
        <v>131908</v>
      </c>
      <c r="F5" s="95">
        <f>SUM(F3:F4)</f>
        <v>261779</v>
      </c>
      <c r="G5" s="95">
        <f>SUM(G3:G4)</f>
        <v>25684</v>
      </c>
      <c r="H5" s="95">
        <f t="shared" ref="H5:P5" si="9">SUM(H3:H4)</f>
        <v>36472</v>
      </c>
      <c r="I5" s="95">
        <f t="shared" si="9"/>
        <v>0</v>
      </c>
      <c r="J5" s="95">
        <f t="shared" si="9"/>
        <v>0</v>
      </c>
      <c r="K5" s="95">
        <f t="shared" si="9"/>
        <v>0</v>
      </c>
      <c r="L5" s="95">
        <f t="shared" si="9"/>
        <v>0</v>
      </c>
      <c r="M5" s="95">
        <f t="shared" si="9"/>
        <v>0</v>
      </c>
      <c r="N5" s="95">
        <f t="shared" si="9"/>
        <v>0</v>
      </c>
      <c r="O5" s="95">
        <f t="shared" si="9"/>
        <v>0</v>
      </c>
      <c r="P5" s="95">
        <f t="shared" si="9"/>
        <v>0</v>
      </c>
      <c r="Q5" s="27">
        <f>SUM(E5:P5)</f>
        <v>455843</v>
      </c>
      <c r="R5" s="26">
        <f>SUM(E5:G5)</f>
        <v>419371</v>
      </c>
      <c r="S5" s="26">
        <f t="shared" si="3"/>
        <v>36472</v>
      </c>
      <c r="T5" s="26">
        <f t="shared" si="4"/>
        <v>0</v>
      </c>
      <c r="U5" s="26">
        <f t="shared" si="5"/>
        <v>0</v>
      </c>
      <c r="V5" s="26">
        <f t="shared" si="6"/>
        <v>455843</v>
      </c>
      <c r="W5" s="26"/>
      <c r="X5" s="26"/>
      <c r="Y5" s="26"/>
      <c r="Z5" s="26">
        <f t="shared" si="7"/>
        <v>0</v>
      </c>
      <c r="AA5" s="58">
        <f t="shared" si="0"/>
        <v>0.19296322149605621</v>
      </c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>
        <f t="shared" si="8"/>
        <v>0</v>
      </c>
    </row>
    <row r="6" spans="1:40">
      <c r="A6" s="415"/>
      <c r="B6" s="2" t="s">
        <v>17</v>
      </c>
      <c r="C6" s="7" t="s">
        <v>82</v>
      </c>
      <c r="D6" s="33"/>
      <c r="E6" s="107">
        <f>[1]in!$D$1164</f>
        <v>32520</v>
      </c>
      <c r="F6" s="11">
        <f>[1]in!$E$1164</f>
        <v>40690</v>
      </c>
      <c r="G6" s="11">
        <f>[1]in!$F$1164</f>
        <v>34040</v>
      </c>
      <c r="H6" s="11">
        <f>[1]in!$H$1164</f>
        <v>28350</v>
      </c>
      <c r="I6" s="11">
        <f>[1]in!$I$1164</f>
        <v>0</v>
      </c>
      <c r="J6" s="11">
        <f>[1]in!$J$1164</f>
        <v>0</v>
      </c>
      <c r="K6" s="11">
        <f>[1]in!$L$1164</f>
        <v>0</v>
      </c>
      <c r="L6" s="11">
        <f>[1]in!$M$1164</f>
        <v>0</v>
      </c>
      <c r="M6" s="11">
        <f>[1]in!$N$1164</f>
        <v>0</v>
      </c>
      <c r="N6" s="11">
        <f>[1]in!$P$1164</f>
        <v>0</v>
      </c>
      <c r="O6" s="11">
        <f>[1]in!$Q$1164</f>
        <v>0</v>
      </c>
      <c r="P6" s="11">
        <f>[1]in!$R$1164</f>
        <v>0</v>
      </c>
      <c r="Q6" s="27">
        <f t="shared" si="1"/>
        <v>135600</v>
      </c>
      <c r="R6" s="26">
        <f t="shared" si="2"/>
        <v>107250</v>
      </c>
      <c r="S6" s="26">
        <f t="shared" si="3"/>
        <v>28350</v>
      </c>
      <c r="T6" s="26">
        <f t="shared" si="4"/>
        <v>0</v>
      </c>
      <c r="U6" s="26">
        <f t="shared" si="5"/>
        <v>0</v>
      </c>
      <c r="V6" s="26">
        <f t="shared" si="6"/>
        <v>135600</v>
      </c>
      <c r="W6" s="26"/>
      <c r="X6" s="26"/>
      <c r="Y6" s="26"/>
      <c r="Z6" s="26">
        <f t="shared" si="7"/>
        <v>0</v>
      </c>
      <c r="AA6" s="58">
        <f t="shared" si="0"/>
        <v>5.7400931537536441E-2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2">
        <f t="shared" si="8"/>
        <v>0</v>
      </c>
    </row>
    <row r="7" spans="1:40">
      <c r="A7" s="415"/>
      <c r="B7" s="2" t="s">
        <v>18</v>
      </c>
      <c r="C7" s="7" t="s">
        <v>82</v>
      </c>
      <c r="D7" s="104"/>
      <c r="E7" s="110">
        <f>[1]in!$D$1168</f>
        <v>46190</v>
      </c>
      <c r="F7" s="55">
        <f>[1]in!$E$1168</f>
        <v>84130</v>
      </c>
      <c r="G7" s="55">
        <f>[1]in!$F$1168</f>
        <v>69350</v>
      </c>
      <c r="H7" s="55">
        <f>[1]in!$H$1168</f>
        <v>35290</v>
      </c>
      <c r="I7" s="55">
        <f>[1]in!$I$1168</f>
        <v>0</v>
      </c>
      <c r="J7" s="55">
        <f>[1]in!$J$1168</f>
        <v>0</v>
      </c>
      <c r="K7" s="55">
        <f>[1]in!$L$1168</f>
        <v>0</v>
      </c>
      <c r="L7" s="55">
        <f>[1]in!$M$1168</f>
        <v>0</v>
      </c>
      <c r="M7" s="55">
        <f>[1]in!$N$1168</f>
        <v>0</v>
      </c>
      <c r="N7" s="55">
        <f>[1]in!$P$1168</f>
        <v>0</v>
      </c>
      <c r="O7" s="55">
        <f>[1]in!$Q$1168</f>
        <v>0</v>
      </c>
      <c r="P7" s="55">
        <f>[1]in!$R$1168</f>
        <v>0</v>
      </c>
      <c r="Q7" s="27">
        <f t="shared" si="1"/>
        <v>234960</v>
      </c>
      <c r="R7" s="26">
        <f t="shared" si="2"/>
        <v>199670</v>
      </c>
      <c r="S7" s="26">
        <f t="shared" si="3"/>
        <v>35290</v>
      </c>
      <c r="T7" s="26">
        <f t="shared" si="4"/>
        <v>0</v>
      </c>
      <c r="U7" s="26">
        <f t="shared" si="5"/>
        <v>0</v>
      </c>
      <c r="V7" s="26">
        <f t="shared" si="6"/>
        <v>234960</v>
      </c>
      <c r="W7" s="26"/>
      <c r="X7" s="26"/>
      <c r="Y7" s="26"/>
      <c r="Z7" s="26">
        <f t="shared" si="7"/>
        <v>0</v>
      </c>
      <c r="AA7" s="58">
        <f t="shared" si="0"/>
        <v>9.9461083142032169E-2</v>
      </c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>
        <f t="shared" si="8"/>
        <v>0</v>
      </c>
    </row>
    <row r="8" spans="1:40">
      <c r="A8" s="415"/>
      <c r="B8" s="2" t="s">
        <v>19</v>
      </c>
      <c r="C8" s="7" t="s">
        <v>82</v>
      </c>
      <c r="D8" s="104"/>
      <c r="E8" s="110">
        <f>[1]in!$D$1173</f>
        <v>10527</v>
      </c>
      <c r="F8" s="11">
        <f>[1]in!$E$1173</f>
        <v>21719</v>
      </c>
      <c r="G8" s="11">
        <f>[1]in!$F$1173</f>
        <v>16570</v>
      </c>
      <c r="H8" s="11">
        <f>[1]in!$H$1173</f>
        <v>892</v>
      </c>
      <c r="I8" s="11">
        <f>[1]in!$I$1173</f>
        <v>0</v>
      </c>
      <c r="J8" s="11">
        <f>[1]in!$J$1173</f>
        <v>0</v>
      </c>
      <c r="K8" s="11">
        <f>[1]in!$L$1173</f>
        <v>0</v>
      </c>
      <c r="L8" s="11">
        <f>[1]in!$M$1173</f>
        <v>0</v>
      </c>
      <c r="M8" s="11">
        <f>[1]in!$N$1173</f>
        <v>0</v>
      </c>
      <c r="N8" s="11">
        <f>[1]in!$P$1173</f>
        <v>0</v>
      </c>
      <c r="O8" s="11">
        <f>[1]in!$Q$1173</f>
        <v>0</v>
      </c>
      <c r="P8" s="11">
        <f>[1]in!$R$1173</f>
        <v>0</v>
      </c>
      <c r="Q8" s="27">
        <f t="shared" si="1"/>
        <v>49708</v>
      </c>
      <c r="R8" s="26">
        <f t="shared" si="2"/>
        <v>48816</v>
      </c>
      <c r="S8" s="26">
        <f t="shared" si="3"/>
        <v>892</v>
      </c>
      <c r="T8" s="26">
        <f t="shared" si="4"/>
        <v>0</v>
      </c>
      <c r="U8" s="26">
        <f t="shared" si="5"/>
        <v>0</v>
      </c>
      <c r="V8" s="26">
        <f t="shared" si="6"/>
        <v>49708</v>
      </c>
      <c r="W8" s="26"/>
      <c r="X8" s="26"/>
      <c r="Y8" s="26"/>
      <c r="Z8" s="26">
        <f t="shared" si="7"/>
        <v>0</v>
      </c>
      <c r="AA8" s="58">
        <f t="shared" si="0"/>
        <v>2.1041928501975379E-2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2">
        <f t="shared" si="8"/>
        <v>0</v>
      </c>
    </row>
    <row r="9" spans="1:40">
      <c r="A9" s="415"/>
      <c r="B9" s="2" t="s">
        <v>20</v>
      </c>
      <c r="C9" s="7" t="s">
        <v>82</v>
      </c>
      <c r="D9" s="104"/>
      <c r="E9" s="110">
        <f>[1]in!$D$1174</f>
        <v>5330</v>
      </c>
      <c r="F9" s="11">
        <f>[1]in!$E$1174</f>
        <v>5770</v>
      </c>
      <c r="G9" s="11">
        <f>[1]in!$F$1174</f>
        <v>2680</v>
      </c>
      <c r="H9" s="11">
        <f>[1]in!$H$1174</f>
        <v>0</v>
      </c>
      <c r="I9" s="11">
        <f>[1]in!$I$1174</f>
        <v>0</v>
      </c>
      <c r="J9" s="11">
        <f>[1]in!$J$1174</f>
        <v>0</v>
      </c>
      <c r="K9" s="11">
        <f>[1]in!$L$1174</f>
        <v>0</v>
      </c>
      <c r="L9" s="11">
        <f>[1]in!$M$1174</f>
        <v>0</v>
      </c>
      <c r="M9" s="11">
        <f>[1]in!$N$1174</f>
        <v>0</v>
      </c>
      <c r="N9" s="11">
        <f>[1]in!$P$1174</f>
        <v>0</v>
      </c>
      <c r="O9" s="11">
        <f>[1]in!$Q$1174</f>
        <v>0</v>
      </c>
      <c r="P9" s="11">
        <f>[1]in!$R$1174</f>
        <v>0</v>
      </c>
      <c r="Q9" s="27">
        <f t="shared" si="1"/>
        <v>13780</v>
      </c>
      <c r="R9" s="26">
        <f t="shared" si="2"/>
        <v>13780</v>
      </c>
      <c r="S9" s="26">
        <f t="shared" si="3"/>
        <v>0</v>
      </c>
      <c r="T9" s="26">
        <f t="shared" si="4"/>
        <v>0</v>
      </c>
      <c r="U9" s="26">
        <f t="shared" si="5"/>
        <v>0</v>
      </c>
      <c r="V9" s="26">
        <f t="shared" si="6"/>
        <v>13780</v>
      </c>
      <c r="W9" s="26"/>
      <c r="X9" s="26"/>
      <c r="Y9" s="26"/>
      <c r="Z9" s="26">
        <f t="shared" si="7"/>
        <v>0</v>
      </c>
      <c r="AA9" s="58">
        <f t="shared" si="0"/>
        <v>5.8332215087555468E-3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2">
        <f t="shared" si="8"/>
        <v>0</v>
      </c>
    </row>
    <row r="10" spans="1:40">
      <c r="A10" s="415"/>
      <c r="B10" s="2" t="s">
        <v>83</v>
      </c>
      <c r="C10" s="7" t="s">
        <v>82</v>
      </c>
      <c r="D10" s="104"/>
      <c r="E10" s="110">
        <f>[1]in!$D$1182</f>
        <v>0</v>
      </c>
      <c r="F10" s="11">
        <f>[1]in!$E$1182</f>
        <v>0</v>
      </c>
      <c r="G10" s="11">
        <f>[1]in!$F$1182</f>
        <v>0</v>
      </c>
      <c r="H10" s="11">
        <f>[1]in!$H$1182</f>
        <v>0</v>
      </c>
      <c r="I10" s="11">
        <f>[1]in!$I$1182</f>
        <v>0</v>
      </c>
      <c r="J10" s="11">
        <f>[1]in!$J$1182</f>
        <v>0</v>
      </c>
      <c r="K10" s="11">
        <f>[1]in!$L$1182</f>
        <v>0</v>
      </c>
      <c r="L10" s="11">
        <f>[1]in!$M$1182</f>
        <v>0</v>
      </c>
      <c r="M10" s="11">
        <f>[1]in!$N$1182</f>
        <v>0</v>
      </c>
      <c r="N10" s="11">
        <f>[1]in!$P$1182</f>
        <v>0</v>
      </c>
      <c r="O10" s="11">
        <f>[1]in!$Q$1182</f>
        <v>0</v>
      </c>
      <c r="P10" s="11">
        <f>[1]in!$R$1182</f>
        <v>0</v>
      </c>
      <c r="Q10" s="27">
        <f t="shared" si="1"/>
        <v>0</v>
      </c>
      <c r="R10" s="26">
        <f>SUM(E10:G10)</f>
        <v>0</v>
      </c>
      <c r="S10" s="26">
        <f t="shared" ref="S10" si="10">SUM(H10:J10)</f>
        <v>0</v>
      </c>
      <c r="T10" s="26">
        <f t="shared" ref="T10" si="11">SUM(K10:M10)</f>
        <v>0</v>
      </c>
      <c r="U10" s="26">
        <f t="shared" ref="U10" si="12">SUM(N10:P10)</f>
        <v>0</v>
      </c>
      <c r="V10" s="26">
        <f t="shared" si="6"/>
        <v>0</v>
      </c>
      <c r="W10" s="26"/>
      <c r="X10" s="26"/>
      <c r="Y10" s="26"/>
      <c r="Z10" s="26"/>
      <c r="AA10" s="58">
        <f t="shared" si="0"/>
        <v>0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2"/>
    </row>
    <row r="11" spans="1:40">
      <c r="A11" s="415"/>
      <c r="B11" s="2" t="s">
        <v>21</v>
      </c>
      <c r="C11" s="7" t="s">
        <v>82</v>
      </c>
      <c r="D11" s="104"/>
      <c r="E11" s="110">
        <f>[1]in!$D$1176</f>
        <v>0</v>
      </c>
      <c r="F11" s="55">
        <f>[1]in!$E$1176</f>
        <v>0</v>
      </c>
      <c r="G11" s="55">
        <f>[1]in!$F$1176</f>
        <v>0</v>
      </c>
      <c r="H11" s="55">
        <f>[1]in!$H$1176</f>
        <v>0</v>
      </c>
      <c r="I11" s="55">
        <f>[1]in!$I$1176</f>
        <v>0</v>
      </c>
      <c r="J11" s="55">
        <f>[1]in!$J$1176</f>
        <v>0</v>
      </c>
      <c r="K11" s="55">
        <f>[1]in!$L$1176</f>
        <v>0</v>
      </c>
      <c r="L11" s="55">
        <f>[1]in!$M$1176</f>
        <v>0</v>
      </c>
      <c r="M11" s="55">
        <f>[1]in!$N$1176</f>
        <v>0</v>
      </c>
      <c r="N11" s="55">
        <f>[1]in!$P$1176</f>
        <v>0</v>
      </c>
      <c r="O11" s="55">
        <f>[1]in!$Q$1176</f>
        <v>0</v>
      </c>
      <c r="P11" s="55">
        <f>[1]in!$R$1176</f>
        <v>0</v>
      </c>
      <c r="Q11" s="27">
        <f t="shared" si="1"/>
        <v>0</v>
      </c>
      <c r="R11" s="26">
        <f t="shared" si="2"/>
        <v>0</v>
      </c>
      <c r="S11" s="26">
        <f t="shared" si="3"/>
        <v>0</v>
      </c>
      <c r="T11" s="26">
        <f t="shared" si="4"/>
        <v>0</v>
      </c>
      <c r="U11" s="26">
        <f t="shared" si="5"/>
        <v>0</v>
      </c>
      <c r="V11" s="26">
        <f t="shared" si="6"/>
        <v>0</v>
      </c>
      <c r="W11" s="26"/>
      <c r="X11" s="26"/>
      <c r="Y11" s="26"/>
      <c r="Z11" s="26">
        <f t="shared" si="7"/>
        <v>0</v>
      </c>
      <c r="AA11" s="58">
        <f t="shared" si="0"/>
        <v>0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2">
        <f t="shared" si="8"/>
        <v>0</v>
      </c>
    </row>
    <row r="12" spans="1:40">
      <c r="A12" s="415"/>
      <c r="B12" s="2" t="s">
        <v>22</v>
      </c>
      <c r="C12" s="7" t="s">
        <v>82</v>
      </c>
      <c r="D12" s="105"/>
      <c r="E12" s="126">
        <f>[1]in!$D$1185</f>
        <v>32195</v>
      </c>
      <c r="F12" s="55">
        <f>[1]in!$E$1185</f>
        <v>2710</v>
      </c>
      <c r="G12" s="55">
        <f>[1]in!$F$1185</f>
        <v>45935</v>
      </c>
      <c r="H12" s="55">
        <f>[1]in!$H$1185</f>
        <v>19210</v>
      </c>
      <c r="I12" s="55">
        <f>[1]in!$I$1185</f>
        <v>0</v>
      </c>
      <c r="J12" s="55">
        <f>[1]in!$J$1185</f>
        <v>0</v>
      </c>
      <c r="K12" s="55">
        <f>[1]in!$L$1185</f>
        <v>0</v>
      </c>
      <c r="L12" s="55">
        <f>[1]in!$M$1185</f>
        <v>0</v>
      </c>
      <c r="M12" s="55">
        <f>[1]in!$N$1185</f>
        <v>0</v>
      </c>
      <c r="N12" s="55">
        <f>[1]in!$P$1185</f>
        <v>0</v>
      </c>
      <c r="O12" s="55">
        <f>[1]in!$Q$1185</f>
        <v>0</v>
      </c>
      <c r="P12" s="55">
        <f>[1]in!$R$1185</f>
        <v>0</v>
      </c>
      <c r="Q12" s="27">
        <f t="shared" si="1"/>
        <v>100050</v>
      </c>
      <c r="R12" s="26">
        <f>SUM(E12:G12)</f>
        <v>80840</v>
      </c>
      <c r="S12" s="26">
        <f t="shared" si="3"/>
        <v>19210</v>
      </c>
      <c r="T12" s="26">
        <f t="shared" si="4"/>
        <v>0</v>
      </c>
      <c r="U12" s="26">
        <f t="shared" si="5"/>
        <v>0</v>
      </c>
      <c r="V12" s="26">
        <f t="shared" si="6"/>
        <v>100050</v>
      </c>
      <c r="W12" s="26"/>
      <c r="X12" s="26"/>
      <c r="Y12" s="26"/>
      <c r="Z12" s="26">
        <f t="shared" si="7"/>
        <v>0</v>
      </c>
      <c r="AA12" s="58">
        <f t="shared" si="0"/>
        <v>4.235223599063806E-2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2">
        <f t="shared" si="8"/>
        <v>0</v>
      </c>
    </row>
    <row r="13" spans="1:40">
      <c r="A13" s="415"/>
      <c r="B13" s="2" t="s">
        <v>23</v>
      </c>
      <c r="C13" s="7" t="s">
        <v>82</v>
      </c>
      <c r="D13" s="105"/>
      <c r="E13" s="126">
        <f>[1]in!$D$1187</f>
        <v>6320</v>
      </c>
      <c r="F13" s="55">
        <f>[1]in!$E$1187</f>
        <v>10435</v>
      </c>
      <c r="G13" s="55">
        <f>[1]in!$F$1187</f>
        <v>8240</v>
      </c>
      <c r="H13" s="55">
        <f>[1]in!$H$1187</f>
        <v>6390</v>
      </c>
      <c r="I13" s="55">
        <f>[1]in!$I$1187</f>
        <v>0</v>
      </c>
      <c r="J13" s="55">
        <f>[1]in!$J$1187</f>
        <v>0</v>
      </c>
      <c r="K13" s="55">
        <f>[1]in!$L$1187</f>
        <v>0</v>
      </c>
      <c r="L13" s="55">
        <f>[1]in!$M$1187</f>
        <v>0</v>
      </c>
      <c r="M13" s="55">
        <f>[1]in!$N$1187</f>
        <v>0</v>
      </c>
      <c r="N13" s="55">
        <f>[1]in!$P$1187</f>
        <v>0</v>
      </c>
      <c r="O13" s="55">
        <f>[1]in!$Q$1187</f>
        <v>0</v>
      </c>
      <c r="P13" s="55">
        <f>[1]in!$R$1187</f>
        <v>0</v>
      </c>
      <c r="Q13" s="27">
        <f t="shared" si="1"/>
        <v>31385</v>
      </c>
      <c r="R13" s="26">
        <f>SUM(E13:G13)</f>
        <v>24995</v>
      </c>
      <c r="S13" s="26">
        <f t="shared" ref="S13" si="13">SUM(H13:J13)</f>
        <v>6390</v>
      </c>
      <c r="T13" s="26">
        <f t="shared" ref="T13" si="14">SUM(K13:M13)</f>
        <v>0</v>
      </c>
      <c r="U13" s="26">
        <f t="shared" ref="U13" si="15">SUM(N13:P13)</f>
        <v>0</v>
      </c>
      <c r="V13" s="26">
        <f t="shared" si="6"/>
        <v>31385</v>
      </c>
      <c r="W13" s="26"/>
      <c r="X13" s="26"/>
      <c r="Y13" s="26"/>
      <c r="Z13" s="26"/>
      <c r="AA13" s="58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2"/>
    </row>
    <row r="14" spans="1:40">
      <c r="A14" s="415"/>
      <c r="B14" s="2" t="s">
        <v>58</v>
      </c>
      <c r="C14" s="7" t="s">
        <v>82</v>
      </c>
      <c r="D14" s="33"/>
      <c r="E14" s="107">
        <f>[1]in!$D$1181</f>
        <v>116559</v>
      </c>
      <c r="F14" s="11">
        <f>[1]in!$E$1181</f>
        <v>17700</v>
      </c>
      <c r="G14" s="11">
        <f>[1]in!$F$1181</f>
        <v>650</v>
      </c>
      <c r="H14" s="11">
        <f>[1]in!$H$1181</f>
        <v>650</v>
      </c>
      <c r="I14" s="11">
        <f>[1]in!$I$1181</f>
        <v>0</v>
      </c>
      <c r="J14" s="11">
        <f>[1]in!$J$1181</f>
        <v>0</v>
      </c>
      <c r="K14" s="11">
        <f>[1]in!$L$1181</f>
        <v>0</v>
      </c>
      <c r="L14" s="11">
        <f>[1]in!$M$1181</f>
        <v>0</v>
      </c>
      <c r="M14" s="11">
        <f>[1]in!$N$1181</f>
        <v>0</v>
      </c>
      <c r="N14" s="11">
        <f>[1]in!$P$1181</f>
        <v>0</v>
      </c>
      <c r="O14" s="11">
        <f>[1]in!$Q$1181</f>
        <v>0</v>
      </c>
      <c r="P14" s="11">
        <f>[1]in!$R$1181</f>
        <v>0</v>
      </c>
      <c r="Q14" s="27">
        <f t="shared" si="1"/>
        <v>135559</v>
      </c>
      <c r="R14" s="26">
        <f t="shared" si="2"/>
        <v>134909</v>
      </c>
      <c r="S14" s="26">
        <f t="shared" si="3"/>
        <v>650</v>
      </c>
      <c r="T14" s="26">
        <f t="shared" si="4"/>
        <v>0</v>
      </c>
      <c r="U14" s="26">
        <f t="shared" si="5"/>
        <v>0</v>
      </c>
      <c r="V14" s="26">
        <f t="shared" si="6"/>
        <v>135559</v>
      </c>
      <c r="W14" s="26"/>
      <c r="X14" s="26"/>
      <c r="Y14" s="26"/>
      <c r="Z14" s="26">
        <f t="shared" si="7"/>
        <v>0</v>
      </c>
      <c r="AA14" s="58">
        <f>Q14/$Q$37</f>
        <v>5.7383575798649722E-2</v>
      </c>
      <c r="AB14" s="1"/>
      <c r="AC14" s="1"/>
      <c r="AD14" s="1"/>
      <c r="AE14" s="1"/>
      <c r="AF14" s="124"/>
      <c r="AG14" s="1"/>
      <c r="AH14" s="1"/>
      <c r="AI14" s="1"/>
      <c r="AJ14" s="1"/>
      <c r="AK14" s="1"/>
      <c r="AL14" s="1"/>
      <c r="AM14" s="1"/>
      <c r="AN14" s="12">
        <f t="shared" si="8"/>
        <v>0</v>
      </c>
    </row>
    <row r="15" spans="1:40">
      <c r="A15" s="415"/>
      <c r="B15" s="2" t="s">
        <v>84</v>
      </c>
      <c r="C15" s="7" t="s">
        <v>82</v>
      </c>
      <c r="D15" s="106"/>
      <c r="E15" s="127">
        <f>[1]in!$D$1183</f>
        <v>0</v>
      </c>
      <c r="F15" s="11">
        <f>[1]in!$E$1183</f>
        <v>0</v>
      </c>
      <c r="G15" s="11">
        <f>[1]in!$F$1183</f>
        <v>0</v>
      </c>
      <c r="H15" s="11">
        <f>[1]in!$H$1183</f>
        <v>0</v>
      </c>
      <c r="I15" s="11">
        <f>[1]in!$I$1183</f>
        <v>0</v>
      </c>
      <c r="J15" s="11">
        <f>[1]in!$J$1183</f>
        <v>0</v>
      </c>
      <c r="K15" s="11">
        <f>[1]in!$L$1183</f>
        <v>0</v>
      </c>
      <c r="L15" s="11">
        <f>[1]in!$M$1183</f>
        <v>0</v>
      </c>
      <c r="M15" s="11">
        <f>[1]in!$N$1183</f>
        <v>0</v>
      </c>
      <c r="N15" s="11">
        <f>[1]in!$P$1183</f>
        <v>0</v>
      </c>
      <c r="O15" s="11">
        <f>[1]in!$Q$1183</f>
        <v>0</v>
      </c>
      <c r="P15" s="11">
        <f>[1]in!$R$1183</f>
        <v>0</v>
      </c>
      <c r="Q15" s="27">
        <f t="shared" si="1"/>
        <v>0</v>
      </c>
      <c r="R15" s="26">
        <f t="shared" si="2"/>
        <v>0</v>
      </c>
      <c r="S15" s="26">
        <f t="shared" ref="S15" si="16">SUM(H15:J15)</f>
        <v>0</v>
      </c>
      <c r="T15" s="26">
        <f t="shared" ref="T15" si="17">SUM(K15:M15)</f>
        <v>0</v>
      </c>
      <c r="U15" s="26">
        <f t="shared" ref="U15" si="18">SUM(N15:P15)</f>
        <v>0</v>
      </c>
      <c r="V15" s="26">
        <f t="shared" si="6"/>
        <v>0</v>
      </c>
      <c r="W15" s="26"/>
      <c r="X15" s="26"/>
      <c r="Y15" s="26"/>
      <c r="Z15" s="26"/>
      <c r="AA15" s="58">
        <f>Q15/$Q$37</f>
        <v>0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2">
        <f t="shared" si="8"/>
        <v>0</v>
      </c>
    </row>
    <row r="16" spans="1:40">
      <c r="A16" s="415"/>
      <c r="B16" s="7" t="s">
        <v>24</v>
      </c>
      <c r="C16" s="7" t="s">
        <v>82</v>
      </c>
      <c r="D16" s="33"/>
      <c r="E16" s="217">
        <f>[1]in!$D$1167</f>
        <v>21143</v>
      </c>
      <c r="F16" s="11">
        <f>[1]in!$E$1167</f>
        <v>116322</v>
      </c>
      <c r="G16" s="11">
        <f>[1]in!$F$1167</f>
        <v>112080</v>
      </c>
      <c r="H16" s="11">
        <f>[1]in!$H$1167</f>
        <v>230977</v>
      </c>
      <c r="I16" s="11">
        <f>[1]in!$I$1167</f>
        <v>0</v>
      </c>
      <c r="J16" s="11">
        <f>[1]in!$J$1167</f>
        <v>0</v>
      </c>
      <c r="K16" s="11">
        <f>[1]in!$L$1167</f>
        <v>0</v>
      </c>
      <c r="L16" s="11">
        <f>[1]in!$M$1167</f>
        <v>0</v>
      </c>
      <c r="M16" s="11">
        <f>[1]in!$N$1167</f>
        <v>0</v>
      </c>
      <c r="N16" s="11">
        <f>[1]in!$P$1167</f>
        <v>0</v>
      </c>
      <c r="O16" s="11">
        <f>[1]in!$Q$1167</f>
        <v>0</v>
      </c>
      <c r="P16" s="11">
        <f>[1]in!$R$1167</f>
        <v>0</v>
      </c>
      <c r="Q16" s="27">
        <f>SUM(E16:P16)</f>
        <v>480522</v>
      </c>
      <c r="R16" s="26">
        <f t="shared" si="2"/>
        <v>249545</v>
      </c>
      <c r="S16" s="26">
        <f t="shared" si="3"/>
        <v>230977</v>
      </c>
      <c r="T16" s="26">
        <f t="shared" si="4"/>
        <v>0</v>
      </c>
      <c r="U16" s="26">
        <f t="shared" si="5"/>
        <v>0</v>
      </c>
      <c r="V16" s="26">
        <f t="shared" si="6"/>
        <v>480522</v>
      </c>
      <c r="W16" s="26"/>
      <c r="X16" s="26"/>
      <c r="Y16" s="26"/>
      <c r="Z16" s="26">
        <f t="shared" si="7"/>
        <v>0</v>
      </c>
      <c r="AA16" s="58">
        <f>Q16/$Q$36</f>
        <v>0.16332519633814824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>
        <f t="shared" si="8"/>
        <v>0</v>
      </c>
    </row>
    <row r="17" spans="1:40">
      <c r="A17" s="415"/>
      <c r="B17" s="7" t="s">
        <v>25</v>
      </c>
      <c r="C17" s="7" t="s">
        <v>82</v>
      </c>
      <c r="D17" s="33"/>
      <c r="E17" s="107">
        <f>[1]in!$D$1172</f>
        <v>7430</v>
      </c>
      <c r="F17" s="11">
        <f>[1]in!$E$1172</f>
        <v>10790</v>
      </c>
      <c r="G17" s="11">
        <f>[1]in!$F$1172</f>
        <v>9250</v>
      </c>
      <c r="H17" s="11">
        <f>[1]in!$H$1172</f>
        <v>6540</v>
      </c>
      <c r="I17" s="11">
        <f>[1]in!$I$1172</f>
        <v>0</v>
      </c>
      <c r="J17" s="11">
        <f>[1]in!$J$1172</f>
        <v>0</v>
      </c>
      <c r="K17" s="11">
        <f>[1]in!$L$1172</f>
        <v>0</v>
      </c>
      <c r="L17" s="11">
        <f>[1]in!$M$1172</f>
        <v>0</v>
      </c>
      <c r="M17" s="11">
        <f>[1]in!$N$1172</f>
        <v>0</v>
      </c>
      <c r="N17" s="11">
        <f>[1]in!$P$1172</f>
        <v>0</v>
      </c>
      <c r="O17" s="11">
        <f>[1]in!$Q$1172</f>
        <v>0</v>
      </c>
      <c r="P17" s="11">
        <f>[1]in!$R$1172</f>
        <v>0</v>
      </c>
      <c r="Q17" s="27">
        <f t="shared" si="1"/>
        <v>34010</v>
      </c>
      <c r="R17" s="26">
        <f t="shared" si="2"/>
        <v>27470</v>
      </c>
      <c r="S17" s="26">
        <f t="shared" si="3"/>
        <v>6540</v>
      </c>
      <c r="T17" s="26">
        <f t="shared" si="4"/>
        <v>0</v>
      </c>
      <c r="U17" s="26">
        <f t="shared" si="5"/>
        <v>0</v>
      </c>
      <c r="V17" s="26">
        <f t="shared" si="6"/>
        <v>34010</v>
      </c>
      <c r="W17" s="26"/>
      <c r="X17" s="26"/>
      <c r="Y17" s="26"/>
      <c r="Z17" s="26">
        <f t="shared" si="7"/>
        <v>0</v>
      </c>
      <c r="AA17" s="58">
        <f>Q17/$Q$36</f>
        <v>1.1559699508993181E-2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2">
        <f t="shared" si="8"/>
        <v>0</v>
      </c>
    </row>
    <row r="18" spans="1:40">
      <c r="A18" s="415"/>
      <c r="B18" s="7" t="s">
        <v>26</v>
      </c>
      <c r="C18" s="7" t="s">
        <v>82</v>
      </c>
      <c r="D18" s="33"/>
      <c r="E18" s="216">
        <f>[1]in!$D$1177</f>
        <v>201</v>
      </c>
      <c r="F18" s="11">
        <f>[1]in!$E$1177</f>
        <v>549</v>
      </c>
      <c r="G18" s="11">
        <f>[1]in!$F$1177</f>
        <v>6265</v>
      </c>
      <c r="H18" s="11">
        <f>[1]in!$H$1177</f>
        <v>5243</v>
      </c>
      <c r="I18" s="11">
        <f>[1]in!$I$1177</f>
        <v>0</v>
      </c>
      <c r="J18" s="11">
        <f>[1]in!$J$1177</f>
        <v>0</v>
      </c>
      <c r="K18" s="11">
        <f>[1]in!$L$1177</f>
        <v>0</v>
      </c>
      <c r="L18" s="11">
        <f>[1]in!$M$1177</f>
        <v>0</v>
      </c>
      <c r="M18" s="11">
        <f>[1]in!$N$1177</f>
        <v>0</v>
      </c>
      <c r="N18" s="11">
        <f>[1]in!$P$1177</f>
        <v>0</v>
      </c>
      <c r="O18" s="11">
        <f>[1]in!$Q$1177</f>
        <v>0</v>
      </c>
      <c r="P18" s="11">
        <f>[1]in!$R$1177</f>
        <v>0</v>
      </c>
      <c r="Q18" s="27">
        <f t="shared" si="1"/>
        <v>12258</v>
      </c>
      <c r="R18" s="26">
        <f t="shared" si="2"/>
        <v>7015</v>
      </c>
      <c r="S18" s="26">
        <f t="shared" si="3"/>
        <v>5243</v>
      </c>
      <c r="T18" s="26">
        <f t="shared" si="4"/>
        <v>0</v>
      </c>
      <c r="U18" s="26">
        <f t="shared" si="5"/>
        <v>0</v>
      </c>
      <c r="V18" s="26">
        <f t="shared" si="6"/>
        <v>12258</v>
      </c>
      <c r="W18" s="26"/>
      <c r="X18" s="26"/>
      <c r="Y18" s="26"/>
      <c r="Z18" s="26">
        <f t="shared" si="7"/>
        <v>0</v>
      </c>
      <c r="AA18" s="196">
        <f>Q18/$Q$36</f>
        <v>4.1663862564315915E-3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2">
        <f t="shared" si="8"/>
        <v>0</v>
      </c>
    </row>
    <row r="19" spans="1:40">
      <c r="A19" s="415"/>
      <c r="B19" s="7" t="s">
        <v>27</v>
      </c>
      <c r="C19" s="7" t="s">
        <v>82</v>
      </c>
      <c r="D19" s="33"/>
      <c r="E19" s="218">
        <f>[1]in!$D$1178</f>
        <v>11212</v>
      </c>
      <c r="F19" s="11">
        <f>[1]in!$E$1178</f>
        <v>11791</v>
      </c>
      <c r="G19" s="11">
        <f>[1]in!$F$1178</f>
        <v>18964</v>
      </c>
      <c r="H19" s="11">
        <f>[1]in!$H$1178</f>
        <v>7350</v>
      </c>
      <c r="I19" s="11">
        <f>[1]in!$I$1178</f>
        <v>0</v>
      </c>
      <c r="J19" s="11">
        <f>[1]in!$J$1178</f>
        <v>0</v>
      </c>
      <c r="K19" s="11">
        <f>[1]in!$L$1178</f>
        <v>0</v>
      </c>
      <c r="L19" s="11">
        <f>[1]in!$M$1178</f>
        <v>0</v>
      </c>
      <c r="M19" s="11">
        <f>[1]in!$N$1178</f>
        <v>0</v>
      </c>
      <c r="N19" s="11">
        <f>[1]in!$P$1178</f>
        <v>0</v>
      </c>
      <c r="O19" s="11">
        <f>[1]in!$Q$1178</f>
        <v>0</v>
      </c>
      <c r="P19" s="11">
        <f>[1]in!$R$1178</f>
        <v>0</v>
      </c>
      <c r="Q19" s="27">
        <f t="shared" si="1"/>
        <v>49317</v>
      </c>
      <c r="R19" s="26">
        <f t="shared" si="2"/>
        <v>41967</v>
      </c>
      <c r="S19" s="26">
        <f t="shared" si="3"/>
        <v>7350</v>
      </c>
      <c r="T19" s="26">
        <f t="shared" si="4"/>
        <v>0</v>
      </c>
      <c r="U19" s="26">
        <f t="shared" si="5"/>
        <v>0</v>
      </c>
      <c r="V19" s="26">
        <f t="shared" si="6"/>
        <v>49317</v>
      </c>
      <c r="W19" s="26"/>
      <c r="X19" s="26"/>
      <c r="Y19" s="26"/>
      <c r="Z19" s="26">
        <f t="shared" si="7"/>
        <v>0</v>
      </c>
      <c r="AA19" s="58">
        <f>Q19/$Q$36</f>
        <v>1.6762414016025191E-2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2">
        <f t="shared" si="8"/>
        <v>0</v>
      </c>
    </row>
    <row r="20" spans="1:40">
      <c r="A20" s="415"/>
      <c r="B20" s="7" t="s">
        <v>59</v>
      </c>
      <c r="C20" s="7" t="s">
        <v>82</v>
      </c>
      <c r="D20" s="33"/>
      <c r="E20" s="219">
        <f>[1]in!$D$1184</f>
        <v>800</v>
      </c>
      <c r="F20" s="11">
        <f>[1]in!$E$1184</f>
        <v>340</v>
      </c>
      <c r="G20" s="11">
        <f>[1]in!$F$1184</f>
        <v>250</v>
      </c>
      <c r="H20" s="11">
        <f>[1]in!$H$1184</f>
        <v>2290</v>
      </c>
      <c r="I20" s="11">
        <f>[1]in!$I$1184</f>
        <v>0</v>
      </c>
      <c r="J20" s="11">
        <f>[1]in!$J$1184</f>
        <v>0</v>
      </c>
      <c r="K20" s="11">
        <f>[1]in!$L$1184</f>
        <v>0</v>
      </c>
      <c r="L20" s="11">
        <f>[1]in!$M$1184</f>
        <v>0</v>
      </c>
      <c r="M20" s="11">
        <f>[1]in!$N$1184</f>
        <v>0</v>
      </c>
      <c r="N20" s="11">
        <f>[1]in!$P$1184</f>
        <v>0</v>
      </c>
      <c r="O20" s="11">
        <f>[1]in!$Q$1184</f>
        <v>0</v>
      </c>
      <c r="P20" s="11">
        <f>[1]in!$R$1184</f>
        <v>0</v>
      </c>
      <c r="Q20" s="27">
        <f t="shared" si="1"/>
        <v>3680</v>
      </c>
      <c r="R20" s="26">
        <f t="shared" si="2"/>
        <v>1390</v>
      </c>
      <c r="S20" s="26">
        <f t="shared" si="3"/>
        <v>2290</v>
      </c>
      <c r="T20" s="26">
        <f t="shared" si="4"/>
        <v>0</v>
      </c>
      <c r="U20" s="26">
        <f t="shared" si="5"/>
        <v>0</v>
      </c>
      <c r="V20" s="26">
        <f t="shared" si="6"/>
        <v>3680</v>
      </c>
      <c r="W20" s="26"/>
      <c r="X20" s="26"/>
      <c r="Y20" s="26"/>
      <c r="Z20" s="26">
        <f t="shared" si="7"/>
        <v>0</v>
      </c>
      <c r="AA20" s="58">
        <f>Q20/$Q$36</f>
        <v>1.2507995940339578E-3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2">
        <f t="shared" si="8"/>
        <v>0</v>
      </c>
    </row>
    <row r="21" spans="1:40">
      <c r="A21" s="410" t="s">
        <v>28</v>
      </c>
      <c r="B21" s="2" t="s">
        <v>29</v>
      </c>
      <c r="C21" s="7" t="s">
        <v>82</v>
      </c>
      <c r="D21" s="33"/>
      <c r="E21" s="217">
        <f>[1]in!$D$1162</f>
        <v>1679</v>
      </c>
      <c r="F21" s="55">
        <f>[1]in!$E$1162</f>
        <v>1484</v>
      </c>
      <c r="G21" s="55">
        <f>[1]in!$F$1162</f>
        <v>999</v>
      </c>
      <c r="H21" s="55">
        <f>[1]in!$H$1162</f>
        <v>960</v>
      </c>
      <c r="I21" s="55">
        <f>[1]in!$I$1162</f>
        <v>0</v>
      </c>
      <c r="J21" s="55">
        <f>[1]in!$J$1162</f>
        <v>0</v>
      </c>
      <c r="K21" s="55">
        <f>[1]in!$L$1162</f>
        <v>0</v>
      </c>
      <c r="L21" s="55">
        <f>[1]in!$M$1162</f>
        <v>0</v>
      </c>
      <c r="M21" s="55">
        <f>[1]in!$N$1162</f>
        <v>0</v>
      </c>
      <c r="N21" s="55">
        <f>[1]in!$P$1162</f>
        <v>0</v>
      </c>
      <c r="O21" s="55">
        <f>[1]in!$Q$1162</f>
        <v>0</v>
      </c>
      <c r="P21" s="55">
        <f>[1]in!$R$1162</f>
        <v>0</v>
      </c>
      <c r="Q21" s="27">
        <f t="shared" si="1"/>
        <v>5122</v>
      </c>
      <c r="R21" s="26">
        <f t="shared" si="2"/>
        <v>4162</v>
      </c>
      <c r="S21" s="26">
        <f t="shared" si="3"/>
        <v>960</v>
      </c>
      <c r="T21" s="26">
        <f t="shared" si="4"/>
        <v>0</v>
      </c>
      <c r="U21" s="26">
        <f t="shared" si="5"/>
        <v>0</v>
      </c>
      <c r="V21" s="26">
        <f t="shared" si="6"/>
        <v>5122</v>
      </c>
      <c r="W21" s="26"/>
      <c r="X21" s="26"/>
      <c r="Y21" s="26"/>
      <c r="Z21" s="26">
        <f t="shared" si="7"/>
        <v>0</v>
      </c>
      <c r="AA21" s="58">
        <f t="shared" ref="AA21:AA29" si="19">Q21/$Q$37</f>
        <v>2.1681974287261186E-3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2">
        <f t="shared" si="8"/>
        <v>0</v>
      </c>
    </row>
    <row r="22" spans="1:40">
      <c r="A22" s="410"/>
      <c r="B22" s="2" t="s">
        <v>30</v>
      </c>
      <c r="C22" s="7" t="s">
        <v>82</v>
      </c>
      <c r="D22" s="104"/>
      <c r="E22" s="110">
        <f>[1]in!$D$1163</f>
        <v>223674</v>
      </c>
      <c r="F22" s="55">
        <f>[1]in!$E$1163</f>
        <v>256577</v>
      </c>
      <c r="G22" s="55">
        <f>[1]in!$F$1163</f>
        <v>226612</v>
      </c>
      <c r="H22" s="55">
        <f>[1]in!$H$1163</f>
        <v>0</v>
      </c>
      <c r="I22" s="55">
        <f>[1]in!$I$1163</f>
        <v>0</v>
      </c>
      <c r="J22" s="55">
        <f>[1]in!$J$1163</f>
        <v>0</v>
      </c>
      <c r="K22" s="55">
        <f>[1]in!$L$1163</f>
        <v>0</v>
      </c>
      <c r="L22" s="55">
        <f>[1]in!$M$1163</f>
        <v>0</v>
      </c>
      <c r="M22" s="55">
        <f>[1]in!$N$1163</f>
        <v>0</v>
      </c>
      <c r="N22" s="55">
        <f>[1]in!$P$1163</f>
        <v>0</v>
      </c>
      <c r="O22" s="55">
        <f>[1]in!$Q$1163</f>
        <v>0</v>
      </c>
      <c r="P22" s="55">
        <f>[1]in!$R$1163</f>
        <v>0</v>
      </c>
      <c r="Q22" s="27">
        <f t="shared" si="1"/>
        <v>706863</v>
      </c>
      <c r="R22" s="26">
        <f t="shared" si="2"/>
        <v>706863</v>
      </c>
      <c r="S22" s="26">
        <f t="shared" si="3"/>
        <v>0</v>
      </c>
      <c r="T22" s="26">
        <f t="shared" si="4"/>
        <v>0</v>
      </c>
      <c r="U22" s="26">
        <f t="shared" si="5"/>
        <v>0</v>
      </c>
      <c r="V22" s="26">
        <f t="shared" si="6"/>
        <v>706863</v>
      </c>
      <c r="W22" s="26"/>
      <c r="X22" s="26"/>
      <c r="Y22" s="26"/>
      <c r="Z22" s="26">
        <f t="shared" si="7"/>
        <v>0</v>
      </c>
      <c r="AA22" s="58">
        <f t="shared" si="19"/>
        <v>0.29922267455322732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2">
        <f t="shared" si="8"/>
        <v>0</v>
      </c>
    </row>
    <row r="23" spans="1:40">
      <c r="A23" s="410"/>
      <c r="B23" s="2" t="s">
        <v>31</v>
      </c>
      <c r="C23" s="7" t="s">
        <v>82</v>
      </c>
      <c r="D23" s="33"/>
      <c r="E23" s="116">
        <f>[1]in!$D$1165</f>
        <v>1490</v>
      </c>
      <c r="F23" s="55">
        <f>[1]in!$E$1165</f>
        <v>0</v>
      </c>
      <c r="G23" s="55">
        <f>[1]in!$F$1165</f>
        <v>3597</v>
      </c>
      <c r="H23" s="55">
        <f>[1]in!$H$1165</f>
        <v>0</v>
      </c>
      <c r="I23" s="55">
        <f>[1]in!$I$1165</f>
        <v>0</v>
      </c>
      <c r="J23" s="55">
        <f>[1]in!$J$1165</f>
        <v>0</v>
      </c>
      <c r="K23" s="55">
        <f>[1]in!$L$1165</f>
        <v>0</v>
      </c>
      <c r="L23" s="55">
        <f>[1]in!$M$1165</f>
        <v>0</v>
      </c>
      <c r="M23" s="55">
        <f>[1]in!$N$1165</f>
        <v>0</v>
      </c>
      <c r="N23" s="55">
        <f>[1]in!$P$1165</f>
        <v>0</v>
      </c>
      <c r="O23" s="55">
        <f>[1]in!$Q$1165</f>
        <v>0</v>
      </c>
      <c r="P23" s="55">
        <f>[1]in!$R$1165</f>
        <v>0</v>
      </c>
      <c r="Q23" s="27">
        <f t="shared" si="1"/>
        <v>5087</v>
      </c>
      <c r="R23" s="26">
        <f t="shared" si="2"/>
        <v>5087</v>
      </c>
      <c r="S23" s="26">
        <f t="shared" si="3"/>
        <v>0</v>
      </c>
      <c r="T23" s="26">
        <f t="shared" si="4"/>
        <v>0</v>
      </c>
      <c r="U23" s="26">
        <f t="shared" si="5"/>
        <v>0</v>
      </c>
      <c r="V23" s="26">
        <f t="shared" si="6"/>
        <v>5087</v>
      </c>
      <c r="W23" s="26"/>
      <c r="X23" s="26"/>
      <c r="Y23" s="26"/>
      <c r="Z23" s="26">
        <f t="shared" si="7"/>
        <v>0</v>
      </c>
      <c r="AA23" s="58">
        <f t="shared" si="19"/>
        <v>2.1533815540667246E-3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2">
        <f t="shared" si="8"/>
        <v>0</v>
      </c>
    </row>
    <row r="24" spans="1:40">
      <c r="A24" s="410"/>
      <c r="B24" s="2" t="s">
        <v>32</v>
      </c>
      <c r="C24" s="7" t="s">
        <v>82</v>
      </c>
      <c r="D24" s="104"/>
      <c r="E24" s="110">
        <f>[1]in!$D$1166</f>
        <v>2470</v>
      </c>
      <c r="F24" s="55">
        <f>[1]in!$E$1166</f>
        <v>2800</v>
      </c>
      <c r="G24" s="55">
        <f>[1]in!$F$1166</f>
        <v>2190</v>
      </c>
      <c r="H24" s="55">
        <f>[1]in!$H$1166</f>
        <v>2560</v>
      </c>
      <c r="I24" s="55">
        <f>[1]in!$I$1166</f>
        <v>0</v>
      </c>
      <c r="J24" s="55">
        <f>[1]in!$J$1166</f>
        <v>0</v>
      </c>
      <c r="K24" s="55">
        <f>[1]in!$L$1166</f>
        <v>0</v>
      </c>
      <c r="L24" s="55">
        <f>[1]in!$M$1166</f>
        <v>0</v>
      </c>
      <c r="M24" s="55">
        <f>[1]in!$N$1166</f>
        <v>0</v>
      </c>
      <c r="N24" s="55">
        <f>[1]in!$P$1166</f>
        <v>0</v>
      </c>
      <c r="O24" s="55">
        <f>[1]in!$Q$1166</f>
        <v>0</v>
      </c>
      <c r="P24" s="55">
        <f>[1]in!$R$1166</f>
        <v>0</v>
      </c>
      <c r="Q24" s="27">
        <f t="shared" si="1"/>
        <v>10020</v>
      </c>
      <c r="R24" s="26">
        <f t="shared" si="2"/>
        <v>7460</v>
      </c>
      <c r="S24" s="26">
        <f t="shared" si="3"/>
        <v>2560</v>
      </c>
      <c r="T24" s="26">
        <f t="shared" si="4"/>
        <v>0</v>
      </c>
      <c r="U24" s="26">
        <f t="shared" si="5"/>
        <v>0</v>
      </c>
      <c r="V24" s="26">
        <f t="shared" si="6"/>
        <v>10020</v>
      </c>
      <c r="W24" s="26"/>
      <c r="X24" s="26"/>
      <c r="Y24" s="26"/>
      <c r="Z24" s="26">
        <f t="shared" si="7"/>
        <v>0</v>
      </c>
      <c r="AA24" s="58">
        <f t="shared" si="19"/>
        <v>4.2415732596321172E-3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2">
        <f t="shared" si="8"/>
        <v>0</v>
      </c>
    </row>
    <row r="25" spans="1:40">
      <c r="A25" s="410"/>
      <c r="B25" s="2" t="s">
        <v>33</v>
      </c>
      <c r="C25" s="7" t="s">
        <v>82</v>
      </c>
      <c r="D25" s="104"/>
      <c r="E25" s="110">
        <f>[1]in!$D$1170</f>
        <v>3600</v>
      </c>
      <c r="F25" s="55">
        <f>[1]in!$E$1170</f>
        <v>1581</v>
      </c>
      <c r="G25" s="55">
        <f>[1]in!$F$1170</f>
        <v>3225</v>
      </c>
      <c r="H25" s="55">
        <f>[1]in!$H$1170</f>
        <v>0</v>
      </c>
      <c r="I25" s="55">
        <f>[1]in!$I$1170</f>
        <v>0</v>
      </c>
      <c r="J25" s="55">
        <f>[1]in!$J$1170</f>
        <v>0</v>
      </c>
      <c r="K25" s="55">
        <f>[1]in!$L$1170</f>
        <v>0</v>
      </c>
      <c r="L25" s="55">
        <f>[1]in!$M$1170</f>
        <v>0</v>
      </c>
      <c r="M25" s="55">
        <f>[1]in!$N$1170</f>
        <v>0</v>
      </c>
      <c r="N25" s="55">
        <f>[1]in!$P$1170</f>
        <v>0</v>
      </c>
      <c r="O25" s="55">
        <f>[1]in!$Q$1170</f>
        <v>0</v>
      </c>
      <c r="P25" s="55">
        <f>[1]in!$R$1170</f>
        <v>0</v>
      </c>
      <c r="Q25" s="27">
        <f t="shared" si="1"/>
        <v>8406</v>
      </c>
      <c r="R25" s="26">
        <f t="shared" si="2"/>
        <v>8406</v>
      </c>
      <c r="S25" s="26">
        <f t="shared" si="3"/>
        <v>0</v>
      </c>
      <c r="T25" s="26">
        <f t="shared" si="4"/>
        <v>0</v>
      </c>
      <c r="U25" s="26">
        <f t="shared" si="5"/>
        <v>0</v>
      </c>
      <c r="V25" s="26">
        <f t="shared" si="6"/>
        <v>8406</v>
      </c>
      <c r="W25" s="26"/>
      <c r="X25" s="26"/>
      <c r="Y25" s="26"/>
      <c r="Z25" s="26">
        <f t="shared" si="7"/>
        <v>0</v>
      </c>
      <c r="AA25" s="58">
        <f t="shared" si="19"/>
        <v>3.5583497824817944E-3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2">
        <f t="shared" si="8"/>
        <v>0</v>
      </c>
    </row>
    <row r="26" spans="1:40">
      <c r="A26" s="410"/>
      <c r="B26" s="2" t="s">
        <v>34</v>
      </c>
      <c r="C26" s="7" t="s">
        <v>82</v>
      </c>
      <c r="D26" s="6"/>
      <c r="E26" s="11">
        <f>[1]in!$D$1175</f>
        <v>119</v>
      </c>
      <c r="F26" s="11">
        <f>[1]in!$E$1175</f>
        <v>775</v>
      </c>
      <c r="G26" s="11">
        <f>[1]in!$F$1175</f>
        <v>115</v>
      </c>
      <c r="H26" s="11">
        <f>[1]in!$H$1175</f>
        <v>505</v>
      </c>
      <c r="I26" s="11">
        <f>[1]in!$I$1175</f>
        <v>0</v>
      </c>
      <c r="J26" s="11">
        <f>[1]in!$J$1175</f>
        <v>0</v>
      </c>
      <c r="K26" s="11">
        <f>[1]in!$L$1175</f>
        <v>0</v>
      </c>
      <c r="L26" s="11">
        <f>[1]in!$M$1175</f>
        <v>0</v>
      </c>
      <c r="M26" s="11">
        <f>[1]in!$N$1175</f>
        <v>0</v>
      </c>
      <c r="N26" s="11">
        <f>[1]in!$P$1175</f>
        <v>0</v>
      </c>
      <c r="O26" s="11">
        <f>[1]in!$Q$1175</f>
        <v>0</v>
      </c>
      <c r="P26" s="11">
        <f>[1]in!$R$1175</f>
        <v>0</v>
      </c>
      <c r="Q26" s="27">
        <f t="shared" si="1"/>
        <v>1514</v>
      </c>
      <c r="R26" s="26">
        <f t="shared" si="2"/>
        <v>1009</v>
      </c>
      <c r="S26" s="26">
        <f t="shared" si="3"/>
        <v>505</v>
      </c>
      <c r="T26" s="26">
        <f t="shared" si="4"/>
        <v>0</v>
      </c>
      <c r="U26" s="26">
        <f t="shared" si="5"/>
        <v>0</v>
      </c>
      <c r="V26" s="26">
        <f t="shared" si="6"/>
        <v>1514</v>
      </c>
      <c r="W26" s="26"/>
      <c r="X26" s="26"/>
      <c r="Y26" s="26"/>
      <c r="Z26" s="26">
        <f t="shared" si="7"/>
        <v>0</v>
      </c>
      <c r="AA26" s="58">
        <f t="shared" si="19"/>
        <v>6.4089240669491278E-4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2">
        <f t="shared" si="8"/>
        <v>0</v>
      </c>
    </row>
    <row r="27" spans="1:40">
      <c r="A27" s="410"/>
      <c r="B27" s="2" t="s">
        <v>35</v>
      </c>
      <c r="C27" s="7" t="s">
        <v>82</v>
      </c>
      <c r="D27" s="6"/>
      <c r="E27" s="216">
        <f>[1]in!$D$1179</f>
        <v>400</v>
      </c>
      <c r="F27" s="11">
        <f>[1]in!$E$1179</f>
        <v>303</v>
      </c>
      <c r="G27" s="11">
        <f>[1]in!$F$1179</f>
        <v>504</v>
      </c>
      <c r="H27" s="11">
        <f>[1]in!$H$1179</f>
        <v>317</v>
      </c>
      <c r="I27" s="11">
        <f>[1]in!$I$1179</f>
        <v>0</v>
      </c>
      <c r="J27" s="11">
        <f>[1]in!$J$1179</f>
        <v>0</v>
      </c>
      <c r="K27" s="11">
        <f>[1]in!$L$1179</f>
        <v>0</v>
      </c>
      <c r="L27" s="11">
        <f>[1]in!$M$1179</f>
        <v>0</v>
      </c>
      <c r="M27" s="11">
        <f>[1]in!$N$1179</f>
        <v>0</v>
      </c>
      <c r="N27" s="11">
        <f>[1]in!$P$1179</f>
        <v>0</v>
      </c>
      <c r="O27" s="11">
        <f>[1]in!$Q$1179</f>
        <v>0</v>
      </c>
      <c r="P27" s="11">
        <f>[1]in!$R$1179</f>
        <v>0</v>
      </c>
      <c r="Q27" s="27">
        <f t="shared" si="1"/>
        <v>1524</v>
      </c>
      <c r="R27" s="26">
        <f t="shared" si="2"/>
        <v>1207</v>
      </c>
      <c r="S27" s="26">
        <f t="shared" si="3"/>
        <v>317</v>
      </c>
      <c r="T27" s="26">
        <f t="shared" si="4"/>
        <v>0</v>
      </c>
      <c r="U27" s="26">
        <f t="shared" si="5"/>
        <v>0</v>
      </c>
      <c r="V27" s="26">
        <f t="shared" si="6"/>
        <v>1524</v>
      </c>
      <c r="W27" s="26"/>
      <c r="X27" s="26"/>
      <c r="Y27" s="26"/>
      <c r="Z27" s="26">
        <f t="shared" si="7"/>
        <v>0</v>
      </c>
      <c r="AA27" s="58">
        <f t="shared" si="19"/>
        <v>6.451255137404538E-4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2">
        <f t="shared" ref="AN27:AN33" si="20">SUM(AB27:AM27)</f>
        <v>0</v>
      </c>
    </row>
    <row r="28" spans="1:40">
      <c r="A28" s="410"/>
      <c r="B28" s="2" t="s">
        <v>36</v>
      </c>
      <c r="C28" s="7" t="s">
        <v>82</v>
      </c>
      <c r="D28" s="6"/>
      <c r="E28" s="11">
        <f>[1]in!$D$1180</f>
        <v>148</v>
      </c>
      <c r="F28" s="11">
        <f>[1]in!$E$1180</f>
        <v>164</v>
      </c>
      <c r="G28" s="11">
        <f>[1]in!$F$1180</f>
        <v>139</v>
      </c>
      <c r="H28" s="11">
        <f>[1]in!$H$1180</f>
        <v>176</v>
      </c>
      <c r="I28" s="11">
        <f>[1]in!$I$1180</f>
        <v>0</v>
      </c>
      <c r="J28" s="11">
        <f>[1]in!$J$1180</f>
        <v>0</v>
      </c>
      <c r="K28" s="11">
        <f>[1]in!$L$1180</f>
        <v>0</v>
      </c>
      <c r="L28" s="11">
        <f>[1]in!$M$1180</f>
        <v>0</v>
      </c>
      <c r="M28" s="11">
        <f>[1]in!$N$1180</f>
        <v>0</v>
      </c>
      <c r="N28" s="11">
        <f>[1]in!$P$1180</f>
        <v>0</v>
      </c>
      <c r="O28" s="11">
        <f>[1]in!$Q$1180</f>
        <v>0</v>
      </c>
      <c r="P28" s="11">
        <f>[1]in!$R$1180</f>
        <v>0</v>
      </c>
      <c r="Q28" s="27">
        <f t="shared" si="1"/>
        <v>627</v>
      </c>
      <c r="R28" s="26">
        <f t="shared" si="2"/>
        <v>451</v>
      </c>
      <c r="S28" s="26">
        <f t="shared" si="3"/>
        <v>176</v>
      </c>
      <c r="T28" s="26">
        <f t="shared" si="4"/>
        <v>0</v>
      </c>
      <c r="U28" s="26">
        <f t="shared" si="5"/>
        <v>0</v>
      </c>
      <c r="V28" s="26">
        <f t="shared" si="6"/>
        <v>627</v>
      </c>
      <c r="W28" s="26"/>
      <c r="X28" s="26"/>
      <c r="Y28" s="26"/>
      <c r="Z28" s="26">
        <f t="shared" si="7"/>
        <v>0</v>
      </c>
      <c r="AA28" s="58">
        <f t="shared" si="19"/>
        <v>2.6541581175542294E-4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2">
        <f t="shared" si="20"/>
        <v>0</v>
      </c>
    </row>
    <row r="29" spans="1:40">
      <c r="A29" s="410"/>
      <c r="B29" s="2" t="s">
        <v>37</v>
      </c>
      <c r="C29" s="7" t="s">
        <v>82</v>
      </c>
      <c r="D29" s="6"/>
      <c r="E29" s="216">
        <f>[1]in!$D$1186</f>
        <v>150</v>
      </c>
      <c r="F29" s="11">
        <f>[1]in!$E$1186</f>
        <v>60</v>
      </c>
      <c r="G29" s="11">
        <f>[1]in!$F$1186</f>
        <v>100</v>
      </c>
      <c r="H29" s="11">
        <f>[1]in!$H$1186</f>
        <v>231</v>
      </c>
      <c r="I29" s="11">
        <f>[1]in!$I$1186</f>
        <v>0</v>
      </c>
      <c r="J29" s="11">
        <f>[1]in!$J$1186</f>
        <v>0</v>
      </c>
      <c r="K29" s="11">
        <f>[1]in!$L$1186</f>
        <v>0</v>
      </c>
      <c r="L29" s="11">
        <f>[1]in!$M$1186</f>
        <v>0</v>
      </c>
      <c r="M29" s="11">
        <f>[1]in!$N$1186</f>
        <v>0</v>
      </c>
      <c r="N29" s="11">
        <f>[1]in!$P$1186</f>
        <v>0</v>
      </c>
      <c r="O29" s="11">
        <f>[1]in!$Q$1186</f>
        <v>0</v>
      </c>
      <c r="P29" s="11">
        <f>[1]in!$R$1186</f>
        <v>0</v>
      </c>
      <c r="Q29" s="27">
        <f>SUM(E29:P29)</f>
        <v>541</v>
      </c>
      <c r="R29" s="26">
        <f t="shared" ref="R29:R33" si="21">SUM(E29:G29)</f>
        <v>310</v>
      </c>
      <c r="S29" s="26">
        <f t="shared" ref="S29:S33" si="22">SUM(H29:J29)</f>
        <v>231</v>
      </c>
      <c r="T29" s="26">
        <f t="shared" ref="T29:T33" si="23">SUM(K29:M29)</f>
        <v>0</v>
      </c>
      <c r="U29" s="26">
        <f t="shared" ref="U29:U33" si="24">SUM(N29:P29)</f>
        <v>0</v>
      </c>
      <c r="V29" s="26">
        <f t="shared" ref="V29:V33" si="25">SUM(E29:J29)</f>
        <v>541</v>
      </c>
      <c r="W29" s="26"/>
      <c r="X29" s="26"/>
      <c r="Y29" s="26"/>
      <c r="Z29" s="26">
        <f t="shared" ref="Z29:Z30" si="26">SUM(K29:P29)</f>
        <v>0</v>
      </c>
      <c r="AA29" s="58">
        <f t="shared" si="19"/>
        <v>2.2901109116377002E-4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2">
        <f t="shared" si="20"/>
        <v>0</v>
      </c>
    </row>
    <row r="30" spans="1:40">
      <c r="A30" s="410"/>
      <c r="B30" s="23" t="s">
        <v>38</v>
      </c>
      <c r="C30" s="6" t="s">
        <v>82</v>
      </c>
      <c r="D30" s="6"/>
      <c r="E30" s="24">
        <f>[1]in!$D$1161</f>
        <v>24489</v>
      </c>
      <c r="F30" s="24">
        <f>[1]in!$E$1161</f>
        <v>12777</v>
      </c>
      <c r="G30" s="24">
        <f>[1]in!$F$1161</f>
        <v>3400</v>
      </c>
      <c r="H30" s="24">
        <f>[1]in!$H$1161</f>
        <v>0</v>
      </c>
      <c r="I30" s="24">
        <f>[1]in!$I$1161</f>
        <v>0</v>
      </c>
      <c r="J30" s="24">
        <f>[1]in!$J$1161</f>
        <v>0</v>
      </c>
      <c r="K30" s="24">
        <f>[1]in!$L$1161</f>
        <v>0</v>
      </c>
      <c r="L30" s="24">
        <f>[1]in!$M$1161</f>
        <v>0</v>
      </c>
      <c r="M30" s="24">
        <f>[1]in!$N$1161</f>
        <v>0</v>
      </c>
      <c r="N30" s="24">
        <f>[1]in!$P$1161</f>
        <v>0</v>
      </c>
      <c r="O30" s="24">
        <f>[1]in!$Q$1161</f>
        <v>0</v>
      </c>
      <c r="P30" s="24">
        <f>[1]in!$R$1161</f>
        <v>0</v>
      </c>
      <c r="Q30" s="25">
        <f t="shared" si="1"/>
        <v>40666</v>
      </c>
      <c r="R30" s="25">
        <f>SUM(E30:G30)</f>
        <v>40666</v>
      </c>
      <c r="S30" s="25">
        <f t="shared" si="22"/>
        <v>0</v>
      </c>
      <c r="T30" s="25">
        <f t="shared" si="23"/>
        <v>0</v>
      </c>
      <c r="U30" s="25">
        <f>SUM(N30:P30)</f>
        <v>0</v>
      </c>
      <c r="V30" s="25">
        <f t="shared" si="25"/>
        <v>40666</v>
      </c>
      <c r="W30" s="26"/>
      <c r="X30" s="26"/>
      <c r="Y30" s="26"/>
      <c r="Z30" s="26">
        <f t="shared" si="26"/>
        <v>0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2">
        <f t="shared" si="20"/>
        <v>0</v>
      </c>
    </row>
    <row r="31" spans="1:40">
      <c r="A31" s="410"/>
      <c r="B31" s="23" t="s">
        <v>39</v>
      </c>
      <c r="C31" s="6" t="s">
        <v>82</v>
      </c>
      <c r="D31" s="6"/>
      <c r="E31" s="24">
        <f>[1]in!$D$1169</f>
        <v>73641</v>
      </c>
      <c r="F31" s="24">
        <f>[1]in!$E$1169</f>
        <v>62890</v>
      </c>
      <c r="G31" s="24">
        <f>[1]in!$F$1169</f>
        <v>181140</v>
      </c>
      <c r="H31" s="24">
        <f>[1]in!$H$1169</f>
        <v>107354</v>
      </c>
      <c r="I31" s="24">
        <f>[1]in!$I$1169</f>
        <v>0</v>
      </c>
      <c r="J31" s="24">
        <f>[1]in!$J$1169</f>
        <v>0</v>
      </c>
      <c r="K31" s="24">
        <f>[1]in!$L$1169</f>
        <v>0</v>
      </c>
      <c r="L31" s="24">
        <f>[1]in!$M$1169</f>
        <v>0</v>
      </c>
      <c r="M31" s="24">
        <f>[1]in!$N$1169</f>
        <v>0</v>
      </c>
      <c r="N31" s="24">
        <f>[1]in!$P$1169</f>
        <v>0</v>
      </c>
      <c r="O31" s="24">
        <f>[1]in!$Q$1169</f>
        <v>0</v>
      </c>
      <c r="P31" s="24">
        <f>[1]in!$R$1169</f>
        <v>0</v>
      </c>
      <c r="Q31" s="25">
        <f t="shared" si="1"/>
        <v>425025</v>
      </c>
      <c r="R31" s="25">
        <f t="shared" si="21"/>
        <v>317671</v>
      </c>
      <c r="S31" s="25">
        <f t="shared" si="22"/>
        <v>107354</v>
      </c>
      <c r="T31" s="25">
        <f t="shared" si="23"/>
        <v>0</v>
      </c>
      <c r="U31" s="25">
        <f t="shared" si="24"/>
        <v>0</v>
      </c>
      <c r="V31" s="25">
        <f t="shared" si="25"/>
        <v>425025</v>
      </c>
      <c r="W31" s="26"/>
      <c r="X31" s="26"/>
      <c r="Y31" s="26"/>
      <c r="Z31" s="26">
        <f>SUM(K31:P31)</f>
        <v>0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2">
        <f t="shared" si="20"/>
        <v>0</v>
      </c>
    </row>
    <row r="32" spans="1:40">
      <c r="A32" s="410"/>
      <c r="B32" s="2" t="s">
        <v>40</v>
      </c>
      <c r="C32" s="7" t="s">
        <v>82</v>
      </c>
      <c r="D32" s="6"/>
      <c r="E32" s="11">
        <f>SUM(E30:E31)</f>
        <v>98130</v>
      </c>
      <c r="F32" s="11">
        <f>SUM(F30:F31)</f>
        <v>75667</v>
      </c>
      <c r="G32" s="11">
        <f>SUM(G30:G31)</f>
        <v>184540</v>
      </c>
      <c r="H32" s="11">
        <f t="shared" ref="H32:P32" si="27">SUM(H30:H31)</f>
        <v>107354</v>
      </c>
      <c r="I32" s="11">
        <f t="shared" si="27"/>
        <v>0</v>
      </c>
      <c r="J32" s="11">
        <f t="shared" si="27"/>
        <v>0</v>
      </c>
      <c r="K32" s="11">
        <f t="shared" si="27"/>
        <v>0</v>
      </c>
      <c r="L32" s="11">
        <f t="shared" si="27"/>
        <v>0</v>
      </c>
      <c r="M32" s="11">
        <f t="shared" si="27"/>
        <v>0</v>
      </c>
      <c r="N32" s="11">
        <f t="shared" si="27"/>
        <v>0</v>
      </c>
      <c r="O32" s="11">
        <f t="shared" si="27"/>
        <v>0</v>
      </c>
      <c r="P32" s="11">
        <f t="shared" si="27"/>
        <v>0</v>
      </c>
      <c r="Q32" s="27">
        <f>SUM(E32:P32)</f>
        <v>465691</v>
      </c>
      <c r="R32" s="26">
        <f>SUM(E32:G32)</f>
        <v>358337</v>
      </c>
      <c r="S32" s="26">
        <f t="shared" ref="S32" si="28">SUM(H32:J32)</f>
        <v>107354</v>
      </c>
      <c r="T32" s="26">
        <f t="shared" ref="T32" si="29">SUM(K32:M32)</f>
        <v>0</v>
      </c>
      <c r="U32" s="26">
        <f t="shared" ref="U32" si="30">SUM(N32:P32)</f>
        <v>0</v>
      </c>
      <c r="V32" s="26">
        <f>SUM(E32:J32)</f>
        <v>465691</v>
      </c>
      <c r="W32" s="26"/>
      <c r="X32" s="26"/>
      <c r="Y32" s="26"/>
      <c r="Z32" s="26">
        <f>SUM(K32:P32)</f>
        <v>0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2"/>
    </row>
    <row r="33" spans="1:40">
      <c r="A33" s="410"/>
      <c r="B33" s="2" t="s">
        <v>42</v>
      </c>
      <c r="C33" s="7" t="s">
        <v>82</v>
      </c>
      <c r="D33" s="6"/>
      <c r="E33" s="11">
        <f>[1]in!$D$1171</f>
        <v>11</v>
      </c>
      <c r="F33" s="11">
        <f>[1]in!$E$1171</f>
        <v>20</v>
      </c>
      <c r="G33" s="11">
        <f>[1]in!$F$1171</f>
        <v>10</v>
      </c>
      <c r="H33" s="11">
        <f>[1]in!$H$1171</f>
        <v>10</v>
      </c>
      <c r="I33" s="11">
        <f>[1]in!$I$1171</f>
        <v>0</v>
      </c>
      <c r="J33" s="11">
        <f>[1]in!$J$1171</f>
        <v>0</v>
      </c>
      <c r="K33" s="11">
        <f>[1]in!$L$1171</f>
        <v>0</v>
      </c>
      <c r="L33" s="11">
        <f>[1]in!$M$1171</f>
        <v>0</v>
      </c>
      <c r="M33" s="11">
        <f>[1]in!$N$1171</f>
        <v>0</v>
      </c>
      <c r="N33" s="11">
        <f>[1]in!$P$1171</f>
        <v>0</v>
      </c>
      <c r="O33" s="11">
        <f>[1]in!$Q$1171</f>
        <v>0</v>
      </c>
      <c r="P33" s="11">
        <f>[1]in!$R$1171</f>
        <v>0</v>
      </c>
      <c r="Q33" s="27">
        <f>SUM(E33:P33)</f>
        <v>51</v>
      </c>
      <c r="R33" s="26">
        <f t="shared" si="21"/>
        <v>41</v>
      </c>
      <c r="S33" s="26">
        <f t="shared" si="22"/>
        <v>10</v>
      </c>
      <c r="T33" s="26">
        <f t="shared" si="23"/>
        <v>0</v>
      </c>
      <c r="U33" s="26">
        <f t="shared" si="24"/>
        <v>0</v>
      </c>
      <c r="V33" s="26">
        <f t="shared" si="25"/>
        <v>51</v>
      </c>
      <c r="W33" s="26"/>
      <c r="X33" s="26"/>
      <c r="Y33" s="26"/>
      <c r="Z33" s="26">
        <f>SUM(K33:P33)</f>
        <v>0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2">
        <f t="shared" si="20"/>
        <v>0</v>
      </c>
    </row>
    <row r="34" spans="1:40">
      <c r="A34" s="72"/>
      <c r="B34" s="2" t="s">
        <v>43</v>
      </c>
      <c r="C34" s="7" t="s">
        <v>82</v>
      </c>
      <c r="D34" s="6"/>
      <c r="E34" s="11">
        <f>SUM(E8:E10,E25:E28,E33)</f>
        <v>20135</v>
      </c>
      <c r="F34" s="11">
        <f t="shared" ref="F34:K34" si="31">SUM(F8:F10,F25:F28,F33)</f>
        <v>30332</v>
      </c>
      <c r="G34" s="11">
        <f t="shared" si="31"/>
        <v>23243</v>
      </c>
      <c r="H34" s="11">
        <f t="shared" si="31"/>
        <v>1900</v>
      </c>
      <c r="I34" s="11">
        <f t="shared" si="31"/>
        <v>0</v>
      </c>
      <c r="J34" s="11">
        <f t="shared" si="31"/>
        <v>0</v>
      </c>
      <c r="K34" s="11">
        <f t="shared" si="31"/>
        <v>0</v>
      </c>
      <c r="L34" s="11">
        <f>SUM(L8:L10,L25:L28,L33)</f>
        <v>0</v>
      </c>
      <c r="M34" s="11">
        <f t="shared" ref="M34:P34" si="32">SUM(M8:M10,M25:M28,M33)</f>
        <v>0</v>
      </c>
      <c r="N34" s="11">
        <f t="shared" si="32"/>
        <v>0</v>
      </c>
      <c r="O34" s="11">
        <f t="shared" si="32"/>
        <v>0</v>
      </c>
      <c r="P34" s="11">
        <f t="shared" si="32"/>
        <v>0</v>
      </c>
      <c r="Q34" s="27">
        <f>SUM(E34:P34)</f>
        <v>75610</v>
      </c>
      <c r="R34" s="26">
        <f>SUM(E34:G34)</f>
        <v>73710</v>
      </c>
      <c r="S34" s="26">
        <f t="shared" ref="S34" si="33">SUM(H34:J34)</f>
        <v>1900</v>
      </c>
      <c r="T34" s="26">
        <f t="shared" ref="T34" si="34">SUM(K34:M34)</f>
        <v>0</v>
      </c>
      <c r="U34" s="26">
        <f>SUM(N34:P34)</f>
        <v>0</v>
      </c>
      <c r="V34" s="26">
        <f t="shared" ref="V34" si="35">SUM(E34:J34)</f>
        <v>75610</v>
      </c>
      <c r="W34" s="26"/>
      <c r="X34" s="26"/>
      <c r="Y34" s="26"/>
      <c r="Z34" s="26">
        <f>SUM(K34:P34)</f>
        <v>0</v>
      </c>
      <c r="AN34" s="76"/>
    </row>
    <row r="35" spans="1:40">
      <c r="D35" s="28"/>
    </row>
    <row r="36" spans="1:40" ht="16">
      <c r="A36" s="411" t="s">
        <v>44</v>
      </c>
      <c r="B36" s="411"/>
      <c r="C36" s="7" t="s">
        <v>82</v>
      </c>
      <c r="D36" s="6"/>
      <c r="E36" s="26">
        <f>SUM(E5:E29,E32:E33)</f>
        <v>754206</v>
      </c>
      <c r="F36" s="26">
        <f>SUM(F5:F29,F32:F33)</f>
        <v>924156</v>
      </c>
      <c r="G36" s="26">
        <f>SUM(G5:G29,G32:G33)</f>
        <v>771989</v>
      </c>
      <c r="H36" s="26">
        <f>SUM(H5:H29,H32:H33)</f>
        <v>491767</v>
      </c>
      <c r="I36" s="26">
        <f t="shared" ref="I36:N36" si="36">SUM(I5:I29,I32:I33)</f>
        <v>0</v>
      </c>
      <c r="J36" s="26">
        <f t="shared" si="36"/>
        <v>0</v>
      </c>
      <c r="K36" s="26">
        <f t="shared" si="36"/>
        <v>0</v>
      </c>
      <c r="L36" s="26">
        <f t="shared" si="36"/>
        <v>0</v>
      </c>
      <c r="M36" s="26">
        <f t="shared" si="36"/>
        <v>0</v>
      </c>
      <c r="N36" s="26">
        <f t="shared" si="36"/>
        <v>0</v>
      </c>
      <c r="O36" s="26">
        <f>SUM(O5:O29,O32:O33)</f>
        <v>0</v>
      </c>
      <c r="P36" s="26">
        <f>SUM(P5:P29,P32:P33)</f>
        <v>0</v>
      </c>
      <c r="Q36" s="136">
        <f>SUM(Q5:Q29,Q32:Q33)</f>
        <v>2942118</v>
      </c>
      <c r="R36" s="26">
        <f>SUM(R5:R29,R32:R33)</f>
        <v>2450351</v>
      </c>
      <c r="S36" s="26">
        <f>SUM(S5:S29,S32:S33)</f>
        <v>491767</v>
      </c>
      <c r="T36" s="26">
        <f t="shared" ref="T36:U36" si="37">SUM(T5:T29,T32:T33)</f>
        <v>0</v>
      </c>
      <c r="U36" s="26">
        <f t="shared" si="37"/>
        <v>0</v>
      </c>
      <c r="V36" s="26">
        <f>SUM(V5:V29,V32:V33)</f>
        <v>2942118</v>
      </c>
      <c r="W36" s="26"/>
      <c r="X36" s="26"/>
      <c r="Y36" s="26"/>
      <c r="Z36" s="26">
        <f t="shared" ref="Z36" si="38">SUM(Z5:Z33)</f>
        <v>0</v>
      </c>
      <c r="AB36" s="30">
        <f t="shared" ref="AB36:AN36" si="39">SUM(AB5:AB33)</f>
        <v>0</v>
      </c>
      <c r="AC36" s="30">
        <f t="shared" si="39"/>
        <v>0</v>
      </c>
      <c r="AD36" s="30">
        <f t="shared" si="39"/>
        <v>0</v>
      </c>
      <c r="AE36" s="30">
        <f t="shared" si="39"/>
        <v>0</v>
      </c>
      <c r="AF36" s="30">
        <f t="shared" si="39"/>
        <v>0</v>
      </c>
      <c r="AG36" s="30">
        <f t="shared" si="39"/>
        <v>0</v>
      </c>
      <c r="AH36" s="30">
        <f t="shared" si="39"/>
        <v>0</v>
      </c>
      <c r="AI36" s="30">
        <f t="shared" si="39"/>
        <v>0</v>
      </c>
      <c r="AJ36" s="30">
        <f t="shared" si="39"/>
        <v>0</v>
      </c>
      <c r="AK36" s="30">
        <f t="shared" si="39"/>
        <v>0</v>
      </c>
      <c r="AL36" s="30">
        <f t="shared" si="39"/>
        <v>0</v>
      </c>
      <c r="AM36" s="30">
        <f t="shared" si="39"/>
        <v>0</v>
      </c>
      <c r="AN36" s="30">
        <f t="shared" si="39"/>
        <v>0</v>
      </c>
    </row>
    <row r="37" spans="1:40" ht="16" customHeight="1">
      <c r="A37" s="428" t="s">
        <v>45</v>
      </c>
      <c r="B37" s="428"/>
      <c r="C37" s="260" t="s">
        <v>82</v>
      </c>
      <c r="D37" s="260"/>
      <c r="E37" s="261">
        <f>SUM(E5:E15,E21:E29,E32:E33)</f>
        <v>713420</v>
      </c>
      <c r="F37" s="261">
        <f>SUM(F5:F15,F21:F29,F32:F33)</f>
        <v>784364</v>
      </c>
      <c r="G37" s="261">
        <f>SUM(G5:G15,G21:G29,G32:G33)</f>
        <v>625180</v>
      </c>
      <c r="H37" s="261">
        <f>SUM(H5:H15,H21:H29,H32:H33)</f>
        <v>239367</v>
      </c>
      <c r="I37" s="261">
        <f t="shared" ref="I37:P37" si="40">SUM(I5:I15,I21:I29,I32:I33)</f>
        <v>0</v>
      </c>
      <c r="J37" s="261">
        <f t="shared" si="40"/>
        <v>0</v>
      </c>
      <c r="K37" s="261">
        <f t="shared" si="40"/>
        <v>0</v>
      </c>
      <c r="L37" s="261">
        <f t="shared" si="40"/>
        <v>0</v>
      </c>
      <c r="M37" s="261">
        <f t="shared" si="40"/>
        <v>0</v>
      </c>
      <c r="N37" s="261">
        <f t="shared" si="40"/>
        <v>0</v>
      </c>
      <c r="O37" s="261">
        <f t="shared" si="40"/>
        <v>0</v>
      </c>
      <c r="P37" s="261">
        <f t="shared" si="40"/>
        <v>0</v>
      </c>
      <c r="Q37" s="261">
        <f t="shared" ref="Q37:V37" si="41">SUM(Q5:Q15,Q21:Q29,Q32:Q33)</f>
        <v>2362331</v>
      </c>
      <c r="R37" s="30">
        <f t="shared" si="41"/>
        <v>2122964</v>
      </c>
      <c r="S37" s="30">
        <f t="shared" si="41"/>
        <v>239367</v>
      </c>
      <c r="T37" s="30">
        <f t="shared" si="41"/>
        <v>0</v>
      </c>
      <c r="U37" s="30">
        <f t="shared" si="41"/>
        <v>0</v>
      </c>
      <c r="V37" s="30">
        <f t="shared" si="41"/>
        <v>2362331</v>
      </c>
      <c r="W37" s="30">
        <f t="shared" ref="W37:Z37" si="42">SUM(W5:W15,W21:W29,W32:W33)</f>
        <v>0</v>
      </c>
      <c r="X37" s="30">
        <f t="shared" si="42"/>
        <v>0</v>
      </c>
      <c r="Y37" s="30">
        <f t="shared" si="42"/>
        <v>0</v>
      </c>
      <c r="Z37" s="30">
        <f t="shared" si="42"/>
        <v>0</v>
      </c>
      <c r="AB37" s="26">
        <f t="shared" ref="AB37:AN37" si="43">SUM(AB5:AB15,AB21:AB33)</f>
        <v>0</v>
      </c>
      <c r="AC37" s="26">
        <f t="shared" si="43"/>
        <v>0</v>
      </c>
      <c r="AD37" s="26">
        <f t="shared" si="43"/>
        <v>0</v>
      </c>
      <c r="AE37" s="26">
        <f t="shared" si="43"/>
        <v>0</v>
      </c>
      <c r="AF37" s="26">
        <f t="shared" si="43"/>
        <v>0</v>
      </c>
      <c r="AG37" s="26">
        <f t="shared" si="43"/>
        <v>0</v>
      </c>
      <c r="AH37" s="26">
        <f t="shared" si="43"/>
        <v>0</v>
      </c>
      <c r="AI37" s="26">
        <f t="shared" si="43"/>
        <v>0</v>
      </c>
      <c r="AJ37" s="26">
        <f t="shared" si="43"/>
        <v>0</v>
      </c>
      <c r="AK37" s="26">
        <f t="shared" si="43"/>
        <v>0</v>
      </c>
      <c r="AL37" s="26">
        <f t="shared" si="43"/>
        <v>0</v>
      </c>
      <c r="AM37" s="26">
        <f t="shared" si="43"/>
        <v>0</v>
      </c>
      <c r="AN37" s="26">
        <f t="shared" si="43"/>
        <v>0</v>
      </c>
    </row>
    <row r="38" spans="1:40">
      <c r="A38" s="35"/>
      <c r="Q38" s="35"/>
    </row>
    <row r="39" spans="1:40">
      <c r="A39" s="408" t="s">
        <v>46</v>
      </c>
      <c r="B39" s="408"/>
      <c r="C39" s="7" t="s">
        <v>82</v>
      </c>
      <c r="D39" s="6"/>
      <c r="E39" s="16">
        <f>SUM(E5:E15)</f>
        <v>381549</v>
      </c>
      <c r="F39" s="16">
        <f>SUM(F5:F15)</f>
        <v>444933</v>
      </c>
      <c r="G39" s="16">
        <f>SUM(G5:G15)</f>
        <v>203149</v>
      </c>
      <c r="H39" s="16">
        <f t="shared" ref="H39:P39" si="44">SUM(H5:H15)</f>
        <v>127254</v>
      </c>
      <c r="I39" s="16">
        <f t="shared" si="44"/>
        <v>0</v>
      </c>
      <c r="J39" s="16">
        <f t="shared" si="44"/>
        <v>0</v>
      </c>
      <c r="K39" s="16">
        <f t="shared" si="44"/>
        <v>0</v>
      </c>
      <c r="L39" s="16">
        <f t="shared" si="44"/>
        <v>0</v>
      </c>
      <c r="M39" s="16">
        <f t="shared" si="44"/>
        <v>0</v>
      </c>
      <c r="N39" s="16">
        <f t="shared" si="44"/>
        <v>0</v>
      </c>
      <c r="O39" s="16">
        <f t="shared" si="44"/>
        <v>0</v>
      </c>
      <c r="P39" s="16">
        <f t="shared" si="44"/>
        <v>0</v>
      </c>
      <c r="Q39" s="16">
        <f>SUM(Q5:Q15)</f>
        <v>1156885</v>
      </c>
    </row>
    <row r="40" spans="1:40">
      <c r="A40" s="408" t="s">
        <v>47</v>
      </c>
      <c r="B40" s="408"/>
      <c r="C40" s="7" t="s">
        <v>82</v>
      </c>
      <c r="D40" s="6"/>
      <c r="E40" s="16">
        <f t="shared" ref="E40:J40" si="45">SUM(E21:E29,E32:E33)</f>
        <v>331871</v>
      </c>
      <c r="F40" s="16">
        <f t="shared" si="45"/>
        <v>339431</v>
      </c>
      <c r="G40" s="16">
        <f t="shared" si="45"/>
        <v>422031</v>
      </c>
      <c r="H40" s="16">
        <f t="shared" si="45"/>
        <v>112113</v>
      </c>
      <c r="I40" s="16">
        <f t="shared" si="45"/>
        <v>0</v>
      </c>
      <c r="J40" s="16">
        <f t="shared" si="45"/>
        <v>0</v>
      </c>
      <c r="K40" s="16">
        <f t="shared" ref="K40:O40" si="46">SUM(K21:K29,K32:K33)</f>
        <v>0</v>
      </c>
      <c r="L40" s="16">
        <f t="shared" si="46"/>
        <v>0</v>
      </c>
      <c r="M40" s="16">
        <f t="shared" si="46"/>
        <v>0</v>
      </c>
      <c r="N40" s="16">
        <f t="shared" si="46"/>
        <v>0</v>
      </c>
      <c r="O40" s="16">
        <f t="shared" si="46"/>
        <v>0</v>
      </c>
      <c r="P40" s="16">
        <f>SUM(P21:P29,P32:P33)</f>
        <v>0</v>
      </c>
      <c r="Q40" s="16">
        <f>SUM(Q21:Q29,Q32:Q33)</f>
        <v>1205446</v>
      </c>
    </row>
    <row r="41" spans="1:40">
      <c r="A41" s="35"/>
      <c r="Q41" s="35"/>
    </row>
    <row r="42" spans="1:40">
      <c r="A42" s="35"/>
      <c r="Q42" s="35"/>
    </row>
    <row r="43" spans="1:40">
      <c r="Q43" s="35"/>
      <c r="AF43" s="141">
        <f>I36-AF36</f>
        <v>0</v>
      </c>
      <c r="AG43" s="141">
        <f>J36-AG36</f>
        <v>0</v>
      </c>
      <c r="AH43" s="141">
        <f>K36-AH36</f>
        <v>0</v>
      </c>
      <c r="AI43" s="141">
        <f>L36-AI36</f>
        <v>0</v>
      </c>
      <c r="AJ43" s="141">
        <f>M36-AJ36</f>
        <v>0</v>
      </c>
      <c r="AK43" s="146" t="s">
        <v>85</v>
      </c>
      <c r="AL43" s="146"/>
      <c r="AN43" s="141">
        <f>Q36-AN36</f>
        <v>2942118</v>
      </c>
    </row>
    <row r="44" spans="1:40" ht="15.5">
      <c r="A44" s="427" t="s">
        <v>86</v>
      </c>
      <c r="B44" s="427"/>
      <c r="C44" s="427"/>
      <c r="D44" s="427"/>
      <c r="E44" s="427"/>
      <c r="F44" s="427"/>
      <c r="G44" s="427"/>
      <c r="H44" s="427"/>
      <c r="I44" s="427"/>
      <c r="J44" s="427"/>
      <c r="K44" s="427"/>
      <c r="L44" s="427"/>
      <c r="M44" s="427"/>
      <c r="N44" s="427"/>
      <c r="O44" s="427"/>
      <c r="P44" s="427"/>
      <c r="Q44" s="427"/>
      <c r="R44" s="427"/>
      <c r="S44" s="427"/>
      <c r="T44" s="427"/>
      <c r="U44" s="427"/>
      <c r="V44" s="427"/>
      <c r="W44" s="427"/>
      <c r="X44" s="427"/>
      <c r="Y44" s="427"/>
      <c r="Z44" s="427"/>
      <c r="AF44" s="142" t="e">
        <f>AF43/Production!I32</f>
        <v>#DIV/0!</v>
      </c>
      <c r="AG44" s="142" t="e">
        <f>AG43/Production!J32</f>
        <v>#DIV/0!</v>
      </c>
      <c r="AH44" s="142" t="e">
        <f>AH43/Production!K32</f>
        <v>#DIV/0!</v>
      </c>
      <c r="AI44" s="142" t="e">
        <f>AI43/Production!L32</f>
        <v>#DIV/0!</v>
      </c>
      <c r="AJ44" s="142" t="e">
        <f>AJ43/Production!M32</f>
        <v>#DIV/0!</v>
      </c>
      <c r="AK44" s="146" t="s">
        <v>87</v>
      </c>
      <c r="AL44" s="146"/>
      <c r="AN44" s="142">
        <f>AN43/Production!Q32</f>
        <v>0.81436409072403682</v>
      </c>
    </row>
    <row r="45" spans="1:40">
      <c r="A45" s="1"/>
      <c r="B45" s="2" t="s">
        <v>2</v>
      </c>
      <c r="C45" s="2" t="s">
        <v>3</v>
      </c>
      <c r="D45" s="23" t="s">
        <v>4</v>
      </c>
      <c r="E45" s="3">
        <v>46023</v>
      </c>
      <c r="F45" s="3">
        <v>46054</v>
      </c>
      <c r="G45" s="3">
        <v>46082</v>
      </c>
      <c r="H45" s="3">
        <v>46113</v>
      </c>
      <c r="I45" s="3">
        <v>46143</v>
      </c>
      <c r="J45" s="3">
        <v>46174</v>
      </c>
      <c r="K45" s="3">
        <v>46204</v>
      </c>
      <c r="L45" s="3">
        <v>46235</v>
      </c>
      <c r="M45" s="3">
        <v>46266</v>
      </c>
      <c r="N45" s="3">
        <v>46296</v>
      </c>
      <c r="O45" s="3">
        <v>46327</v>
      </c>
      <c r="P45" s="3">
        <v>46357</v>
      </c>
      <c r="Q45" s="4" t="s">
        <v>55</v>
      </c>
      <c r="R45" s="5" t="s">
        <v>5</v>
      </c>
      <c r="S45" s="5" t="s">
        <v>6</v>
      </c>
      <c r="T45" s="5" t="s">
        <v>7</v>
      </c>
      <c r="U45" s="5" t="s">
        <v>8</v>
      </c>
      <c r="V45" s="5" t="s">
        <v>9</v>
      </c>
      <c r="W45" s="5"/>
      <c r="X45" s="5"/>
      <c r="Y45" s="5"/>
      <c r="Z45" s="5" t="s">
        <v>10</v>
      </c>
    </row>
    <row r="46" spans="1:40">
      <c r="A46" s="414" t="s">
        <v>12</v>
      </c>
      <c r="B46" s="6" t="s">
        <v>13</v>
      </c>
      <c r="C46" s="6" t="s">
        <v>88</v>
      </c>
      <c r="D46" s="247">
        <v>0.42</v>
      </c>
      <c r="E46" s="11">
        <f>E3/Production!E3</f>
        <v>1.1595310907237514E-2</v>
      </c>
      <c r="F46" s="84">
        <f>F3/Production!F3</f>
        <v>1.0155072402898917</v>
      </c>
      <c r="G46" s="84">
        <f>G3/Production!G3</f>
        <v>5.7212573441540328E-2</v>
      </c>
      <c r="H46" s="84">
        <f>H3/Production!H3</f>
        <v>1.1018189420865566E-2</v>
      </c>
      <c r="I46" s="84" t="e">
        <f>I3/Production!I3</f>
        <v>#DIV/0!</v>
      </c>
      <c r="J46" s="84" t="e">
        <f>J3/Production!J3</f>
        <v>#DIV/0!</v>
      </c>
      <c r="K46" s="84" t="e">
        <f>K3/Production!K3</f>
        <v>#DIV/0!</v>
      </c>
      <c r="L46" s="84" t="e">
        <f>L3/Production!L3</f>
        <v>#DIV/0!</v>
      </c>
      <c r="M46" s="84" t="e">
        <f>M3/Production!M3</f>
        <v>#DIV/0!</v>
      </c>
      <c r="N46" s="84" t="e">
        <f>N3/Production!N3</f>
        <v>#DIV/0!</v>
      </c>
      <c r="O46" s="84" t="e">
        <f>O3/Production!O3</f>
        <v>#DIV/0!</v>
      </c>
      <c r="P46" s="84" t="e">
        <f>P3/Production!P3</f>
        <v>#DIV/0!</v>
      </c>
      <c r="Q46" s="11">
        <f>Q3/Production!Q3</f>
        <v>0.25479691808911192</v>
      </c>
      <c r="R46" s="24"/>
      <c r="S46" s="24"/>
      <c r="T46" s="24"/>
      <c r="U46" s="24"/>
      <c r="V46" s="24"/>
      <c r="W46" s="24"/>
      <c r="X46" s="24"/>
      <c r="Y46" s="24"/>
      <c r="Z46" s="24"/>
    </row>
    <row r="47" spans="1:40">
      <c r="A47" s="415"/>
      <c r="B47" s="6" t="s">
        <v>15</v>
      </c>
      <c r="C47" s="6" t="s">
        <v>88</v>
      </c>
      <c r="D47" s="6">
        <v>0.57999999999999996</v>
      </c>
      <c r="E47" s="11">
        <f>E4/Production!E4</f>
        <v>0.81151981457006561</v>
      </c>
      <c r="F47" s="84">
        <f>F4/Production!F4</f>
        <v>0.30405422847676533</v>
      </c>
      <c r="G47" s="84">
        <f>G4/Production!G4</f>
        <v>0.22087089408330815</v>
      </c>
      <c r="H47" s="84">
        <f>H4/Production!H4</f>
        <v>5.5174548189799664</v>
      </c>
      <c r="I47" s="84" t="e">
        <f>I4/Production!I4</f>
        <v>#DIV/0!</v>
      </c>
      <c r="J47" s="84" t="e">
        <f>J4/Production!J4</f>
        <v>#DIV/0!</v>
      </c>
      <c r="K47" s="84" t="e">
        <f>K4/Production!K4</f>
        <v>#DIV/0!</v>
      </c>
      <c r="L47" s="84" t="e">
        <f>L4/Production!L4</f>
        <v>#DIV/0!</v>
      </c>
      <c r="M47" s="84" t="e">
        <f>M4/Production!M4</f>
        <v>#DIV/0!</v>
      </c>
      <c r="N47" s="84" t="e">
        <f>N4/Production!N4</f>
        <v>#DIV/0!</v>
      </c>
      <c r="O47" s="84" t="e">
        <f>O4/Production!O4</f>
        <v>#DIV/0!</v>
      </c>
      <c r="P47" s="84" t="e">
        <f>P4/Production!P4</f>
        <v>#DIV/0!</v>
      </c>
      <c r="Q47" s="11">
        <f>Q4/Production!Q4</f>
        <v>0.60091579437626153</v>
      </c>
      <c r="R47" s="24"/>
      <c r="S47" s="24"/>
      <c r="T47" s="24"/>
      <c r="U47" s="24"/>
      <c r="V47" s="24"/>
      <c r="W47" s="24"/>
      <c r="X47" s="24"/>
      <c r="Y47" s="24"/>
      <c r="Z47" s="24"/>
    </row>
    <row r="48" spans="1:40">
      <c r="A48" s="415"/>
      <c r="B48" s="2" t="s">
        <v>16</v>
      </c>
      <c r="C48" s="7" t="s">
        <v>88</v>
      </c>
      <c r="D48" s="54">
        <v>0.5</v>
      </c>
      <c r="E48" s="11">
        <f>E5/Production!E5</f>
        <v>0.33426558803329803</v>
      </c>
      <c r="F48" s="11">
        <f>F5/Production!F5</f>
        <v>0.72806618535721424</v>
      </c>
      <c r="G48" s="11">
        <f>G5/Production!G5</f>
        <v>8.7291115121224686E-2</v>
      </c>
      <c r="H48" s="11">
        <f>H5/Production!H5</f>
        <v>0.14869372024533045</v>
      </c>
      <c r="I48" s="11" t="e">
        <f>I5/Production!I5</f>
        <v>#DIV/0!</v>
      </c>
      <c r="J48" s="11" t="e">
        <f>J5/Production!J5</f>
        <v>#DIV/0!</v>
      </c>
      <c r="K48" s="11" t="e">
        <f>K5/Production!K5</f>
        <v>#DIV/0!</v>
      </c>
      <c r="L48" s="11" t="e">
        <f>L5/Production!L5</f>
        <v>#DIV/0!</v>
      </c>
      <c r="M48" s="11" t="e">
        <f>M5/Production!M5</f>
        <v>#DIV/0!</v>
      </c>
      <c r="N48" s="11" t="e">
        <f>N5/Production!N5</f>
        <v>#DIV/0!</v>
      </c>
      <c r="O48" s="11" t="e">
        <f>O5/Production!O5</f>
        <v>#DIV/0!</v>
      </c>
      <c r="P48" s="11" t="e">
        <f>P5/Production!P5</f>
        <v>#DIV/0!</v>
      </c>
      <c r="Q48" s="11">
        <f>Q5/Production!Q5</f>
        <v>0.3523585527316776</v>
      </c>
      <c r="R48" s="26"/>
      <c r="S48" s="26"/>
      <c r="T48" s="26"/>
      <c r="U48" s="26"/>
      <c r="V48" s="26"/>
      <c r="W48" s="26"/>
      <c r="X48" s="26"/>
      <c r="Y48" s="26"/>
      <c r="Z48" s="26"/>
      <c r="AK48" s="143" t="s">
        <v>89</v>
      </c>
      <c r="AL48" s="144"/>
      <c r="AM48" s="144"/>
      <c r="AN48" s="145">
        <f>Q37-AN37</f>
        <v>2362331</v>
      </c>
    </row>
    <row r="49" spans="1:40" ht="24">
      <c r="A49" s="415"/>
      <c r="B49" s="2" t="s">
        <v>17</v>
      </c>
      <c r="C49" s="7" t="s">
        <v>88</v>
      </c>
      <c r="D49" s="54">
        <v>0.68</v>
      </c>
      <c r="E49" s="11">
        <f>E6/Production!E6</f>
        <v>0.31577386590622003</v>
      </c>
      <c r="F49" s="11">
        <f>F6/Production!F6</f>
        <v>0.44454218764356263</v>
      </c>
      <c r="G49" s="11">
        <f>G6/Production!G6</f>
        <v>0.35335509311436114</v>
      </c>
      <c r="H49" s="11">
        <f>H6/Production!H6</f>
        <v>0.34094065948867319</v>
      </c>
      <c r="I49" s="11" t="e">
        <f>I6/Production!I6</f>
        <v>#DIV/0!</v>
      </c>
      <c r="J49" s="11" t="e">
        <f>J6/Production!J6</f>
        <v>#DIV/0!</v>
      </c>
      <c r="K49" s="11" t="e">
        <f>K6/Production!K6</f>
        <v>#DIV/0!</v>
      </c>
      <c r="L49" s="11" t="e">
        <f>L6/Production!L6</f>
        <v>#DIV/0!</v>
      </c>
      <c r="M49" s="11" t="e">
        <f>M6/Production!M6</f>
        <v>#DIV/0!</v>
      </c>
      <c r="N49" s="11" t="e">
        <f>N6/Production!N6</f>
        <v>#DIV/0!</v>
      </c>
      <c r="O49" s="11" t="e">
        <f>O6/Production!O6</f>
        <v>#DIV/0!</v>
      </c>
      <c r="P49" s="11" t="e">
        <f>P6/Production!P6</f>
        <v>#DIV/0!</v>
      </c>
      <c r="Q49" s="11">
        <f>Q6/Production!Q6</f>
        <v>0.36256350041690788</v>
      </c>
      <c r="R49" s="26"/>
      <c r="S49" s="26"/>
      <c r="T49" s="26"/>
      <c r="U49" s="26"/>
      <c r="V49" s="26"/>
      <c r="W49" s="26"/>
      <c r="X49" s="26"/>
      <c r="Y49" s="26"/>
      <c r="Z49" s="26"/>
      <c r="AK49" s="144"/>
      <c r="AL49" s="144"/>
      <c r="AM49" s="144"/>
      <c r="AN49" s="140">
        <f>AN48/Production!Q33</f>
        <v>0.68340054504295467</v>
      </c>
    </row>
    <row r="50" spans="1:40">
      <c r="A50" s="415"/>
      <c r="B50" s="2" t="s">
        <v>18</v>
      </c>
      <c r="C50" s="7" t="s">
        <v>88</v>
      </c>
      <c r="D50" s="54">
        <v>0.68</v>
      </c>
      <c r="E50" s="11">
        <f>E7/Production!E7</f>
        <v>0.33238824443740828</v>
      </c>
      <c r="F50" s="11">
        <f>F7/Production!F7</f>
        <v>0.6065609228550829</v>
      </c>
      <c r="G50" s="11">
        <f>G7/Production!G7</f>
        <v>0.66496629622882131</v>
      </c>
      <c r="H50" s="11">
        <f>H7/Production!H7</f>
        <v>0.3559899931404592</v>
      </c>
      <c r="I50" s="11" t="e">
        <f>I7/Production!I7</f>
        <v>#DIV/0!</v>
      </c>
      <c r="J50" s="11" t="e">
        <f>J7/Production!J7</f>
        <v>#DIV/0!</v>
      </c>
      <c r="K50" s="11" t="e">
        <f>K7/Production!K7</f>
        <v>#DIV/0!</v>
      </c>
      <c r="L50" s="11" t="e">
        <f>L7/Production!L7</f>
        <v>#DIV/0!</v>
      </c>
      <c r="M50" s="11" t="e">
        <f>M7/Production!M7</f>
        <v>#DIV/0!</v>
      </c>
      <c r="N50" s="11" t="e">
        <f>N7/Production!N7</f>
        <v>#DIV/0!</v>
      </c>
      <c r="O50" s="11" t="e">
        <f>O7/Production!O7</f>
        <v>#DIV/0!</v>
      </c>
      <c r="P50" s="11" t="e">
        <f>P7/Production!P7</f>
        <v>#DIV/0!</v>
      </c>
      <c r="Q50" s="11">
        <f>Q7/Production!Q7</f>
        <v>0.48839399110763748</v>
      </c>
      <c r="R50" s="26"/>
      <c r="S50" s="26"/>
      <c r="T50" s="26"/>
      <c r="U50" s="26"/>
      <c r="V50" s="26"/>
      <c r="W50" s="26"/>
      <c r="X50" s="26"/>
      <c r="Y50" s="26"/>
      <c r="Z50" s="26"/>
    </row>
    <row r="51" spans="1:40">
      <c r="A51" s="415"/>
      <c r="B51" s="2" t="s">
        <v>19</v>
      </c>
      <c r="C51" s="7" t="s">
        <v>88</v>
      </c>
      <c r="D51" s="54">
        <v>5.8529999999999998</v>
      </c>
      <c r="E51" s="11">
        <f>(E8+E10)/Production!E8</f>
        <v>2.7040842537888516</v>
      </c>
      <c r="F51" s="11">
        <f>(F8+F10)/Production!F8</f>
        <v>5.3245893601372885</v>
      </c>
      <c r="G51" s="11">
        <f>(G8+G10)/Production!G8</f>
        <v>3.2137315748642359</v>
      </c>
      <c r="H51" s="11">
        <f>(H8+H10)/Production!H8</f>
        <v>0.21782661782661783</v>
      </c>
      <c r="I51" s="11" t="e">
        <f>(I8+I10)/Production!I8</f>
        <v>#DIV/0!</v>
      </c>
      <c r="J51" s="11" t="e">
        <f>(J8+J10)/Production!J8</f>
        <v>#DIV/0!</v>
      </c>
      <c r="K51" s="11" t="e">
        <f>(K8+K10)/Production!K8</f>
        <v>#DIV/0!</v>
      </c>
      <c r="L51" s="11" t="e">
        <f>(L8+L10)/Production!L8</f>
        <v>#DIV/0!</v>
      </c>
      <c r="M51" s="11" t="e">
        <f>(M8+M10)/Production!M8</f>
        <v>#DIV/0!</v>
      </c>
      <c r="N51" s="11" t="e">
        <f>(N8+N10)/Production!N8</f>
        <v>#DIV/0!</v>
      </c>
      <c r="O51" s="11" t="e">
        <f>(O8+O10)/Production!O8</f>
        <v>#DIV/0!</v>
      </c>
      <c r="P51" s="11" t="e">
        <f>(P8+P10)/Production!P8</f>
        <v>#DIV/0!</v>
      </c>
      <c r="Q51" s="11">
        <f>(Q8+Q10)/Production!Q8</f>
        <v>2.8861406259072169</v>
      </c>
      <c r="R51" s="26"/>
      <c r="S51" s="26"/>
      <c r="T51" s="26"/>
      <c r="U51" s="26"/>
      <c r="V51" s="26"/>
      <c r="W51" s="26"/>
      <c r="X51" s="26"/>
      <c r="Y51" s="26"/>
      <c r="Z51" s="26"/>
    </row>
    <row r="52" spans="1:40">
      <c r="A52" s="415"/>
      <c r="B52" s="2" t="s">
        <v>20</v>
      </c>
      <c r="C52" s="7" t="s">
        <v>88</v>
      </c>
      <c r="D52" s="54">
        <v>1.01</v>
      </c>
      <c r="E52" s="11">
        <f>E9/Production!E9</f>
        <v>0.66809561413404528</v>
      </c>
      <c r="F52" s="11">
        <f>F9/Production!F9</f>
        <v>0.70494807574832008</v>
      </c>
      <c r="G52" s="11">
        <f>G9/Production!G9</f>
        <v>0.29662423907028224</v>
      </c>
      <c r="H52" s="11">
        <f>H9/Production!H9</f>
        <v>0</v>
      </c>
      <c r="I52" s="11" t="e">
        <f>I9/Production!I9</f>
        <v>#DIV/0!</v>
      </c>
      <c r="J52" s="11" t="e">
        <f>J9/Production!J9</f>
        <v>#DIV/0!</v>
      </c>
      <c r="K52" s="11" t="e">
        <f>K9/Production!K9</f>
        <v>#DIV/0!</v>
      </c>
      <c r="L52" s="11" t="e">
        <f>L9/Production!L9</f>
        <v>#DIV/0!</v>
      </c>
      <c r="M52" s="11" t="e">
        <f>M9/Production!M9</f>
        <v>#DIV/0!</v>
      </c>
      <c r="N52" s="11" t="e">
        <f>N9/Production!N9</f>
        <v>#DIV/0!</v>
      </c>
      <c r="O52" s="11" t="e">
        <f>O9/Production!O9</f>
        <v>#DIV/0!</v>
      </c>
      <c r="P52" s="11" t="e">
        <f>P9/Production!P9</f>
        <v>#DIV/0!</v>
      </c>
      <c r="Q52" s="11">
        <f>Q9/Production!Q9</f>
        <v>0.43049181659424113</v>
      </c>
      <c r="R52" s="26"/>
      <c r="S52" s="26"/>
      <c r="T52" s="26"/>
      <c r="U52" s="26"/>
      <c r="V52" s="26"/>
      <c r="W52" s="26"/>
      <c r="X52" s="26"/>
      <c r="Y52" s="26"/>
      <c r="Z52" s="26"/>
    </row>
    <row r="53" spans="1:40">
      <c r="A53" s="415"/>
      <c r="B53" s="2" t="s">
        <v>21</v>
      </c>
      <c r="C53" s="7" t="s">
        <v>88</v>
      </c>
      <c r="D53" s="54">
        <v>0.1</v>
      </c>
      <c r="E53" s="11">
        <f>E11/Production!E10</f>
        <v>0</v>
      </c>
      <c r="F53" s="11">
        <f>F11/Production!F10</f>
        <v>0</v>
      </c>
      <c r="G53" s="11">
        <f>G11/Production!G10</f>
        <v>0</v>
      </c>
      <c r="H53" s="11">
        <f>H11/Production!H10</f>
        <v>0</v>
      </c>
      <c r="I53" s="11" t="e">
        <f>I11/Production!I10</f>
        <v>#DIV/0!</v>
      </c>
      <c r="J53" s="11" t="e">
        <f>J11/Production!J10</f>
        <v>#DIV/0!</v>
      </c>
      <c r="K53" s="11" t="e">
        <f>K11/Production!K10</f>
        <v>#DIV/0!</v>
      </c>
      <c r="L53" s="11" t="e">
        <f>L11/Production!L10</f>
        <v>#DIV/0!</v>
      </c>
      <c r="M53" s="11" t="e">
        <f>M11/Production!M10</f>
        <v>#DIV/0!</v>
      </c>
      <c r="N53" s="11" t="e">
        <f>N11/Production!N10</f>
        <v>#DIV/0!</v>
      </c>
      <c r="O53" s="11" t="e">
        <f>O11/Production!O10</f>
        <v>#DIV/0!</v>
      </c>
      <c r="P53" s="11" t="e">
        <f>P11/Production!P10</f>
        <v>#DIV/0!</v>
      </c>
      <c r="Q53" s="11">
        <f>Q11/Production!Q10</f>
        <v>0</v>
      </c>
      <c r="R53" s="26"/>
      <c r="S53" s="26"/>
      <c r="T53" s="26"/>
      <c r="U53" s="26"/>
      <c r="V53" s="26"/>
      <c r="W53" s="26"/>
      <c r="X53" s="26"/>
      <c r="Y53" s="26"/>
      <c r="Z53" s="26"/>
    </row>
    <row r="54" spans="1:40">
      <c r="A54" s="415"/>
      <c r="B54" s="2" t="s">
        <v>22</v>
      </c>
      <c r="C54" s="7" t="s">
        <v>88</v>
      </c>
      <c r="D54" s="137">
        <v>305.26</v>
      </c>
      <c r="E54" s="11">
        <f>E12/Production!E11</f>
        <v>195.9739959338211</v>
      </c>
      <c r="F54" s="11">
        <f>F12/Production!F11</f>
        <v>17.618796850721331</v>
      </c>
      <c r="G54" s="11">
        <f>G12/Production!G11</f>
        <v>280.11879207727583</v>
      </c>
      <c r="H54" s="11">
        <f>H12/Production!H11</f>
        <v>124.18144324565429</v>
      </c>
      <c r="I54" s="11" t="e">
        <f>I12/Production!I11</f>
        <v>#DIV/0!</v>
      </c>
      <c r="J54" s="11" t="e">
        <f>J12/Production!J11</f>
        <v>#DIV/0!</v>
      </c>
      <c r="K54" s="11" t="e">
        <f>K12/Production!K11</f>
        <v>#DIV/0!</v>
      </c>
      <c r="L54" s="11" t="e">
        <f>L12/Production!L11</f>
        <v>#DIV/0!</v>
      </c>
      <c r="M54" s="11" t="e">
        <f>M12/Production!M11</f>
        <v>#DIV/0!</v>
      </c>
      <c r="N54" s="11" t="e">
        <f>N12/Production!N11</f>
        <v>#DIV/0!</v>
      </c>
      <c r="O54" s="11" t="e">
        <f>O12/Production!O11</f>
        <v>#DIV/0!</v>
      </c>
      <c r="P54" s="11" t="e">
        <f>P12/Production!P11</f>
        <v>#DIV/0!</v>
      </c>
      <c r="Q54" s="11">
        <f>Q12/Production!Q11</f>
        <v>157.12060203652169</v>
      </c>
      <c r="R54" s="26"/>
      <c r="S54" s="26"/>
      <c r="T54" s="26"/>
      <c r="U54" s="26"/>
      <c r="V54" s="26"/>
      <c r="W54" s="26"/>
      <c r="X54" s="26"/>
      <c r="Y54" s="26"/>
      <c r="Z54" s="26"/>
    </row>
    <row r="55" spans="1:40">
      <c r="A55" s="415"/>
      <c r="B55" s="245" t="s">
        <v>23</v>
      </c>
      <c r="C55" s="7" t="s">
        <v>88</v>
      </c>
      <c r="D55" s="137">
        <v>21.67</v>
      </c>
      <c r="E55" s="71">
        <f>E13/Production!E12</f>
        <v>2.4042942521389468</v>
      </c>
      <c r="F55" s="339">
        <f>F13/Production!F12</f>
        <v>4.4540910623658121</v>
      </c>
      <c r="G55" s="71">
        <f>G13/Production!G12</f>
        <v>4.0544397098910618</v>
      </c>
      <c r="H55" s="71">
        <f>H13/Production!H12</f>
        <v>3.3374594569185687</v>
      </c>
      <c r="I55" s="71" t="e">
        <f>I13/Production!I12</f>
        <v>#DIV/0!</v>
      </c>
      <c r="J55" s="71" t="e">
        <f>J13/Production!J12</f>
        <v>#DIV/0!</v>
      </c>
      <c r="K55" s="71" t="e">
        <f>K13/Production!K12</f>
        <v>#DIV/0!</v>
      </c>
      <c r="L55" s="71" t="e">
        <f>L13/Production!L12</f>
        <v>#DIV/0!</v>
      </c>
      <c r="M55" s="71" t="e">
        <f>M13/Production!M12</f>
        <v>#DIV/0!</v>
      </c>
      <c r="N55" s="71" t="e">
        <f>N13/Production!N12</f>
        <v>#DIV/0!</v>
      </c>
      <c r="O55" s="71" t="e">
        <f>O13/Production!O12</f>
        <v>#DIV/0!</v>
      </c>
      <c r="P55" s="71" t="e">
        <f>P13/Production!P12</f>
        <v>#DIV/0!</v>
      </c>
      <c r="Q55" s="71">
        <f>Q13/Production!Q12</f>
        <v>3.5191329376714857</v>
      </c>
      <c r="R55" s="26"/>
      <c r="S55" s="26"/>
      <c r="T55" s="26"/>
      <c r="U55" s="26"/>
      <c r="V55" s="26"/>
      <c r="W55" s="26"/>
      <c r="X55" s="26"/>
      <c r="Y55" s="26"/>
      <c r="Z55" s="26"/>
    </row>
    <row r="56" spans="1:40">
      <c r="A56" s="415"/>
      <c r="B56" s="2" t="s">
        <v>58</v>
      </c>
      <c r="C56" s="7" t="s">
        <v>14</v>
      </c>
      <c r="D56" s="33">
        <v>38583.333333333336</v>
      </c>
      <c r="E56" s="11">
        <f>E14</f>
        <v>116559</v>
      </c>
      <c r="F56" s="11">
        <f t="shared" ref="F56:Q56" si="47">F14</f>
        <v>17700</v>
      </c>
      <c r="G56" s="11">
        <f t="shared" si="47"/>
        <v>650</v>
      </c>
      <c r="H56" s="11">
        <f t="shared" si="47"/>
        <v>650</v>
      </c>
      <c r="I56" s="11">
        <f t="shared" si="47"/>
        <v>0</v>
      </c>
      <c r="J56" s="11">
        <f t="shared" si="47"/>
        <v>0</v>
      </c>
      <c r="K56" s="11">
        <f t="shared" si="47"/>
        <v>0</v>
      </c>
      <c r="L56" s="11">
        <f t="shared" si="47"/>
        <v>0</v>
      </c>
      <c r="M56" s="11">
        <f t="shared" si="47"/>
        <v>0</v>
      </c>
      <c r="N56" s="11">
        <f t="shared" si="47"/>
        <v>0</v>
      </c>
      <c r="O56" s="11">
        <f t="shared" si="47"/>
        <v>0</v>
      </c>
      <c r="P56" s="11">
        <f t="shared" si="47"/>
        <v>0</v>
      </c>
      <c r="Q56" s="11">
        <f t="shared" si="47"/>
        <v>135559</v>
      </c>
      <c r="R56" s="26"/>
      <c r="S56" s="26"/>
      <c r="T56" s="26"/>
      <c r="U56" s="26"/>
      <c r="V56" s="26"/>
      <c r="W56" s="26"/>
      <c r="X56" s="26"/>
      <c r="Y56" s="26"/>
      <c r="Z56" s="26"/>
      <c r="AA56" s="50">
        <f>463/12</f>
        <v>38.583333333333336</v>
      </c>
    </row>
    <row r="57" spans="1:40">
      <c r="A57" s="415"/>
      <c r="B57" s="7" t="s">
        <v>24</v>
      </c>
      <c r="C57" s="7" t="s">
        <v>88</v>
      </c>
      <c r="D57" s="54">
        <v>4.78</v>
      </c>
      <c r="E57" s="11">
        <f>E16/Production!E13</f>
        <v>0.80242134426353939</v>
      </c>
      <c r="F57" s="11">
        <f>F16/Production!F13</f>
        <v>4.5799669265296483</v>
      </c>
      <c r="G57" s="11">
        <f>G16/Production!G13</f>
        <v>4.6066584463625153</v>
      </c>
      <c r="H57" s="11">
        <f>H16/Production!H13</f>
        <v>9.7175733097732344</v>
      </c>
      <c r="I57" s="11" t="e">
        <f>I16/Production!I13</f>
        <v>#DIV/0!</v>
      </c>
      <c r="J57" s="11" t="e">
        <f>J16/Production!J13</f>
        <v>#DIV/0!</v>
      </c>
      <c r="K57" s="11" t="e">
        <f>K16/Production!K13</f>
        <v>#DIV/0!</v>
      </c>
      <c r="L57" s="11" t="e">
        <f>L16/Production!L13</f>
        <v>#DIV/0!</v>
      </c>
      <c r="M57" s="11" t="e">
        <f>M16/Production!M13</f>
        <v>#DIV/0!</v>
      </c>
      <c r="N57" s="11" t="e">
        <f>N16/Production!N13</f>
        <v>#DIV/0!</v>
      </c>
      <c r="O57" s="11" t="e">
        <f>O16/Production!O13</f>
        <v>#DIV/0!</v>
      </c>
      <c r="P57" s="11" t="e">
        <f>P16/Production!P13</f>
        <v>#DIV/0!</v>
      </c>
      <c r="Q57" s="11">
        <f>Q16/Production!Q13</f>
        <v>4.8126314524367526</v>
      </c>
      <c r="R57" s="11"/>
      <c r="S57" s="11"/>
      <c r="T57" s="11"/>
      <c r="U57" s="11"/>
      <c r="V57" s="11"/>
      <c r="W57" s="11"/>
      <c r="X57" s="11"/>
      <c r="Y57" s="11"/>
      <c r="Z57" s="11"/>
    </row>
    <row r="58" spans="1:40">
      <c r="A58" s="415"/>
      <c r="B58" s="7" t="s">
        <v>25</v>
      </c>
      <c r="C58" s="7" t="s">
        <v>88</v>
      </c>
      <c r="D58" s="54">
        <v>1.1000000000000001</v>
      </c>
      <c r="E58" s="11">
        <f>E17/Production!E14</f>
        <v>0.5940852773834534</v>
      </c>
      <c r="F58" s="11">
        <f>F17/Production!F14</f>
        <v>0.88610685463191208</v>
      </c>
      <c r="G58" s="11">
        <f>G17/Production!G14</f>
        <v>0.77560726065661323</v>
      </c>
      <c r="H58" s="11">
        <f>H17/Production!H14</f>
        <v>0.58220830184527095</v>
      </c>
      <c r="I58" s="11" t="e">
        <f>I17/Production!I14</f>
        <v>#DIV/0!</v>
      </c>
      <c r="J58" s="11" t="e">
        <f>J17/Production!J14</f>
        <v>#DIV/0!</v>
      </c>
      <c r="K58" s="11" t="e">
        <f>K17/Production!K14</f>
        <v>#DIV/0!</v>
      </c>
      <c r="L58" s="11" t="e">
        <f>L17/Production!L14</f>
        <v>#DIV/0!</v>
      </c>
      <c r="M58" s="11" t="e">
        <f>M17/Production!M14</f>
        <v>#DIV/0!</v>
      </c>
      <c r="N58" s="11" t="e">
        <f>N17/Production!N14</f>
        <v>#DIV/0!</v>
      </c>
      <c r="O58" s="11" t="e">
        <f>O17/Production!O14</f>
        <v>#DIV/0!</v>
      </c>
      <c r="P58" s="11" t="e">
        <f>P17/Production!P14</f>
        <v>#DIV/0!</v>
      </c>
      <c r="Q58" s="11">
        <f>Q17/Production!Q14</f>
        <v>0.71087102811786496</v>
      </c>
      <c r="R58" s="11"/>
      <c r="S58" s="11"/>
      <c r="T58" s="11"/>
      <c r="U58" s="11"/>
      <c r="V58" s="11"/>
      <c r="W58" s="11"/>
      <c r="X58" s="11"/>
      <c r="Y58" s="11"/>
      <c r="Z58" s="11"/>
    </row>
    <row r="59" spans="1:40">
      <c r="A59" s="415"/>
      <c r="B59" s="7" t="s">
        <v>26</v>
      </c>
      <c r="C59" s="7" t="s">
        <v>88</v>
      </c>
      <c r="D59" s="54">
        <v>0.39</v>
      </c>
      <c r="E59" s="11">
        <f>E18/Production!E15</f>
        <v>0.34345471011397227</v>
      </c>
      <c r="F59" s="11">
        <f>F18/Production!F15</f>
        <v>1.2805859438781462</v>
      </c>
      <c r="G59" s="11">
        <f>G18/Production!G15</f>
        <v>7.1009203427483341</v>
      </c>
      <c r="H59" s="11">
        <f>H18/Production!H15</f>
        <v>8.0859332829536879</v>
      </c>
      <c r="I59" s="11" t="e">
        <f>I18/Production!I15</f>
        <v>#DIV/0!</v>
      </c>
      <c r="J59" s="11" t="e">
        <f>J18/Production!J15</f>
        <v>#DIV/0!</v>
      </c>
      <c r="K59" s="11" t="e">
        <f>K18/Production!K15</f>
        <v>#DIV/0!</v>
      </c>
      <c r="L59" s="11" t="e">
        <f>L18/Production!L15</f>
        <v>#DIV/0!</v>
      </c>
      <c r="M59" s="11" t="e">
        <f>M18/Production!M15</f>
        <v>#DIV/0!</v>
      </c>
      <c r="N59" s="11" t="e">
        <f>N18/Production!N15</f>
        <v>#DIV/0!</v>
      </c>
      <c r="O59" s="11" t="e">
        <f>O18/Production!O15</f>
        <v>#DIV/0!</v>
      </c>
      <c r="P59" s="11" t="e">
        <f>P18/Production!P15</f>
        <v>#DIV/0!</v>
      </c>
      <c r="Q59" s="11">
        <f>Q18/Production!Q15</f>
        <v>4.8172032869218704</v>
      </c>
      <c r="R59" s="11"/>
      <c r="S59" s="11"/>
      <c r="T59" s="11"/>
      <c r="U59" s="11"/>
      <c r="V59" s="11"/>
      <c r="W59" s="11"/>
      <c r="X59" s="11"/>
      <c r="Y59" s="11"/>
      <c r="Z59" s="11"/>
    </row>
    <row r="60" spans="1:40">
      <c r="A60" s="415"/>
      <c r="B60" s="7" t="s">
        <v>27</v>
      </c>
      <c r="C60" s="7" t="s">
        <v>88</v>
      </c>
      <c r="D60" s="54">
        <v>8.92</v>
      </c>
      <c r="E60" s="11">
        <f>E19/Production!E16</f>
        <v>8.0373912170783814</v>
      </c>
      <c r="F60" s="11">
        <f>F19/Production!F16</f>
        <v>8.2348586434238467</v>
      </c>
      <c r="G60" s="11">
        <f>G19/Production!G16</f>
        <v>12.647388358320439</v>
      </c>
      <c r="H60" s="11">
        <f>H19/Production!H16</f>
        <v>4.9319921893348182</v>
      </c>
      <c r="I60" s="11" t="e">
        <f>I19/Production!I16</f>
        <v>#DIV/0!</v>
      </c>
      <c r="J60" s="11" t="e">
        <f>J19/Production!J16</f>
        <v>#DIV/0!</v>
      </c>
      <c r="K60" s="11" t="e">
        <f>K19/Production!K16</f>
        <v>#DIV/0!</v>
      </c>
      <c r="L60" s="11" t="e">
        <f>L19/Production!L16</f>
        <v>#DIV/0!</v>
      </c>
      <c r="M60" s="11" t="e">
        <f>M19/Production!M16</f>
        <v>#DIV/0!</v>
      </c>
      <c r="N60" s="11" t="e">
        <f>N19/Production!N16</f>
        <v>#DIV/0!</v>
      </c>
      <c r="O60" s="11" t="e">
        <f>O19/Production!O16</f>
        <v>#DIV/0!</v>
      </c>
      <c r="P60" s="11" t="e">
        <f>P19/Production!P16</f>
        <v>#DIV/0!</v>
      </c>
      <c r="Q60" s="11">
        <f>Q19/Production!Q16</f>
        <v>8.4787665498157825</v>
      </c>
      <c r="R60" s="11"/>
      <c r="S60" s="11"/>
      <c r="T60" s="11"/>
      <c r="U60" s="11"/>
      <c r="V60" s="11"/>
      <c r="W60" s="11"/>
      <c r="X60" s="11"/>
      <c r="Y60" s="11"/>
      <c r="Z60" s="11"/>
    </row>
    <row r="61" spans="1:40">
      <c r="A61" s="415"/>
      <c r="B61" s="7" t="s">
        <v>59</v>
      </c>
      <c r="C61" s="7" t="s">
        <v>14</v>
      </c>
      <c r="D61" s="33">
        <v>5000</v>
      </c>
      <c r="E61" s="11">
        <f>E20</f>
        <v>800</v>
      </c>
      <c r="F61" s="11">
        <f t="shared" ref="F61:Q61" si="48">F20</f>
        <v>340</v>
      </c>
      <c r="G61" s="11">
        <f t="shared" si="48"/>
        <v>250</v>
      </c>
      <c r="H61" s="11">
        <f t="shared" si="48"/>
        <v>2290</v>
      </c>
      <c r="I61" s="11">
        <f t="shared" si="48"/>
        <v>0</v>
      </c>
      <c r="J61" s="11">
        <f t="shared" si="48"/>
        <v>0</v>
      </c>
      <c r="K61" s="11">
        <f t="shared" si="48"/>
        <v>0</v>
      </c>
      <c r="L61" s="11">
        <f t="shared" si="48"/>
        <v>0</v>
      </c>
      <c r="M61" s="11">
        <f t="shared" si="48"/>
        <v>0</v>
      </c>
      <c r="N61" s="11">
        <f t="shared" si="48"/>
        <v>0</v>
      </c>
      <c r="O61" s="11">
        <f t="shared" si="48"/>
        <v>0</v>
      </c>
      <c r="P61" s="11">
        <f t="shared" si="48"/>
        <v>0</v>
      </c>
      <c r="Q61" s="11">
        <f t="shared" si="48"/>
        <v>3680</v>
      </c>
      <c r="R61" s="26"/>
      <c r="S61" s="26"/>
      <c r="T61" s="26"/>
      <c r="U61" s="26"/>
      <c r="V61" s="26"/>
      <c r="W61" s="26"/>
      <c r="X61" s="26"/>
      <c r="Y61" s="26"/>
      <c r="Z61" s="26"/>
      <c r="AA61" s="50">
        <f>60/12</f>
        <v>5</v>
      </c>
    </row>
    <row r="62" spans="1:40">
      <c r="A62" s="425" t="s">
        <v>28</v>
      </c>
      <c r="B62" s="2" t="s">
        <v>29</v>
      </c>
      <c r="C62" s="7" t="s">
        <v>88</v>
      </c>
      <c r="D62" s="54">
        <v>2.2999999999999998</v>
      </c>
      <c r="E62" s="11">
        <f>E21/Production!E17</f>
        <v>2.2162968438560133</v>
      </c>
      <c r="F62" s="11">
        <f>F21/Production!F17</f>
        <v>2.2250543519004422</v>
      </c>
      <c r="G62" s="11">
        <f>G21/Production!G17</f>
        <v>1.2814428096820123</v>
      </c>
      <c r="H62" s="11">
        <f>H21/Production!H17</f>
        <v>1.1205004902189646</v>
      </c>
      <c r="I62" s="11" t="e">
        <f>I21/Production!I17</f>
        <v>#DIV/0!</v>
      </c>
      <c r="J62" s="11" t="e">
        <f>J21/Production!J17</f>
        <v>#DIV/0!</v>
      </c>
      <c r="K62" s="11" t="e">
        <f>K21/Production!K17</f>
        <v>#DIV/0!</v>
      </c>
      <c r="L62" s="11" t="e">
        <f>L21/Production!L17</f>
        <v>#DIV/0!</v>
      </c>
      <c r="M62" s="11" t="e">
        <f>M21/Production!M17</f>
        <v>#DIV/0!</v>
      </c>
      <c r="N62" s="11" t="e">
        <f>N21/Production!N17</f>
        <v>#DIV/0!</v>
      </c>
      <c r="O62" s="11" t="e">
        <f>O21/Production!O17</f>
        <v>#DIV/0!</v>
      </c>
      <c r="P62" s="11" t="e">
        <f>P21/Production!P17</f>
        <v>#DIV/0!</v>
      </c>
      <c r="Q62" s="11">
        <f>Q21/Production!Q17</f>
        <v>1.6733804441220961</v>
      </c>
      <c r="R62" s="11"/>
      <c r="S62" s="11"/>
      <c r="T62" s="11"/>
      <c r="U62" s="11"/>
      <c r="V62" s="11"/>
      <c r="W62" s="11"/>
      <c r="X62" s="11"/>
      <c r="Y62" s="11"/>
      <c r="Z62" s="11"/>
    </row>
    <row r="63" spans="1:40">
      <c r="A63" s="426"/>
      <c r="B63" s="2" t="s">
        <v>30</v>
      </c>
      <c r="C63" s="7" t="s">
        <v>88</v>
      </c>
      <c r="D63" s="54">
        <v>38.35</v>
      </c>
      <c r="E63" s="11">
        <f>E22/Production!E18</f>
        <v>34.307512025130066</v>
      </c>
      <c r="F63" s="11">
        <f>F22/Production!F18</f>
        <v>31.826740828214465</v>
      </c>
      <c r="G63" s="11">
        <f>G22/Production!G18</f>
        <v>27.696135945871955</v>
      </c>
      <c r="H63" s="11" t="e">
        <f>H22/Production!H18</f>
        <v>#DIV/0!</v>
      </c>
      <c r="I63" s="11" t="e">
        <f>I22/Production!I18</f>
        <v>#DIV/0!</v>
      </c>
      <c r="J63" s="11" t="e">
        <f>J22/Production!J18</f>
        <v>#DIV/0!</v>
      </c>
      <c r="K63" s="11" t="e">
        <f>K22/Production!K18</f>
        <v>#DIV/0!</v>
      </c>
      <c r="L63" s="11" t="e">
        <f>L22/Production!L18</f>
        <v>#DIV/0!</v>
      </c>
      <c r="M63" s="11" t="e">
        <f>M22/Production!M18</f>
        <v>#DIV/0!</v>
      </c>
      <c r="N63" s="11" t="e">
        <f>N22/Production!N18</f>
        <v>#DIV/0!</v>
      </c>
      <c r="O63" s="11" t="e">
        <f>O22/Production!O18</f>
        <v>#DIV/0!</v>
      </c>
      <c r="P63" s="11" t="e">
        <f>P22/Production!P18</f>
        <v>#DIV/0!</v>
      </c>
      <c r="Q63" s="11">
        <f>Q22/Production!Q18</f>
        <v>31.052556204158947</v>
      </c>
      <c r="R63" s="11"/>
      <c r="S63" s="11"/>
      <c r="T63" s="11"/>
      <c r="U63" s="11"/>
      <c r="V63" s="11"/>
      <c r="W63" s="11"/>
      <c r="X63" s="11"/>
      <c r="Y63" s="11"/>
      <c r="Z63" s="11"/>
    </row>
    <row r="64" spans="1:40">
      <c r="A64" s="426"/>
      <c r="B64" s="2" t="s">
        <v>31</v>
      </c>
      <c r="C64" s="7" t="s">
        <v>88</v>
      </c>
      <c r="D64" s="54">
        <v>0.15</v>
      </c>
      <c r="E64" s="11">
        <f>E23/Production!E19</f>
        <v>0.10146270404643477</v>
      </c>
      <c r="F64" s="11">
        <f>F23/Production!F19</f>
        <v>0</v>
      </c>
      <c r="G64" s="11">
        <f>G23/Production!G19</f>
        <v>0.3595165746436168</v>
      </c>
      <c r="H64" s="11">
        <f>H23/Production!H19</f>
        <v>0</v>
      </c>
      <c r="I64" s="11" t="e">
        <f>I23/Production!I19</f>
        <v>#DIV/0!</v>
      </c>
      <c r="J64" s="11" t="e">
        <f>J23/Production!J19</f>
        <v>#DIV/0!</v>
      </c>
      <c r="K64" s="11" t="e">
        <f>K23/Production!K19</f>
        <v>#DIV/0!</v>
      </c>
      <c r="L64" s="11" t="e">
        <f>L23/Production!L19</f>
        <v>#DIV/0!</v>
      </c>
      <c r="M64" s="11" t="e">
        <f>M23/Production!M19</f>
        <v>#DIV/0!</v>
      </c>
      <c r="N64" s="11" t="e">
        <f>N23/Production!N19</f>
        <v>#DIV/0!</v>
      </c>
      <c r="O64" s="11" t="e">
        <f>O23/Production!O19</f>
        <v>#DIV/0!</v>
      </c>
      <c r="P64" s="11" t="e">
        <f>P23/Production!P19</f>
        <v>#DIV/0!</v>
      </c>
      <c r="Q64" s="11">
        <f>Q23/Production!Q19</f>
        <v>0.12068693379957508</v>
      </c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426"/>
      <c r="B65" s="2" t="s">
        <v>32</v>
      </c>
      <c r="C65" s="7" t="s">
        <v>88</v>
      </c>
      <c r="D65" s="54">
        <v>2.15</v>
      </c>
      <c r="E65" s="11">
        <f>E24/Production!E20</f>
        <v>1.3097889489871672</v>
      </c>
      <c r="F65" s="11">
        <f>F24/Production!F20</f>
        <v>2.8107370153988236</v>
      </c>
      <c r="G65" s="11">
        <f>G24/Production!G20</f>
        <v>1.9625414463661617</v>
      </c>
      <c r="H65" s="11">
        <f>H24/Production!H20</f>
        <v>1.9861897742260841</v>
      </c>
      <c r="I65" s="11" t="e">
        <f>I24/Production!I20</f>
        <v>#DIV/0!</v>
      </c>
      <c r="J65" s="11" t="e">
        <f>J24/Production!J20</f>
        <v>#DIV/0!</v>
      </c>
      <c r="K65" s="11" t="e">
        <f>K24/Production!K20</f>
        <v>#DIV/0!</v>
      </c>
      <c r="L65" s="11" t="e">
        <f>L24/Production!L20</f>
        <v>#DIV/0!</v>
      </c>
      <c r="M65" s="11" t="e">
        <f>M24/Production!M20</f>
        <v>#DIV/0!</v>
      </c>
      <c r="N65" s="11" t="e">
        <f>N24/Production!N20</f>
        <v>#DIV/0!</v>
      </c>
      <c r="O65" s="11" t="e">
        <f>O24/Production!O20</f>
        <v>#DIV/0!</v>
      </c>
      <c r="P65" s="11" t="e">
        <f>P24/Production!P20</f>
        <v>#DIV/0!</v>
      </c>
      <c r="Q65" s="11">
        <f>Q24/Production!Q20</f>
        <v>1.8952935435179823</v>
      </c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426"/>
      <c r="B66" s="2" t="s">
        <v>33</v>
      </c>
      <c r="C66" s="7" t="s">
        <v>88</v>
      </c>
      <c r="D66" s="247">
        <v>0.61</v>
      </c>
      <c r="E66" s="11">
        <f>E25/Production!E21</f>
        <v>0.50313902849444037</v>
      </c>
      <c r="F66" s="11">
        <f>F25/Production!F21</f>
        <v>0.61298076923076927</v>
      </c>
      <c r="G66" s="11">
        <f>G25/Production!G21</f>
        <v>0.32549586393162672</v>
      </c>
      <c r="H66" s="11" t="e">
        <f>H25/Production!H21</f>
        <v>#DIV/0!</v>
      </c>
      <c r="I66" s="11" t="e">
        <f>I25/Production!I21</f>
        <v>#DIV/0!</v>
      </c>
      <c r="J66" s="11" t="e">
        <f>J25/Production!J21</f>
        <v>#DIV/0!</v>
      </c>
      <c r="K66" s="11" t="e">
        <f>K25/Production!K21</f>
        <v>#DIV/0!</v>
      </c>
      <c r="L66" s="11" t="e">
        <f>L25/Production!L21</f>
        <v>#DIV/0!</v>
      </c>
      <c r="M66" s="11" t="e">
        <f>M25/Production!M21</f>
        <v>#DIV/0!</v>
      </c>
      <c r="N66" s="11" t="e">
        <f>N25/Production!N21</f>
        <v>#DIV/0!</v>
      </c>
      <c r="O66" s="11" t="e">
        <f>O25/Production!O21</f>
        <v>#DIV/0!</v>
      </c>
      <c r="P66" s="11" t="e">
        <f>P25/Production!P21</f>
        <v>#DIV/0!</v>
      </c>
      <c r="Q66" s="11">
        <f>Q25/Production!Q21</f>
        <v>0.42795526375810505</v>
      </c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426"/>
      <c r="B67" s="2" t="s">
        <v>34</v>
      </c>
      <c r="C67" s="7" t="s">
        <v>88</v>
      </c>
      <c r="D67" s="247">
        <v>0.84</v>
      </c>
      <c r="E67" s="11">
        <f>E26/Production!E22</f>
        <v>0.33247653106839514</v>
      </c>
      <c r="F67" s="11">
        <f>F26/Production!F22</f>
        <v>2.5577135690830186</v>
      </c>
      <c r="G67" s="11">
        <f>G26/Production!G22</f>
        <v>0.2309677548930017</v>
      </c>
      <c r="H67" s="11">
        <f>H26/Production!H22</f>
        <v>1.132007800766627</v>
      </c>
      <c r="I67" s="11" t="e">
        <f>I26/Production!I22</f>
        <v>#DIV/0!</v>
      </c>
      <c r="J67" s="11" t="e">
        <f>J26/Production!J22</f>
        <v>#DIV/0!</v>
      </c>
      <c r="K67" s="11" t="e">
        <f>K26/Production!K22</f>
        <v>#DIV/0!</v>
      </c>
      <c r="L67" s="11" t="e">
        <f>L26/Production!L22</f>
        <v>#DIV/0!</v>
      </c>
      <c r="M67" s="11" t="e">
        <f>M26/Production!M22</f>
        <v>#DIV/0!</v>
      </c>
      <c r="N67" s="11" t="e">
        <f>N26/Production!N22</f>
        <v>#DIV/0!</v>
      </c>
      <c r="O67" s="11" t="e">
        <f>O26/Production!O22</f>
        <v>#DIV/0!</v>
      </c>
      <c r="P67" s="11" t="e">
        <f>P26/Production!P22</f>
        <v>#DIV/0!</v>
      </c>
      <c r="Q67" s="11">
        <f>Q26/Production!Q22</f>
        <v>0.94333744563659694</v>
      </c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426"/>
      <c r="B68" s="2" t="s">
        <v>35</v>
      </c>
      <c r="C68" s="7" t="s">
        <v>88</v>
      </c>
      <c r="D68" s="246">
        <v>0.99</v>
      </c>
      <c r="E68" s="11">
        <f>E27/Production!E23</f>
        <v>0.62407169335613277</v>
      </c>
      <c r="F68" s="11">
        <f>F27/Production!F23</f>
        <v>0.65260233256873323</v>
      </c>
      <c r="G68" s="11">
        <f>G27/Production!G23</f>
        <v>0.51996017765306068</v>
      </c>
      <c r="H68" s="11">
        <f>H27/Production!H23</f>
        <v>0.47374807960163318</v>
      </c>
      <c r="I68" s="11" t="e">
        <f>I27/Production!I23</f>
        <v>#DIV/0!</v>
      </c>
      <c r="J68" s="11" t="e">
        <f>J27/Production!J23</f>
        <v>#DIV/0!</v>
      </c>
      <c r="K68" s="11" t="e">
        <f>K27/Production!K23</f>
        <v>#DIV/0!</v>
      </c>
      <c r="L68" s="11" t="e">
        <f>L27/Production!L23</f>
        <v>#DIV/0!</v>
      </c>
      <c r="M68" s="11" t="e">
        <f>M27/Production!M23</f>
        <v>#DIV/0!</v>
      </c>
      <c r="N68" s="11" t="e">
        <f>N27/Production!N23</f>
        <v>#DIV/0!</v>
      </c>
      <c r="O68" s="11" t="e">
        <f>O27/Production!O23</f>
        <v>#DIV/0!</v>
      </c>
      <c r="P68" s="11" t="e">
        <f>P27/Production!P23</f>
        <v>#DIV/0!</v>
      </c>
      <c r="Q68" s="11">
        <f>Q27/Production!Q23</f>
        <v>0.55545755269192809</v>
      </c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426"/>
      <c r="B69" s="2" t="s">
        <v>36</v>
      </c>
      <c r="C69" s="7" t="s">
        <v>88</v>
      </c>
      <c r="D69" s="246">
        <v>0.18</v>
      </c>
      <c r="E69" s="11">
        <f>E28/Production!E24</f>
        <v>0.18181818181818182</v>
      </c>
      <c r="F69" s="11">
        <f>F28/Production!F24</f>
        <v>0.22358554873892297</v>
      </c>
      <c r="G69" s="11">
        <f>G28/Production!G24</f>
        <v>0.24973050664750268</v>
      </c>
      <c r="H69" s="11">
        <f>H28/Production!H24</f>
        <v>0.24390243902439024</v>
      </c>
      <c r="I69" s="11" t="e">
        <f>I28/Production!I24</f>
        <v>#DIV/0!</v>
      </c>
      <c r="J69" s="11" t="e">
        <f>J28/Production!J24</f>
        <v>#DIV/0!</v>
      </c>
      <c r="K69" s="11" t="e">
        <f>K28/Production!K24</f>
        <v>#DIV/0!</v>
      </c>
      <c r="L69" s="11" t="e">
        <f>L28/Production!L24</f>
        <v>#DIV/0!</v>
      </c>
      <c r="M69" s="11" t="e">
        <f>M28/Production!M24</f>
        <v>#DIV/0!</v>
      </c>
      <c r="N69" s="11" t="e">
        <f>N28/Production!N24</f>
        <v>#DIV/0!</v>
      </c>
      <c r="O69" s="11" t="e">
        <f>O28/Production!O24</f>
        <v>#DIV/0!</v>
      </c>
      <c r="P69" s="11" t="e">
        <f>P28/Production!P24</f>
        <v>#DIV/0!</v>
      </c>
      <c r="Q69" s="11">
        <f>Q28/Production!Q24</f>
        <v>0.22189192058604948</v>
      </c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426"/>
      <c r="B70" s="2" t="s">
        <v>37</v>
      </c>
      <c r="C70" s="7" t="s">
        <v>88</v>
      </c>
      <c r="D70" s="137">
        <v>0.25</v>
      </c>
      <c r="E70" s="11">
        <f>E29/Production!E25</f>
        <v>8.2170574060064505E-2</v>
      </c>
      <c r="F70" s="11">
        <f>F29/Production!F25</f>
        <v>2.6873930361584256E-2</v>
      </c>
      <c r="G70" s="11">
        <f>G29/Production!G25</f>
        <v>3.5479802235582336E-2</v>
      </c>
      <c r="H70" s="11">
        <f>H29/Production!H25</f>
        <v>7.8732830874721757E-2</v>
      </c>
      <c r="I70" s="11" t="e">
        <f>I29/Production!I25</f>
        <v>#DIV/0!</v>
      </c>
      <c r="J70" s="11" t="e">
        <f>J29/Production!J25</f>
        <v>#DIV/0!</v>
      </c>
      <c r="K70" s="11" t="e">
        <f>K29/Production!K25</f>
        <v>#DIV/0!</v>
      </c>
      <c r="L70" s="11" t="e">
        <f>L29/Production!L25</f>
        <v>#DIV/0!</v>
      </c>
      <c r="M70" s="11" t="e">
        <f>M29/Production!M25</f>
        <v>#DIV/0!</v>
      </c>
      <c r="N70" s="11" t="e">
        <f>N29/Production!N25</f>
        <v>#DIV/0!</v>
      </c>
      <c r="O70" s="11" t="e">
        <f>O29/Production!O25</f>
        <v>#DIV/0!</v>
      </c>
      <c r="P70" s="11" t="e">
        <f>P29/Production!P25</f>
        <v>#DIV/0!</v>
      </c>
      <c r="Q70" s="11">
        <f>Q29/Production!Q25</f>
        <v>5.5144458094085212E-2</v>
      </c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426"/>
      <c r="B71" s="2" t="s">
        <v>38</v>
      </c>
      <c r="C71" s="7" t="s">
        <v>88</v>
      </c>
      <c r="D71" s="208" t="s">
        <v>64</v>
      </c>
      <c r="E71" s="11">
        <f>E30/Production!E26</f>
        <v>0.14764479155550653</v>
      </c>
      <c r="F71" s="11">
        <f>F30/Production!F26</f>
        <v>8.8499957921480438E-2</v>
      </c>
      <c r="G71" s="11">
        <f>G30/Production!G26</f>
        <v>1.8610253078094809E-2</v>
      </c>
      <c r="H71" s="11">
        <f>H30/Production!H26</f>
        <v>0</v>
      </c>
      <c r="I71" s="11" t="e">
        <f>I30/Production!I26</f>
        <v>#DIV/0!</v>
      </c>
      <c r="J71" s="11" t="e">
        <f>J30/Production!J26</f>
        <v>#DIV/0!</v>
      </c>
      <c r="K71" s="11" t="e">
        <f>K30/Production!K26</f>
        <v>#DIV/0!</v>
      </c>
      <c r="L71" s="11" t="e">
        <f>L30/Production!L26</f>
        <v>#DIV/0!</v>
      </c>
      <c r="M71" s="11" t="e">
        <f>M30/Production!M26</f>
        <v>#DIV/0!</v>
      </c>
      <c r="N71" s="11" t="e">
        <f>N30/Production!N26</f>
        <v>#DIV/0!</v>
      </c>
      <c r="O71" s="11" t="e">
        <f>O30/Production!O26</f>
        <v>#DIV/0!</v>
      </c>
      <c r="P71" s="11" t="e">
        <f>P30/Production!P26</f>
        <v>#DIV/0!</v>
      </c>
      <c r="Q71" s="11">
        <f>Q30/Production!Q26</f>
        <v>5.8872202817561725E-2</v>
      </c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426"/>
      <c r="B72" s="2" t="s">
        <v>39</v>
      </c>
      <c r="C72" s="7" t="s">
        <v>88</v>
      </c>
      <c r="D72" s="208" t="s">
        <v>64</v>
      </c>
      <c r="E72" s="11">
        <f>E31/Production!E27</f>
        <v>0.66270512847971708</v>
      </c>
      <c r="F72" s="11">
        <f>F31/Production!F27</f>
        <v>0.65369817085086168</v>
      </c>
      <c r="G72" s="11">
        <f>G31/Production!G27</f>
        <v>1.4488889891395718</v>
      </c>
      <c r="H72" s="11">
        <f>H31/Production!H27</f>
        <v>1.0509546688793814</v>
      </c>
      <c r="I72" s="11" t="e">
        <f>I31/Production!I27</f>
        <v>#DIV/0!</v>
      </c>
      <c r="J72" s="11" t="e">
        <f>J31/Production!J27</f>
        <v>#DIV/0!</v>
      </c>
      <c r="K72" s="11" t="e">
        <f>K31/Production!K27</f>
        <v>#DIV/0!</v>
      </c>
      <c r="L72" s="11" t="e">
        <f>L31/Production!L27</f>
        <v>#DIV/0!</v>
      </c>
      <c r="M72" s="11" t="e">
        <f>M31/Production!M27</f>
        <v>#DIV/0!</v>
      </c>
      <c r="N72" s="11" t="e">
        <f>N31/Production!N27</f>
        <v>#DIV/0!</v>
      </c>
      <c r="O72" s="11" t="e">
        <f>O31/Production!O27</f>
        <v>#DIV/0!</v>
      </c>
      <c r="P72" s="11" t="e">
        <f>P31/Production!P27</f>
        <v>#DIV/0!</v>
      </c>
      <c r="Q72" s="11">
        <f>Q31/Production!Q27</f>
        <v>0.97819949428449793</v>
      </c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426"/>
      <c r="B73" s="2" t="s">
        <v>40</v>
      </c>
      <c r="C73" s="7" t="s">
        <v>88</v>
      </c>
      <c r="D73" s="246">
        <v>0.74</v>
      </c>
      <c r="E73" s="11">
        <f>E32/Production!E28</f>
        <v>0.35427768005126031</v>
      </c>
      <c r="F73" s="11">
        <f>F32/Production!F28</f>
        <v>0.31451982407639756</v>
      </c>
      <c r="G73" s="11">
        <f>G32/Production!G28</f>
        <v>0.59971092724395691</v>
      </c>
      <c r="H73" s="11">
        <f>H32/Production!H28</f>
        <v>0.35788575972115355</v>
      </c>
      <c r="I73" s="11" t="e">
        <f>I32/Production!I28</f>
        <v>#DIV/0!</v>
      </c>
      <c r="J73" s="11" t="e">
        <f>J32/Production!J28</f>
        <v>#DIV/0!</v>
      </c>
      <c r="K73" s="11" t="e">
        <f>K32/Production!K28</f>
        <v>#DIV/0!</v>
      </c>
      <c r="L73" s="11" t="e">
        <f>L32/Production!L28</f>
        <v>#DIV/0!</v>
      </c>
      <c r="M73" s="11" t="e">
        <f>M32/Production!M28</f>
        <v>#DIV/0!</v>
      </c>
      <c r="N73" s="11" t="e">
        <f>N32/Production!N28</f>
        <v>#DIV/0!</v>
      </c>
      <c r="O73" s="11" t="e">
        <f>O32/Production!O28</f>
        <v>#DIV/0!</v>
      </c>
      <c r="P73" s="11" t="e">
        <f>P32/Production!P28</f>
        <v>#DIV/0!</v>
      </c>
      <c r="Q73" s="11">
        <f>Q32/Production!Q28</f>
        <v>0.41385643356569402</v>
      </c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426"/>
      <c r="B74" s="2" t="s">
        <v>42</v>
      </c>
      <c r="C74" s="7" t="s">
        <v>88</v>
      </c>
      <c r="D74" s="137">
        <v>1.26</v>
      </c>
      <c r="E74" s="11">
        <f>E33/Production!E29</f>
        <v>1.7060347100516463E-2</v>
      </c>
      <c r="F74" s="11">
        <f>F33/Production!F29</f>
        <v>4.1243066009527145E-2</v>
      </c>
      <c r="G74" s="11">
        <f>G33/Production!G29</f>
        <v>1.2612089949425519E-2</v>
      </c>
      <c r="H74" s="11">
        <f>H33/Production!H29</f>
        <v>2.7811769941039049E-2</v>
      </c>
      <c r="I74" s="11" t="e">
        <f>I33/Production!I29</f>
        <v>#DIV/0!</v>
      </c>
      <c r="J74" s="11" t="e">
        <f>J33/Production!J29</f>
        <v>#DIV/0!</v>
      </c>
      <c r="K74" s="11" t="e">
        <f>K33/Production!K29</f>
        <v>#DIV/0!</v>
      </c>
      <c r="L74" s="11" t="e">
        <f>L33/Production!L29</f>
        <v>#DIV/0!</v>
      </c>
      <c r="M74" s="11" t="e">
        <f>M33/Production!M29</f>
        <v>#DIV/0!</v>
      </c>
      <c r="N74" s="11" t="e">
        <f>N33/Production!N29</f>
        <v>#DIV/0!</v>
      </c>
      <c r="O74" s="11" t="e">
        <f>O33/Production!O29</f>
        <v>#DIV/0!</v>
      </c>
      <c r="P74" s="11" t="e">
        <f>P33/Production!P29</f>
        <v>#DIV/0!</v>
      </c>
      <c r="Q74" s="11">
        <f>Q33/Production!Q29</f>
        <v>2.2347347895624738E-2</v>
      </c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72"/>
      <c r="B75" s="2" t="s">
        <v>43</v>
      </c>
      <c r="C75" s="7" t="s">
        <v>88</v>
      </c>
      <c r="D75" s="137">
        <v>2.0499999999999998</v>
      </c>
      <c r="E75" s="11">
        <f>E34/Production!E30</f>
        <v>0.93722557583632782</v>
      </c>
      <c r="F75" s="11">
        <f>F34/Production!F30</f>
        <v>1.8023724621826818</v>
      </c>
      <c r="G75" s="11">
        <f>G34/Production!G30</f>
        <v>0.86354932407379215</v>
      </c>
      <c r="H75" s="11">
        <f>H34/Production!H30</f>
        <v>0.14500051208075582</v>
      </c>
      <c r="I75" s="11" t="e">
        <f>I34/Production!I30</f>
        <v>#DIV/0!</v>
      </c>
      <c r="J75" s="11" t="e">
        <f>J34/Production!J30</f>
        <v>#DIV/0!</v>
      </c>
      <c r="K75" s="11" t="e">
        <f>K34/Production!K30</f>
        <v>#DIV/0!</v>
      </c>
      <c r="L75" s="11" t="e">
        <f>L34/Production!L30</f>
        <v>#DIV/0!</v>
      </c>
      <c r="M75" s="11" t="e">
        <f>M34/Production!M30</f>
        <v>#DIV/0!</v>
      </c>
      <c r="N75" s="11" t="e">
        <f>N34/Production!N30</f>
        <v>#DIV/0!</v>
      </c>
      <c r="O75" s="11" t="e">
        <f>O34/Production!O30</f>
        <v>#DIV/0!</v>
      </c>
      <c r="P75" s="11" t="e">
        <f>P34/Production!P30</f>
        <v>#DIV/0!</v>
      </c>
      <c r="Q75" s="11">
        <f>Q34/Production!Q30</f>
        <v>0.96525522887859827</v>
      </c>
      <c r="R75" s="11"/>
      <c r="S75" s="11"/>
      <c r="T75" s="11"/>
      <c r="U75" s="11"/>
      <c r="V75" s="11"/>
      <c r="W75" s="11"/>
      <c r="X75" s="11"/>
      <c r="Y75" s="11"/>
      <c r="Z75" s="11"/>
    </row>
    <row r="77" spans="1:26" ht="15.5">
      <c r="A77" s="429" t="s">
        <v>44</v>
      </c>
      <c r="B77" s="429"/>
      <c r="C77" s="7" t="s">
        <v>88</v>
      </c>
      <c r="D77" s="32"/>
      <c r="E77" s="132">
        <f>E36/Production!E32</f>
        <v>0.74803315856434383</v>
      </c>
      <c r="F77" s="132">
        <f>F36/Production!F32</f>
        <v>1.0117589426634492</v>
      </c>
      <c r="G77" s="132">
        <f>G36/Production!G32</f>
        <v>0.86194376185881127</v>
      </c>
      <c r="H77" s="132">
        <f>H36/Production!H32</f>
        <v>0.6182054638362281</v>
      </c>
      <c r="I77" s="132" t="e">
        <f>I36/Production!I32</f>
        <v>#DIV/0!</v>
      </c>
      <c r="J77" s="132" t="e">
        <f>J36/Production!J32</f>
        <v>#DIV/0!</v>
      </c>
      <c r="K77" s="132" t="e">
        <f>K36/Production!K32</f>
        <v>#DIV/0!</v>
      </c>
      <c r="L77" s="132" t="e">
        <f>L36/Production!L32</f>
        <v>#DIV/0!</v>
      </c>
      <c r="M77" s="132" t="e">
        <f>M36/Production!M32</f>
        <v>#DIV/0!</v>
      </c>
      <c r="N77" s="132" t="e">
        <f>N36/Production!N32</f>
        <v>#DIV/0!</v>
      </c>
      <c r="O77" s="132" t="e">
        <f>O36/Production!O32</f>
        <v>#DIV/0!</v>
      </c>
      <c r="P77" s="132" t="e">
        <f>P36/Production!P32</f>
        <v>#DIV/0!</v>
      </c>
      <c r="Q77" s="132">
        <f>Q36/Production!Q32</f>
        <v>0.81436409072403682</v>
      </c>
      <c r="R77" s="132">
        <f>R36/Production!R32</f>
        <v>0.86975010949987386</v>
      </c>
      <c r="S77" s="132">
        <f>S36/Production!S32</f>
        <v>0.6182054638362281</v>
      </c>
      <c r="T77" s="132" t="e">
        <f>T36/Production!T32</f>
        <v>#DIV/0!</v>
      </c>
      <c r="U77" s="132" t="e">
        <f>U36/Production!U32</f>
        <v>#DIV/0!</v>
      </c>
      <c r="V77" s="132">
        <f>V36/Production!V32</f>
        <v>0.81436409072403682</v>
      </c>
      <c r="W77" s="132"/>
      <c r="X77" s="132"/>
      <c r="Y77" s="132"/>
      <c r="Z77" s="132" t="e">
        <f>Z36/Production!W32</f>
        <v>#DIV/0!</v>
      </c>
    </row>
    <row r="78" spans="1:26" ht="21.5">
      <c r="A78" s="430" t="s">
        <v>45</v>
      </c>
      <c r="B78" s="430"/>
      <c r="C78" s="327" t="s">
        <v>88</v>
      </c>
      <c r="D78" s="328">
        <v>1.07</v>
      </c>
      <c r="E78" s="329">
        <f>(E37)/Production!E33</f>
        <v>0.73744883825934926</v>
      </c>
      <c r="F78" s="329">
        <f>(F37)/Production!F33</f>
        <v>0.8974623980779638</v>
      </c>
      <c r="G78" s="329">
        <f>(G37)/Production!G33</f>
        <v>0.72949870936908168</v>
      </c>
      <c r="H78" s="329">
        <f>(H37)/Production!H33</f>
        <v>0.31564841340192101</v>
      </c>
      <c r="I78" s="329" t="e">
        <f>(I37)/Production!I33</f>
        <v>#DIV/0!</v>
      </c>
      <c r="J78" s="329" t="e">
        <f>(J37)/Production!J33</f>
        <v>#DIV/0!</v>
      </c>
      <c r="K78" s="329" t="e">
        <f>(K37)/Production!K33</f>
        <v>#DIV/0!</v>
      </c>
      <c r="L78" s="329" t="e">
        <f>(L37)/Production!L33</f>
        <v>#DIV/0!</v>
      </c>
      <c r="M78" s="329" t="e">
        <f>(M37)/Production!M33</f>
        <v>#DIV/0!</v>
      </c>
      <c r="N78" s="329" t="e">
        <f>(N37)/Production!N33</f>
        <v>#DIV/0!</v>
      </c>
      <c r="O78" s="329" t="e">
        <f>(O37)/Production!O33</f>
        <v>#DIV/0!</v>
      </c>
      <c r="P78" s="329" t="e">
        <f>(P37)/Production!P33</f>
        <v>#DIV/0!</v>
      </c>
      <c r="Q78" s="329">
        <f>(Q37)/Production!Q33</f>
        <v>0.68340054504295467</v>
      </c>
      <c r="R78" s="138">
        <f>(R37)/Production!R33</f>
        <v>0.78675049206537451</v>
      </c>
      <c r="S78" s="138">
        <f>(S37)/Production!S33</f>
        <v>0.31564841340192101</v>
      </c>
      <c r="T78" s="138" t="e">
        <f>(T37)/Production!T33</f>
        <v>#DIV/0!</v>
      </c>
      <c r="U78" s="138" t="e">
        <f>(U37)/Production!U33</f>
        <v>#DIV/0!</v>
      </c>
      <c r="V78" s="138">
        <f>(V37)/Production!V33</f>
        <v>0.68340054504295467</v>
      </c>
      <c r="W78" s="138"/>
      <c r="X78" s="138"/>
      <c r="Y78" s="138"/>
      <c r="Z78" s="138" t="e">
        <f>(Z37)/Production!W33</f>
        <v>#DIV/0!</v>
      </c>
    </row>
    <row r="79" spans="1:26">
      <c r="Q79" s="58"/>
    </row>
    <row r="80" spans="1:26" ht="18.5">
      <c r="A80" s="408" t="s">
        <v>46</v>
      </c>
      <c r="B80" s="408"/>
      <c r="C80" s="7" t="s">
        <v>88</v>
      </c>
      <c r="D80" s="343">
        <v>0.73087283109517398</v>
      </c>
      <c r="E80" s="337">
        <f>E39/Production!E36</f>
        <v>0.58238978537871988</v>
      </c>
      <c r="F80" s="337">
        <f>F39/Production!F36</f>
        <v>0.73465673367088402</v>
      </c>
      <c r="G80" s="337">
        <f>G39/Production!G36</f>
        <v>0.39706515279784366</v>
      </c>
      <c r="H80" s="337">
        <f>H39/Production!H36</f>
        <v>0.28880826508276619</v>
      </c>
      <c r="I80" s="337" t="e">
        <f>I39/Production!I36</f>
        <v>#DIV/0!</v>
      </c>
      <c r="J80" s="337" t="e">
        <f>J39/Production!J36</f>
        <v>#DIV/0!</v>
      </c>
      <c r="K80" s="337" t="e">
        <f>K39/Production!K36</f>
        <v>#DIV/0!</v>
      </c>
      <c r="L80" s="337" t="e">
        <f>L39/Production!L36</f>
        <v>#DIV/0!</v>
      </c>
      <c r="M80" s="337" t="e">
        <f>M39/Production!M36</f>
        <v>#DIV/0!</v>
      </c>
      <c r="N80" s="337" t="e">
        <f>N39/Production!N36</f>
        <v>#DIV/0!</v>
      </c>
      <c r="O80" s="337" t="e">
        <f>O39/Production!O36</f>
        <v>#DIV/0!</v>
      </c>
      <c r="P80" s="337" t="e">
        <f>P39/Production!P36</f>
        <v>#DIV/0!</v>
      </c>
      <c r="Q80" s="337">
        <f>Q39/Production!Q36</f>
        <v>0.52128108907848303</v>
      </c>
    </row>
    <row r="81" spans="1:18" ht="18.5">
      <c r="A81" s="408" t="s">
        <v>47</v>
      </c>
      <c r="B81" s="408"/>
      <c r="C81" s="7" t="s">
        <v>88</v>
      </c>
      <c r="D81" s="343">
        <v>1.6552267796050846</v>
      </c>
      <c r="E81" s="337">
        <f>E40/Production!E37</f>
        <v>1.0627606789225368</v>
      </c>
      <c r="F81" s="337">
        <f>F40/Production!F37</f>
        <v>1.2760413615128361</v>
      </c>
      <c r="G81" s="337">
        <f>G40/Production!G37</f>
        <v>1.2291899269040174</v>
      </c>
      <c r="H81" s="337">
        <f>H40/Production!H37</f>
        <v>0.35501038756790498</v>
      </c>
      <c r="I81" s="337" t="e">
        <f>I40/Production!I37</f>
        <v>#DIV/0!</v>
      </c>
      <c r="J81" s="337" t="e">
        <f>J40/Production!J37</f>
        <v>#DIV/0!</v>
      </c>
      <c r="K81" s="337" t="e">
        <f>K40/Production!K37</f>
        <v>#DIV/0!</v>
      </c>
      <c r="L81" s="337" t="e">
        <f>L40/Production!L37</f>
        <v>#DIV/0!</v>
      </c>
      <c r="M81" s="337" t="e">
        <f>M40/Production!M37</f>
        <v>#DIV/0!</v>
      </c>
      <c r="N81" s="337" t="e">
        <f>N40/Production!N37</f>
        <v>#DIV/0!</v>
      </c>
      <c r="O81" s="337" t="e">
        <f>O40/Production!O37</f>
        <v>#DIV/0!</v>
      </c>
      <c r="P81" s="337" t="e">
        <f>P40/Production!P37</f>
        <v>#DIV/0!</v>
      </c>
      <c r="Q81" s="337">
        <f>Q40/Production!Q37</f>
        <v>0.97416195123751681</v>
      </c>
    </row>
    <row r="82" spans="1:18">
      <c r="Q82" s="58"/>
    </row>
    <row r="83" spans="1:18">
      <c r="Q83" s="58"/>
    </row>
    <row r="84" spans="1:18">
      <c r="Q84" s="58"/>
    </row>
    <row r="85" spans="1:18">
      <c r="A85" s="36"/>
      <c r="B85" s="40">
        <f>'Water withdrawal'!C84</f>
        <v>2020</v>
      </c>
      <c r="C85" s="40">
        <f>'Water withdrawal'!D84</f>
        <v>2021</v>
      </c>
      <c r="D85" s="40">
        <f>'Water withdrawal'!E84</f>
        <v>2022</v>
      </c>
      <c r="E85" s="40">
        <f>'Water withdrawal'!F84</f>
        <v>2023</v>
      </c>
      <c r="F85" s="59">
        <f t="shared" ref="F85:R85" si="49">E2</f>
        <v>46023</v>
      </c>
      <c r="G85" s="59">
        <f t="shared" si="49"/>
        <v>46054</v>
      </c>
      <c r="H85" s="59">
        <f t="shared" si="49"/>
        <v>46082</v>
      </c>
      <c r="I85" s="59">
        <f t="shared" si="49"/>
        <v>46113</v>
      </c>
      <c r="J85" s="59">
        <f t="shared" si="49"/>
        <v>46143</v>
      </c>
      <c r="K85" s="59">
        <f t="shared" si="49"/>
        <v>46174</v>
      </c>
      <c r="L85" s="59">
        <f t="shared" si="49"/>
        <v>46204</v>
      </c>
      <c r="M85" s="59">
        <f t="shared" si="49"/>
        <v>46235</v>
      </c>
      <c r="N85" s="59">
        <f t="shared" si="49"/>
        <v>46266</v>
      </c>
      <c r="O85" s="59">
        <f t="shared" si="49"/>
        <v>46296</v>
      </c>
      <c r="P85" s="59">
        <f t="shared" si="49"/>
        <v>46327</v>
      </c>
      <c r="Q85" s="59">
        <f t="shared" si="49"/>
        <v>46357</v>
      </c>
      <c r="R85" s="59" t="str">
        <f t="shared" si="49"/>
        <v>YTD 2026</v>
      </c>
    </row>
    <row r="86" spans="1:18">
      <c r="A86" s="37" t="s">
        <v>4</v>
      </c>
      <c r="B86" s="17"/>
      <c r="C86" s="17"/>
      <c r="D86" s="17"/>
      <c r="F86" s="38">
        <f>$D$77</f>
        <v>0</v>
      </c>
      <c r="G86" s="38">
        <f t="shared" ref="G86:R86" si="50">$D$77</f>
        <v>0</v>
      </c>
      <c r="H86" s="38">
        <f t="shared" si="50"/>
        <v>0</v>
      </c>
      <c r="I86" s="38">
        <f t="shared" si="50"/>
        <v>0</v>
      </c>
      <c r="J86" s="38">
        <f t="shared" si="50"/>
        <v>0</v>
      </c>
      <c r="K86" s="38">
        <f t="shared" si="50"/>
        <v>0</v>
      </c>
      <c r="L86" s="38">
        <f t="shared" si="50"/>
        <v>0</v>
      </c>
      <c r="M86" s="38">
        <f t="shared" si="50"/>
        <v>0</v>
      </c>
      <c r="N86" s="38">
        <f t="shared" si="50"/>
        <v>0</v>
      </c>
      <c r="O86" s="38">
        <f t="shared" si="50"/>
        <v>0</v>
      </c>
      <c r="P86" s="38">
        <f t="shared" si="50"/>
        <v>0</v>
      </c>
      <c r="Q86" s="38">
        <f t="shared" si="50"/>
        <v>0</v>
      </c>
      <c r="R86" s="38">
        <f t="shared" si="50"/>
        <v>0</v>
      </c>
    </row>
    <row r="87" spans="1:18">
      <c r="A87" s="37" t="s">
        <v>66</v>
      </c>
      <c r="B87" s="60">
        <f t="shared" ref="B87:D87" si="51">E237</f>
        <v>1.588990650589452</v>
      </c>
      <c r="C87" s="60">
        <f t="shared" si="51"/>
        <v>1.0945726667403946</v>
      </c>
      <c r="D87" s="60">
        <f t="shared" si="51"/>
        <v>1.405835177042593</v>
      </c>
      <c r="E87" s="26">
        <f>'[3]Hz waste gen'!$Q$59</f>
        <v>1.3054520098035491</v>
      </c>
      <c r="F87" s="38">
        <f>E77</f>
        <v>0.74803315856434383</v>
      </c>
      <c r="G87" s="38">
        <f t="shared" ref="G87:R87" si="52">F77</f>
        <v>1.0117589426634492</v>
      </c>
      <c r="H87" s="38">
        <f t="shared" si="52"/>
        <v>0.86194376185881127</v>
      </c>
      <c r="I87" s="38">
        <f t="shared" si="52"/>
        <v>0.6182054638362281</v>
      </c>
      <c r="J87" s="38" t="e">
        <f t="shared" si="52"/>
        <v>#DIV/0!</v>
      </c>
      <c r="K87" s="38" t="e">
        <f t="shared" si="52"/>
        <v>#DIV/0!</v>
      </c>
      <c r="L87" s="38" t="e">
        <f t="shared" si="52"/>
        <v>#DIV/0!</v>
      </c>
      <c r="M87" s="38" t="e">
        <f t="shared" si="52"/>
        <v>#DIV/0!</v>
      </c>
      <c r="N87" s="38" t="e">
        <f t="shared" si="52"/>
        <v>#DIV/0!</v>
      </c>
      <c r="O87" s="38" t="e">
        <f t="shared" si="52"/>
        <v>#DIV/0!</v>
      </c>
      <c r="P87" s="38" t="e">
        <f t="shared" si="52"/>
        <v>#DIV/0!</v>
      </c>
      <c r="Q87" s="38" t="e">
        <f t="shared" si="52"/>
        <v>#DIV/0!</v>
      </c>
      <c r="R87" s="38">
        <f t="shared" si="52"/>
        <v>0.81436409072403682</v>
      </c>
    </row>
    <row r="88" spans="1:18">
      <c r="A88" s="37" t="s">
        <v>90</v>
      </c>
      <c r="B88" s="1"/>
      <c r="C88" s="1"/>
      <c r="D88" s="1"/>
      <c r="E88" s="1"/>
      <c r="F88" s="1"/>
      <c r="G88" s="1"/>
      <c r="H88" s="1"/>
      <c r="I88" s="1"/>
      <c r="J88" s="26" t="e">
        <f>(I36-AF36)/Production!I32</f>
        <v>#DIV/0!</v>
      </c>
      <c r="K88" s="26" t="e">
        <f>(J36-AG36)/Production!J32</f>
        <v>#DIV/0!</v>
      </c>
      <c r="L88" s="26" t="e">
        <f>(K36-AH36)/Production!K32</f>
        <v>#DIV/0!</v>
      </c>
      <c r="M88" s="1"/>
      <c r="N88" s="1"/>
      <c r="O88" s="1"/>
      <c r="P88" s="1"/>
      <c r="Q88" s="1"/>
      <c r="R88" s="26">
        <f>(Q36-AN36)/Production!Q32</f>
        <v>0.81436409072403682</v>
      </c>
    </row>
    <row r="89" spans="1:18">
      <c r="A89" s="37" t="s">
        <v>67</v>
      </c>
      <c r="B89" s="60">
        <f>'Water withdrawal'!C87</f>
        <v>9.0561442384612807</v>
      </c>
      <c r="C89" s="60">
        <f>'Water withdrawal'!D87</f>
        <v>10.3315058334617</v>
      </c>
      <c r="D89" s="60">
        <f>'Water withdrawal'!E87</f>
        <v>8.0495006936000006</v>
      </c>
      <c r="E89" s="26">
        <f>'Water withdrawal'!F87</f>
        <v>8.2806149300000023</v>
      </c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</row>
    <row r="91" spans="1:18">
      <c r="A91" s="113" t="s">
        <v>70</v>
      </c>
      <c r="B91" s="114">
        <f>'[2]Hz waste gen'!C59</f>
        <v>1.4320631397858594</v>
      </c>
      <c r="C91" s="114">
        <f>'[2]Hz waste gen'!D59</f>
        <v>1.0075551457902248</v>
      </c>
      <c r="D91" s="114">
        <f>'[2]Hz waste gen'!E59</f>
        <v>1.3132584746456342</v>
      </c>
      <c r="E91" s="114">
        <f>'[4]Hz waste gen'!$Q$60</f>
        <v>1.1413270062914977</v>
      </c>
    </row>
    <row r="134" spans="2:26">
      <c r="B134" s="120" t="s">
        <v>91</v>
      </c>
    </row>
    <row r="135" spans="2:26">
      <c r="B135" s="1"/>
      <c r="C135" s="1"/>
      <c r="D135" s="3">
        <v>45658</v>
      </c>
      <c r="E135" s="3">
        <v>45689</v>
      </c>
      <c r="F135" s="3">
        <v>45717</v>
      </c>
      <c r="G135" s="3">
        <v>45748</v>
      </c>
      <c r="H135" s="3">
        <v>45778</v>
      </c>
      <c r="I135" s="3">
        <v>45809</v>
      </c>
      <c r="J135" s="3">
        <v>45839</v>
      </c>
      <c r="K135" s="3">
        <v>45870</v>
      </c>
      <c r="L135" s="3">
        <v>45901</v>
      </c>
      <c r="M135" s="3">
        <v>45931</v>
      </c>
      <c r="N135" s="3">
        <v>45962</v>
      </c>
      <c r="O135" s="3">
        <v>45992</v>
      </c>
      <c r="P135" s="4" t="s">
        <v>92</v>
      </c>
      <c r="R135" s="1" t="s">
        <v>58</v>
      </c>
      <c r="S135" s="7" t="s">
        <v>93</v>
      </c>
      <c r="T135" s="192">
        <f t="shared" ref="T135:V135" si="53">I135</f>
        <v>45809</v>
      </c>
      <c r="U135" s="192">
        <f t="shared" si="53"/>
        <v>45839</v>
      </c>
      <c r="V135" s="192">
        <f t="shared" si="53"/>
        <v>45870</v>
      </c>
      <c r="W135" s="192">
        <f t="shared" ref="W135" si="54">L135</f>
        <v>45901</v>
      </c>
      <c r="X135" s="192">
        <f t="shared" ref="X135" si="55">M135</f>
        <v>45931</v>
      </c>
      <c r="Y135" s="7" t="s">
        <v>94</v>
      </c>
      <c r="Z135" t="s">
        <v>95</v>
      </c>
    </row>
    <row r="136" spans="2:26">
      <c r="B136" s="431" t="s">
        <v>58</v>
      </c>
      <c r="C136" s="190" t="s">
        <v>96</v>
      </c>
      <c r="D136" s="1"/>
      <c r="E136" s="1"/>
      <c r="F136" s="1"/>
      <c r="G136" s="1"/>
      <c r="H136" s="1"/>
      <c r="I136" s="1">
        <f>180+160+60</f>
        <v>400</v>
      </c>
      <c r="J136" s="1">
        <f>1000</f>
        <v>1000</v>
      </c>
      <c r="K136" s="1">
        <v>150</v>
      </c>
      <c r="L136" s="1"/>
      <c r="M136" s="1"/>
      <c r="N136" s="1"/>
      <c r="O136" s="1"/>
      <c r="P136" s="1"/>
      <c r="R136" s="1" t="s">
        <v>97</v>
      </c>
      <c r="S136" s="1">
        <v>0</v>
      </c>
      <c r="T136" s="12">
        <v>400</v>
      </c>
      <c r="U136" s="12">
        <v>60</v>
      </c>
      <c r="V136" s="12">
        <v>1000</v>
      </c>
      <c r="W136" s="12">
        <v>370</v>
      </c>
      <c r="X136" s="12">
        <v>70</v>
      </c>
      <c r="Y136" s="12">
        <v>30</v>
      </c>
      <c r="Z136" s="89">
        <f>SUM(S137,T136:Y136)</f>
        <v>2467</v>
      </c>
    </row>
    <row r="137" spans="2:26">
      <c r="B137" s="432"/>
      <c r="C137" s="7" t="s">
        <v>98</v>
      </c>
      <c r="D137" s="1"/>
      <c r="E137" s="1">
        <v>35</v>
      </c>
      <c r="F137" s="1">
        <v>390</v>
      </c>
      <c r="G137" s="1">
        <v>47</v>
      </c>
      <c r="H137" s="1">
        <v>60</v>
      </c>
      <c r="I137" s="1"/>
      <c r="J137" s="1"/>
      <c r="K137" s="1"/>
      <c r="L137" s="1"/>
      <c r="M137" s="1"/>
      <c r="N137" s="1"/>
      <c r="O137" s="1"/>
      <c r="P137" s="1"/>
      <c r="R137" s="1" t="s">
        <v>99</v>
      </c>
      <c r="S137" s="1">
        <v>537</v>
      </c>
      <c r="T137" s="191">
        <v>419.85</v>
      </c>
      <c r="U137" s="1">
        <v>100</v>
      </c>
      <c r="V137" s="1"/>
      <c r="W137" s="1"/>
      <c r="X137" s="1"/>
      <c r="Y137" s="1"/>
      <c r="Z137" s="194">
        <f>S137+T137+U137+V137+W137+X137+Y137</f>
        <v>1056.8499999999999</v>
      </c>
    </row>
    <row r="138" spans="2:26">
      <c r="B138" s="431" t="s">
        <v>15</v>
      </c>
      <c r="C138" s="7" t="s">
        <v>96</v>
      </c>
      <c r="D138" s="1"/>
      <c r="E138" s="1"/>
      <c r="F138" s="1"/>
      <c r="G138" s="1"/>
      <c r="H138" s="1"/>
      <c r="I138" s="191"/>
      <c r="J138" s="1"/>
      <c r="K138" s="1"/>
      <c r="L138" s="1"/>
      <c r="M138" s="1"/>
      <c r="N138" s="1"/>
      <c r="O138" s="1"/>
      <c r="P138" s="1"/>
    </row>
    <row r="139" spans="2:26">
      <c r="B139" s="432"/>
      <c r="C139" s="7" t="s">
        <v>98</v>
      </c>
      <c r="D139" s="1"/>
      <c r="E139" s="1"/>
      <c r="F139" s="1"/>
      <c r="G139" s="1"/>
      <c r="H139" s="1"/>
      <c r="I139" s="191">
        <v>162.15</v>
      </c>
      <c r="J139" s="1"/>
      <c r="K139" s="1"/>
      <c r="L139" s="1"/>
      <c r="M139" s="1"/>
      <c r="N139" s="1"/>
      <c r="O139" s="1"/>
      <c r="P139" s="1"/>
    </row>
    <row r="140" spans="2:26">
      <c r="B140" s="431" t="s">
        <v>59</v>
      </c>
      <c r="C140" s="7" t="s">
        <v>96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2:26">
      <c r="B141" s="432"/>
      <c r="C141" s="7" t="s">
        <v>98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2:26">
      <c r="B142" s="431" t="s">
        <v>24</v>
      </c>
      <c r="C142" s="7" t="s">
        <v>96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2:26">
      <c r="B143" s="432"/>
      <c r="C143" s="7" t="s">
        <v>98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2:26">
      <c r="B144" s="433" t="s">
        <v>27</v>
      </c>
      <c r="C144" s="7" t="s">
        <v>96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2:16">
      <c r="B145" s="433"/>
      <c r="C145" s="7" t="s">
        <v>98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58" spans="2:16">
      <c r="C158" s="36"/>
      <c r="D158" s="36"/>
      <c r="E158" s="40">
        <v>2020</v>
      </c>
      <c r="F158" s="40">
        <v>2021</v>
      </c>
      <c r="G158" s="40">
        <v>2022</v>
      </c>
      <c r="H158" s="40" t="s">
        <v>74</v>
      </c>
      <c r="I158" s="40" t="s">
        <v>75</v>
      </c>
      <c r="J158" s="40" t="s">
        <v>100</v>
      </c>
      <c r="K158" s="62" t="s">
        <v>101</v>
      </c>
    </row>
    <row r="159" spans="2:16">
      <c r="B159" s="417" t="s">
        <v>77</v>
      </c>
      <c r="C159" s="37" t="s">
        <v>102</v>
      </c>
      <c r="D159" s="37" t="s">
        <v>88</v>
      </c>
      <c r="E159" s="41">
        <f>'[2]Hz waste gen'!C58</f>
        <v>1.588990650589452</v>
      </c>
      <c r="F159" s="41">
        <f>'[2]Hz waste gen'!D58</f>
        <v>1.0945726667403946</v>
      </c>
      <c r="G159" s="41">
        <f>'[2]Hz waste gen'!E58</f>
        <v>1.405835177042593</v>
      </c>
      <c r="H159" s="41">
        <v>1.38</v>
      </c>
      <c r="I159" s="42">
        <f>$Q$77</f>
        <v>0.81436409072403682</v>
      </c>
      <c r="J159" s="63">
        <v>1.0900000000000001</v>
      </c>
      <c r="K159" s="1">
        <v>1.57</v>
      </c>
    </row>
    <row r="160" spans="2:16">
      <c r="B160" s="417"/>
      <c r="C160" s="37" t="s">
        <v>80</v>
      </c>
      <c r="D160" s="37" t="s">
        <v>88</v>
      </c>
      <c r="E160" s="41">
        <f>E159-E161</f>
        <v>0.15692751080359257</v>
      </c>
      <c r="F160" s="41">
        <f t="shared" ref="F160:I160" si="56">F159-F161</f>
        <v>8.7017520950169791E-2</v>
      </c>
      <c r="G160" s="41">
        <f t="shared" si="56"/>
        <v>9.257670239695881E-2</v>
      </c>
      <c r="H160" s="41">
        <f t="shared" si="56"/>
        <v>1.38</v>
      </c>
      <c r="I160" s="41">
        <f t="shared" si="56"/>
        <v>0</v>
      </c>
      <c r="J160" s="63"/>
      <c r="K160" s="1"/>
    </row>
    <row r="161" spans="2:11">
      <c r="B161" s="417"/>
      <c r="C161" s="37" t="s">
        <v>103</v>
      </c>
      <c r="D161" s="37" t="s">
        <v>88</v>
      </c>
      <c r="E161" s="41">
        <f>'[2]Hz waste gen'!C59</f>
        <v>1.4320631397858594</v>
      </c>
      <c r="F161" s="41">
        <f>'[2]Hz waste gen'!D59</f>
        <v>1.0075551457902248</v>
      </c>
      <c r="G161" s="41">
        <f>'[2]Hz waste gen'!E59</f>
        <v>1.3132584746456342</v>
      </c>
      <c r="H161" s="41">
        <f>$AN$46</f>
        <v>0</v>
      </c>
      <c r="I161" s="42">
        <f>$AN$44</f>
        <v>0.81436409072403682</v>
      </c>
      <c r="K161" s="1">
        <v>1.57</v>
      </c>
    </row>
    <row r="162" spans="2:11">
      <c r="C162" s="37" t="s">
        <v>67</v>
      </c>
      <c r="D162" s="37" t="s">
        <v>68</v>
      </c>
      <c r="E162" s="38">
        <f>'[3]Water withdrawal'!E101</f>
        <v>9.0561442384612842</v>
      </c>
      <c r="F162" s="38">
        <f>'[3]Water withdrawal'!F101</f>
        <v>10.344745617753649</v>
      </c>
      <c r="G162" s="38">
        <f>'[3]Water withdrawal'!G101</f>
        <v>8.5988598636000013</v>
      </c>
      <c r="H162" s="38">
        <f>'[3]Water withdrawal'!H101</f>
        <v>9.1984955120831806</v>
      </c>
      <c r="I162" s="39">
        <f>'[3]Water withdrawal'!I101</f>
        <v>8280614.9300000016</v>
      </c>
      <c r="J162" s="63"/>
      <c r="K162" s="11">
        <f>8530086.77562886/1000000</f>
        <v>8.5300867756288596</v>
      </c>
    </row>
    <row r="163" spans="2:11" ht="15" customHeight="1">
      <c r="B163" s="420" t="s">
        <v>78</v>
      </c>
      <c r="C163" s="64" t="s">
        <v>102</v>
      </c>
      <c r="D163" s="64" t="s">
        <v>88</v>
      </c>
      <c r="E163" s="65">
        <f>'[2]Hz waste gen'!U58</f>
        <v>0.88315902603859708</v>
      </c>
      <c r="F163" s="65">
        <f>'[2]Hz waste gen'!V58</f>
        <v>0.95549417338560694</v>
      </c>
      <c r="G163" s="65">
        <f>'[2]Hz waste gen'!W58</f>
        <v>0.92286760944100721</v>
      </c>
      <c r="H163" s="66">
        <f t="shared" ref="H163:H165" si="57">H159</f>
        <v>1.38</v>
      </c>
      <c r="I163" s="65">
        <f>$Q$78</f>
        <v>0.68340054504295467</v>
      </c>
      <c r="J163" s="67">
        <v>0.89</v>
      </c>
      <c r="K163" s="1">
        <v>1.38</v>
      </c>
    </row>
    <row r="164" spans="2:11">
      <c r="B164" s="420"/>
      <c r="C164" s="64" t="s">
        <v>80</v>
      </c>
      <c r="D164" s="64" t="s">
        <v>88</v>
      </c>
      <c r="E164" s="68">
        <f>E163-E165</f>
        <v>7.9030418471666031E-2</v>
      </c>
      <c r="F164" s="68">
        <f t="shared" ref="F164:G164" si="58">F163-F165</f>
        <v>9.5936062752564721E-2</v>
      </c>
      <c r="G164" s="68">
        <f t="shared" si="58"/>
        <v>5.0867768232316424E-2</v>
      </c>
      <c r="H164" s="69">
        <f t="shared" si="57"/>
        <v>1.38</v>
      </c>
      <c r="I164" s="68">
        <f>I163-I165</f>
        <v>0</v>
      </c>
      <c r="J164" s="67"/>
      <c r="K164" s="1"/>
    </row>
    <row r="165" spans="2:11">
      <c r="B165" s="420"/>
      <c r="C165" s="64" t="s">
        <v>103</v>
      </c>
      <c r="D165" s="64" t="s">
        <v>88</v>
      </c>
      <c r="E165" s="65">
        <f>'[2]Hz waste gen'!U59</f>
        <v>0.80412860756693105</v>
      </c>
      <c r="F165" s="65">
        <f>'[2]Hz waste gen'!V59</f>
        <v>0.85955811063304222</v>
      </c>
      <c r="G165" s="65">
        <f>'[2]Hz waste gen'!W59</f>
        <v>0.87199984120869078</v>
      </c>
      <c r="H165" s="69">
        <f t="shared" si="57"/>
        <v>0</v>
      </c>
      <c r="I165" s="68">
        <f>$AN$49</f>
        <v>0.68340054504295467</v>
      </c>
      <c r="K165" s="1">
        <v>1.38</v>
      </c>
    </row>
    <row r="166" spans="2:11">
      <c r="B166" s="420"/>
      <c r="C166" s="64" t="s">
        <v>67</v>
      </c>
      <c r="D166" s="64" t="s">
        <v>68</v>
      </c>
      <c r="E166" s="68">
        <f>'[3]Water withdrawal'!E103</f>
        <v>8.5473448657681743</v>
      </c>
      <c r="F166" s="68">
        <f>'[3]Water withdrawal'!F103</f>
        <v>9.7048037773794942</v>
      </c>
      <c r="G166" s="68">
        <f>'[3]Water withdrawal'!G103</f>
        <v>7.5174074896</v>
      </c>
      <c r="H166" s="68">
        <f>'[3]Water withdrawal'!H103</f>
        <v>8.6185785120831842</v>
      </c>
      <c r="I166" s="68">
        <f>'[3]Water withdrawal'!I103</f>
        <v>7.7716394509999995</v>
      </c>
      <c r="J166" s="67"/>
      <c r="K166" s="11">
        <f>8003726.77562886/1000000</f>
        <v>8.0037267756288593</v>
      </c>
    </row>
    <row r="167" spans="2:11">
      <c r="J167" s="44" t="e">
        <f>(E159-#REF!)/E159</f>
        <v>#REF!</v>
      </c>
    </row>
    <row r="236" spans="3:12">
      <c r="E236" s="40">
        <v>2020</v>
      </c>
      <c r="F236" s="40">
        <v>2021</v>
      </c>
      <c r="G236" s="40">
        <v>2022</v>
      </c>
      <c r="H236" s="40">
        <v>2023</v>
      </c>
      <c r="I236" s="40" t="s">
        <v>101</v>
      </c>
    </row>
    <row r="237" spans="3:12">
      <c r="C237" s="2" t="s">
        <v>66</v>
      </c>
      <c r="D237" s="37"/>
      <c r="E237" s="26">
        <f t="shared" ref="E237:G237" si="59">E159</f>
        <v>1.588990650589452</v>
      </c>
      <c r="F237" s="26">
        <f t="shared" si="59"/>
        <v>1.0945726667403946</v>
      </c>
      <c r="G237" s="26">
        <f t="shared" si="59"/>
        <v>1.405835177042593</v>
      </c>
      <c r="H237" s="50">
        <f>H239-H238</f>
        <v>-0.27563590927596326</v>
      </c>
      <c r="I237" s="26">
        <f>I239-I238</f>
        <v>0.27174503399011818</v>
      </c>
      <c r="L237" s="50">
        <f>'[2]Hz waste gen'!$G$27</f>
        <v>13430.117370357639</v>
      </c>
    </row>
    <row r="238" spans="3:12">
      <c r="C238" s="2" t="s">
        <v>90</v>
      </c>
      <c r="D238" s="37"/>
      <c r="E238" s="1"/>
      <c r="F238" s="1"/>
      <c r="G238" s="1"/>
      <c r="H238" s="26">
        <v>1.0900000000000001</v>
      </c>
      <c r="I238" s="50">
        <f>L237*1000/L238</f>
        <v>1.2982549660098819</v>
      </c>
      <c r="L238">
        <f>'[3]Water withdrawal'!$Z$70</f>
        <v>10344745.617753649</v>
      </c>
    </row>
    <row r="239" spans="3:12">
      <c r="C239" s="70" t="s">
        <v>90</v>
      </c>
      <c r="H239" s="50">
        <f>$Q$77</f>
        <v>0.81436409072403682</v>
      </c>
      <c r="I239">
        <v>1.57</v>
      </c>
    </row>
  </sheetData>
  <mergeCells count="21">
    <mergeCell ref="B163:B166"/>
    <mergeCell ref="A77:B77"/>
    <mergeCell ref="A78:B78"/>
    <mergeCell ref="B159:B161"/>
    <mergeCell ref="A80:B80"/>
    <mergeCell ref="A81:B81"/>
    <mergeCell ref="B136:B137"/>
    <mergeCell ref="B144:B145"/>
    <mergeCell ref="B142:B143"/>
    <mergeCell ref="B140:B141"/>
    <mergeCell ref="B138:B139"/>
    <mergeCell ref="A62:A74"/>
    <mergeCell ref="A1:Z1"/>
    <mergeCell ref="A3:A20"/>
    <mergeCell ref="A44:Z44"/>
    <mergeCell ref="A46:A61"/>
    <mergeCell ref="A21:A33"/>
    <mergeCell ref="A36:B36"/>
    <mergeCell ref="A37:B37"/>
    <mergeCell ref="A39:B39"/>
    <mergeCell ref="A40:B40"/>
  </mergeCells>
  <conditionalFormatting sqref="E46">
    <cfRule type="cellIs" dxfId="2996" priority="819" operator="greaterThan">
      <formula>$D46</formula>
    </cfRule>
    <cfRule type="cellIs" dxfId="2995" priority="820" operator="lessThanOrEqual">
      <formula>$D46</formula>
    </cfRule>
  </conditionalFormatting>
  <conditionalFormatting sqref="E47">
    <cfRule type="cellIs" dxfId="2994" priority="817" operator="greaterThan">
      <formula>$D47</formula>
    </cfRule>
    <cfRule type="cellIs" dxfId="2993" priority="818" operator="lessThanOrEqual">
      <formula>$D47</formula>
    </cfRule>
  </conditionalFormatting>
  <conditionalFormatting sqref="E48">
    <cfRule type="cellIs" dxfId="2992" priority="815" operator="greaterThan">
      <formula>$D48</formula>
    </cfRule>
    <cfRule type="cellIs" dxfId="2991" priority="816" operator="lessThanOrEqual">
      <formula>$D48</formula>
    </cfRule>
  </conditionalFormatting>
  <conditionalFormatting sqref="E49">
    <cfRule type="cellIs" dxfId="2990" priority="813" operator="greaterThan">
      <formula>$D49</formula>
    </cfRule>
    <cfRule type="cellIs" dxfId="2989" priority="814" operator="lessThanOrEqual">
      <formula>$D49</formula>
    </cfRule>
  </conditionalFormatting>
  <conditionalFormatting sqref="E50">
    <cfRule type="cellIs" dxfId="2988" priority="811" operator="greaterThan">
      <formula>$D50</formula>
    </cfRule>
    <cfRule type="cellIs" dxfId="2987" priority="812" operator="lessThanOrEqual">
      <formula>$D50</formula>
    </cfRule>
  </conditionalFormatting>
  <conditionalFormatting sqref="E51">
    <cfRule type="cellIs" dxfId="2986" priority="809" operator="greaterThan">
      <formula>$D51</formula>
    </cfRule>
    <cfRule type="cellIs" dxfId="2985" priority="810" operator="lessThanOrEqual">
      <formula>$D51</formula>
    </cfRule>
  </conditionalFormatting>
  <conditionalFormatting sqref="E52">
    <cfRule type="cellIs" dxfId="2984" priority="807" operator="greaterThan">
      <formula>$D52</formula>
    </cfRule>
    <cfRule type="cellIs" dxfId="2983" priority="808" operator="lessThanOrEqual">
      <formula>$D52</formula>
    </cfRule>
  </conditionalFormatting>
  <conditionalFormatting sqref="E53">
    <cfRule type="cellIs" dxfId="2982" priority="805" operator="greaterThan">
      <formula>$D53</formula>
    </cfRule>
    <cfRule type="cellIs" dxfId="2981" priority="806" operator="lessThanOrEqual">
      <formula>$D53</formula>
    </cfRule>
  </conditionalFormatting>
  <conditionalFormatting sqref="E54:E55 F55:Q55">
    <cfRule type="cellIs" dxfId="2980" priority="803" operator="greaterThan">
      <formula>$D54</formula>
    </cfRule>
    <cfRule type="cellIs" dxfId="2979" priority="804" operator="lessThanOrEqual">
      <formula>$D54</formula>
    </cfRule>
  </conditionalFormatting>
  <conditionalFormatting sqref="E56">
    <cfRule type="cellIs" dxfId="2978" priority="801" operator="greaterThan">
      <formula>$D56</formula>
    </cfRule>
    <cfRule type="cellIs" dxfId="2977" priority="802" operator="lessThanOrEqual">
      <formula>$D56</formula>
    </cfRule>
  </conditionalFormatting>
  <conditionalFormatting sqref="E57">
    <cfRule type="cellIs" dxfId="2976" priority="799" operator="greaterThan">
      <formula>$D57</formula>
    </cfRule>
    <cfRule type="cellIs" dxfId="2975" priority="800" operator="lessThanOrEqual">
      <formula>$D57</formula>
    </cfRule>
  </conditionalFormatting>
  <conditionalFormatting sqref="E58">
    <cfRule type="cellIs" dxfId="2974" priority="797" operator="greaterThan">
      <formula>$D58</formula>
    </cfRule>
    <cfRule type="cellIs" dxfId="2973" priority="798" operator="lessThanOrEqual">
      <formula>$D58</formula>
    </cfRule>
  </conditionalFormatting>
  <conditionalFormatting sqref="E59">
    <cfRule type="cellIs" dxfId="2972" priority="795" operator="greaterThan">
      <formula>$D59</formula>
    </cfRule>
    <cfRule type="cellIs" dxfId="2971" priority="796" operator="lessThanOrEqual">
      <formula>$D59</formula>
    </cfRule>
  </conditionalFormatting>
  <conditionalFormatting sqref="E60">
    <cfRule type="cellIs" dxfId="2970" priority="793" operator="greaterThan">
      <formula>$D60</formula>
    </cfRule>
    <cfRule type="cellIs" dxfId="2969" priority="794" operator="lessThanOrEqual">
      <formula>$D60</formula>
    </cfRule>
  </conditionalFormatting>
  <conditionalFormatting sqref="E61">
    <cfRule type="cellIs" dxfId="2968" priority="791" operator="greaterThan">
      <formula>$D61</formula>
    </cfRule>
    <cfRule type="cellIs" dxfId="2967" priority="792" operator="lessThanOrEqual">
      <formula>$D61</formula>
    </cfRule>
  </conditionalFormatting>
  <conditionalFormatting sqref="E62">
    <cfRule type="cellIs" dxfId="2966" priority="789" operator="greaterThan">
      <formula>$D62</formula>
    </cfRule>
    <cfRule type="cellIs" dxfId="2965" priority="790" operator="lessThanOrEqual">
      <formula>$D62</formula>
    </cfRule>
  </conditionalFormatting>
  <conditionalFormatting sqref="E63">
    <cfRule type="cellIs" dxfId="2964" priority="787" operator="greaterThan">
      <formula>$D63</formula>
    </cfRule>
    <cfRule type="cellIs" dxfId="2963" priority="788" operator="lessThanOrEqual">
      <formula>$D63</formula>
    </cfRule>
  </conditionalFormatting>
  <conditionalFormatting sqref="E64">
    <cfRule type="cellIs" dxfId="2962" priority="785" operator="greaterThan">
      <formula>$D64</formula>
    </cfRule>
    <cfRule type="cellIs" dxfId="2961" priority="786" operator="lessThanOrEqual">
      <formula>$D64</formula>
    </cfRule>
  </conditionalFormatting>
  <conditionalFormatting sqref="E65">
    <cfRule type="cellIs" dxfId="2960" priority="783" operator="greaterThan">
      <formula>$D65</formula>
    </cfRule>
    <cfRule type="cellIs" dxfId="2959" priority="784" operator="lessThanOrEqual">
      <formula>$D65</formula>
    </cfRule>
  </conditionalFormatting>
  <conditionalFormatting sqref="E66">
    <cfRule type="cellIs" dxfId="2958" priority="781" operator="greaterThan">
      <formula>$D66</formula>
    </cfRule>
    <cfRule type="cellIs" dxfId="2957" priority="782" operator="lessThanOrEqual">
      <formula>$D66</formula>
    </cfRule>
  </conditionalFormatting>
  <conditionalFormatting sqref="E67">
    <cfRule type="cellIs" dxfId="2956" priority="779" operator="greaterThan">
      <formula>$D67</formula>
    </cfRule>
    <cfRule type="cellIs" dxfId="2955" priority="780" operator="lessThanOrEqual">
      <formula>$D67</formula>
    </cfRule>
  </conditionalFormatting>
  <conditionalFormatting sqref="E68">
    <cfRule type="cellIs" dxfId="2954" priority="777" operator="greaterThan">
      <formula>$D68</formula>
    </cfRule>
    <cfRule type="cellIs" dxfId="2953" priority="778" operator="lessThanOrEqual">
      <formula>$D68</formula>
    </cfRule>
  </conditionalFormatting>
  <conditionalFormatting sqref="E69">
    <cfRule type="cellIs" dxfId="2952" priority="775" operator="greaterThan">
      <formula>$D69</formula>
    </cfRule>
    <cfRule type="cellIs" dxfId="2951" priority="776" operator="lessThanOrEqual">
      <formula>$D69</formula>
    </cfRule>
  </conditionalFormatting>
  <conditionalFormatting sqref="E70">
    <cfRule type="cellIs" dxfId="2950" priority="773" operator="greaterThan">
      <formula>$D70</formula>
    </cfRule>
    <cfRule type="cellIs" dxfId="2949" priority="774" operator="lessThanOrEqual">
      <formula>$D70</formula>
    </cfRule>
  </conditionalFormatting>
  <conditionalFormatting sqref="E71">
    <cfRule type="cellIs" dxfId="2948" priority="771" operator="greaterThan">
      <formula>$D71</formula>
    </cfRule>
    <cfRule type="cellIs" dxfId="2947" priority="772" operator="lessThanOrEqual">
      <formula>$D71</formula>
    </cfRule>
  </conditionalFormatting>
  <conditionalFormatting sqref="E72:E73">
    <cfRule type="cellIs" dxfId="2946" priority="769" operator="greaterThan">
      <formula>$D72</formula>
    </cfRule>
    <cfRule type="cellIs" dxfId="2945" priority="770" operator="lessThanOrEqual">
      <formula>$D72</formula>
    </cfRule>
  </conditionalFormatting>
  <conditionalFormatting sqref="E74:E75">
    <cfRule type="cellIs" dxfId="2944" priority="767" operator="greaterThan">
      <formula>$D74</formula>
    </cfRule>
    <cfRule type="cellIs" dxfId="2943" priority="768" operator="lessThanOrEqual">
      <formula>$D74</formula>
    </cfRule>
  </conditionalFormatting>
  <conditionalFormatting sqref="F46">
    <cfRule type="cellIs" dxfId="2942" priority="763" operator="greaterThan">
      <formula>$D46</formula>
    </cfRule>
    <cfRule type="cellIs" dxfId="2941" priority="764" operator="lessThanOrEqual">
      <formula>$D46</formula>
    </cfRule>
  </conditionalFormatting>
  <conditionalFormatting sqref="F47">
    <cfRule type="cellIs" dxfId="2940" priority="761" operator="greaterThan">
      <formula>$D47</formula>
    </cfRule>
    <cfRule type="cellIs" dxfId="2939" priority="762" operator="lessThanOrEqual">
      <formula>$D47</formula>
    </cfRule>
  </conditionalFormatting>
  <conditionalFormatting sqref="F48">
    <cfRule type="cellIs" dxfId="2938" priority="759" operator="greaterThan">
      <formula>$D48</formula>
    </cfRule>
    <cfRule type="cellIs" dxfId="2937" priority="760" operator="lessThanOrEqual">
      <formula>$D48</formula>
    </cfRule>
  </conditionalFormatting>
  <conditionalFormatting sqref="F49">
    <cfRule type="cellIs" dxfId="2936" priority="757" operator="greaterThan">
      <formula>$D49</formula>
    </cfRule>
    <cfRule type="cellIs" dxfId="2935" priority="758" operator="lessThanOrEqual">
      <formula>$D49</formula>
    </cfRule>
  </conditionalFormatting>
  <conditionalFormatting sqref="F50">
    <cfRule type="cellIs" dxfId="2934" priority="755" operator="greaterThan">
      <formula>$D50</formula>
    </cfRule>
    <cfRule type="cellIs" dxfId="2933" priority="756" operator="lessThanOrEqual">
      <formula>$D50</formula>
    </cfRule>
  </conditionalFormatting>
  <conditionalFormatting sqref="F51">
    <cfRule type="cellIs" dxfId="2932" priority="753" operator="greaterThan">
      <formula>$D51</formula>
    </cfRule>
    <cfRule type="cellIs" dxfId="2931" priority="754" operator="lessThanOrEqual">
      <formula>$D51</formula>
    </cfRule>
  </conditionalFormatting>
  <conditionalFormatting sqref="F52">
    <cfRule type="cellIs" dxfId="2930" priority="751" operator="greaterThan">
      <formula>$D52</formula>
    </cfRule>
    <cfRule type="cellIs" dxfId="2929" priority="752" operator="lessThanOrEqual">
      <formula>$D52</formula>
    </cfRule>
  </conditionalFormatting>
  <conditionalFormatting sqref="F53">
    <cfRule type="cellIs" dxfId="2928" priority="749" operator="greaterThan">
      <formula>$D53</formula>
    </cfRule>
    <cfRule type="cellIs" dxfId="2927" priority="750" operator="lessThanOrEqual">
      <formula>$D53</formula>
    </cfRule>
  </conditionalFormatting>
  <conditionalFormatting sqref="F54">
    <cfRule type="cellIs" dxfId="2926" priority="747" operator="greaterThan">
      <formula>$D54</formula>
    </cfRule>
    <cfRule type="cellIs" dxfId="2925" priority="748" operator="lessThanOrEqual">
      <formula>$D54</formula>
    </cfRule>
  </conditionalFormatting>
  <conditionalFormatting sqref="F56">
    <cfRule type="cellIs" dxfId="2924" priority="745" operator="greaterThan">
      <formula>$D56</formula>
    </cfRule>
    <cfRule type="cellIs" dxfId="2923" priority="746" operator="lessThanOrEqual">
      <formula>$D56</formula>
    </cfRule>
  </conditionalFormatting>
  <conditionalFormatting sqref="F57">
    <cfRule type="cellIs" dxfId="2922" priority="743" operator="greaterThan">
      <formula>$D57</formula>
    </cfRule>
    <cfRule type="cellIs" dxfId="2921" priority="744" operator="lessThanOrEqual">
      <formula>$D57</formula>
    </cfRule>
  </conditionalFormatting>
  <conditionalFormatting sqref="F58">
    <cfRule type="cellIs" dxfId="2920" priority="741" operator="greaterThan">
      <formula>$D58</formula>
    </cfRule>
    <cfRule type="cellIs" dxfId="2919" priority="742" operator="lessThanOrEqual">
      <formula>$D58</formula>
    </cfRule>
  </conditionalFormatting>
  <conditionalFormatting sqref="F59">
    <cfRule type="cellIs" dxfId="2918" priority="739" operator="greaterThan">
      <formula>$D59</formula>
    </cfRule>
    <cfRule type="cellIs" dxfId="2917" priority="740" operator="lessThanOrEqual">
      <formula>$D59</formula>
    </cfRule>
  </conditionalFormatting>
  <conditionalFormatting sqref="F60">
    <cfRule type="cellIs" dxfId="2916" priority="737" operator="greaterThan">
      <formula>$D60</formula>
    </cfRule>
    <cfRule type="cellIs" dxfId="2915" priority="738" operator="lessThanOrEqual">
      <formula>$D60</formula>
    </cfRule>
  </conditionalFormatting>
  <conditionalFormatting sqref="F61">
    <cfRule type="cellIs" dxfId="2914" priority="735" operator="greaterThan">
      <formula>$D61</formula>
    </cfRule>
    <cfRule type="cellIs" dxfId="2913" priority="736" operator="lessThanOrEqual">
      <formula>$D61</formula>
    </cfRule>
  </conditionalFormatting>
  <conditionalFormatting sqref="F62">
    <cfRule type="cellIs" dxfId="2912" priority="733" operator="greaterThan">
      <formula>$D62</formula>
    </cfRule>
    <cfRule type="cellIs" dxfId="2911" priority="734" operator="lessThanOrEqual">
      <formula>$D62</formula>
    </cfRule>
  </conditionalFormatting>
  <conditionalFormatting sqref="F63">
    <cfRule type="cellIs" dxfId="2910" priority="731" operator="greaterThan">
      <formula>$D63</formula>
    </cfRule>
    <cfRule type="cellIs" dxfId="2909" priority="732" operator="lessThanOrEqual">
      <formula>$D63</formula>
    </cfRule>
  </conditionalFormatting>
  <conditionalFormatting sqref="F64">
    <cfRule type="cellIs" dxfId="2908" priority="729" operator="greaterThan">
      <formula>$D64</formula>
    </cfRule>
    <cfRule type="cellIs" dxfId="2907" priority="730" operator="lessThanOrEqual">
      <formula>$D64</formula>
    </cfRule>
  </conditionalFormatting>
  <conditionalFormatting sqref="F65">
    <cfRule type="cellIs" dxfId="2906" priority="727" operator="greaterThan">
      <formula>$D65</formula>
    </cfRule>
    <cfRule type="cellIs" dxfId="2905" priority="728" operator="lessThanOrEqual">
      <formula>$D65</formula>
    </cfRule>
  </conditionalFormatting>
  <conditionalFormatting sqref="F66">
    <cfRule type="cellIs" dxfId="2904" priority="725" operator="greaterThan">
      <formula>$D66</formula>
    </cfRule>
    <cfRule type="cellIs" dxfId="2903" priority="726" operator="lessThanOrEqual">
      <formula>$D66</formula>
    </cfRule>
  </conditionalFormatting>
  <conditionalFormatting sqref="F67">
    <cfRule type="cellIs" dxfId="2902" priority="723" operator="greaterThan">
      <formula>$D67</formula>
    </cfRule>
    <cfRule type="cellIs" dxfId="2901" priority="724" operator="lessThanOrEqual">
      <formula>$D67</formula>
    </cfRule>
  </conditionalFormatting>
  <conditionalFormatting sqref="F68">
    <cfRule type="cellIs" dxfId="2900" priority="721" operator="greaterThan">
      <formula>$D68</formula>
    </cfRule>
    <cfRule type="cellIs" dxfId="2899" priority="722" operator="lessThanOrEqual">
      <formula>$D68</formula>
    </cfRule>
  </conditionalFormatting>
  <conditionalFormatting sqref="F69">
    <cfRule type="cellIs" dxfId="2898" priority="719" operator="greaterThan">
      <formula>$D69</formula>
    </cfRule>
    <cfRule type="cellIs" dxfId="2897" priority="720" operator="lessThanOrEqual">
      <formula>$D69</formula>
    </cfRule>
  </conditionalFormatting>
  <conditionalFormatting sqref="F70">
    <cfRule type="cellIs" dxfId="2896" priority="717" operator="greaterThan">
      <formula>$D70</formula>
    </cfRule>
    <cfRule type="cellIs" dxfId="2895" priority="718" operator="lessThanOrEqual">
      <formula>$D70</formula>
    </cfRule>
  </conditionalFormatting>
  <conditionalFormatting sqref="F71">
    <cfRule type="cellIs" dxfId="2894" priority="715" operator="greaterThan">
      <formula>$D71</formula>
    </cfRule>
    <cfRule type="cellIs" dxfId="2893" priority="716" operator="lessThanOrEqual">
      <formula>$D71</formula>
    </cfRule>
  </conditionalFormatting>
  <conditionalFormatting sqref="F72:F73">
    <cfRule type="cellIs" dxfId="2892" priority="713" operator="greaterThan">
      <formula>$D72</formula>
    </cfRule>
    <cfRule type="cellIs" dxfId="2891" priority="714" operator="lessThanOrEqual">
      <formula>$D72</formula>
    </cfRule>
  </conditionalFormatting>
  <conditionalFormatting sqref="F74:F75 G75:Q75">
    <cfRule type="cellIs" dxfId="2890" priority="711" operator="greaterThan">
      <formula>$D74</formula>
    </cfRule>
    <cfRule type="cellIs" dxfId="2889" priority="712" operator="lessThanOrEqual">
      <formula>$D74</formula>
    </cfRule>
  </conditionalFormatting>
  <conditionalFormatting sqref="G46">
    <cfRule type="cellIs" dxfId="2888" priority="709" operator="greaterThan">
      <formula>$D46</formula>
    </cfRule>
    <cfRule type="cellIs" dxfId="2887" priority="710" operator="lessThanOrEqual">
      <formula>$D46</formula>
    </cfRule>
  </conditionalFormatting>
  <conditionalFormatting sqref="G47">
    <cfRule type="cellIs" dxfId="2886" priority="707" operator="greaterThan">
      <formula>$D47</formula>
    </cfRule>
    <cfRule type="cellIs" dxfId="2885" priority="708" operator="lessThanOrEqual">
      <formula>$D47</formula>
    </cfRule>
  </conditionalFormatting>
  <conditionalFormatting sqref="G48">
    <cfRule type="cellIs" dxfId="2884" priority="705" operator="greaterThan">
      <formula>$D48</formula>
    </cfRule>
    <cfRule type="cellIs" dxfId="2883" priority="706" operator="lessThanOrEqual">
      <formula>$D48</formula>
    </cfRule>
  </conditionalFormatting>
  <conditionalFormatting sqref="G49">
    <cfRule type="cellIs" dxfId="2882" priority="703" operator="greaterThan">
      <formula>$D49</formula>
    </cfRule>
    <cfRule type="cellIs" dxfId="2881" priority="704" operator="lessThanOrEqual">
      <formula>$D49</formula>
    </cfRule>
  </conditionalFormatting>
  <conditionalFormatting sqref="G50">
    <cfRule type="cellIs" dxfId="2880" priority="701" operator="greaterThan">
      <formula>$D50</formula>
    </cfRule>
    <cfRule type="cellIs" dxfId="2879" priority="702" operator="lessThanOrEqual">
      <formula>$D50</formula>
    </cfRule>
  </conditionalFormatting>
  <conditionalFormatting sqref="G51">
    <cfRule type="cellIs" dxfId="2878" priority="699" operator="greaterThan">
      <formula>$D51</formula>
    </cfRule>
    <cfRule type="cellIs" dxfId="2877" priority="700" operator="lessThanOrEqual">
      <formula>$D51</formula>
    </cfRule>
  </conditionalFormatting>
  <conditionalFormatting sqref="G52">
    <cfRule type="cellIs" dxfId="2876" priority="697" operator="greaterThan">
      <formula>$D52</formula>
    </cfRule>
    <cfRule type="cellIs" dxfId="2875" priority="698" operator="lessThanOrEqual">
      <formula>$D52</formula>
    </cfRule>
  </conditionalFormatting>
  <conditionalFormatting sqref="G53">
    <cfRule type="cellIs" dxfId="2874" priority="695" operator="greaterThan">
      <formula>$D53</formula>
    </cfRule>
    <cfRule type="cellIs" dxfId="2873" priority="696" operator="lessThanOrEqual">
      <formula>$D53</formula>
    </cfRule>
  </conditionalFormatting>
  <conditionalFormatting sqref="G54">
    <cfRule type="cellIs" dxfId="2872" priority="693" operator="greaterThan">
      <formula>$D54</formula>
    </cfRule>
    <cfRule type="cellIs" dxfId="2871" priority="694" operator="lessThanOrEqual">
      <formula>$D54</formula>
    </cfRule>
  </conditionalFormatting>
  <conditionalFormatting sqref="G56">
    <cfRule type="cellIs" dxfId="2870" priority="691" operator="greaterThan">
      <formula>$D56</formula>
    </cfRule>
    <cfRule type="cellIs" dxfId="2869" priority="692" operator="lessThanOrEqual">
      <formula>$D56</formula>
    </cfRule>
  </conditionalFormatting>
  <conditionalFormatting sqref="G57">
    <cfRule type="cellIs" dxfId="2868" priority="689" operator="greaterThan">
      <formula>$D57</formula>
    </cfRule>
    <cfRule type="cellIs" dxfId="2867" priority="690" operator="lessThanOrEqual">
      <formula>$D57</formula>
    </cfRule>
  </conditionalFormatting>
  <conditionalFormatting sqref="G58">
    <cfRule type="cellIs" dxfId="2866" priority="687" operator="greaterThan">
      <formula>$D58</formula>
    </cfRule>
    <cfRule type="cellIs" dxfId="2865" priority="688" operator="lessThanOrEqual">
      <formula>$D58</formula>
    </cfRule>
  </conditionalFormatting>
  <conditionalFormatting sqref="G59">
    <cfRule type="cellIs" dxfId="2864" priority="685" operator="greaterThan">
      <formula>$D59</formula>
    </cfRule>
    <cfRule type="cellIs" dxfId="2863" priority="686" operator="lessThanOrEqual">
      <formula>$D59</formula>
    </cfRule>
  </conditionalFormatting>
  <conditionalFormatting sqref="G60">
    <cfRule type="cellIs" dxfId="2862" priority="683" operator="greaterThan">
      <formula>$D60</formula>
    </cfRule>
    <cfRule type="cellIs" dxfId="2861" priority="684" operator="lessThanOrEqual">
      <formula>$D60</formula>
    </cfRule>
  </conditionalFormatting>
  <conditionalFormatting sqref="G61">
    <cfRule type="cellIs" dxfId="2860" priority="681" operator="greaterThan">
      <formula>$D61</formula>
    </cfRule>
    <cfRule type="cellIs" dxfId="2859" priority="682" operator="lessThanOrEqual">
      <formula>$D61</formula>
    </cfRule>
  </conditionalFormatting>
  <conditionalFormatting sqref="G62">
    <cfRule type="cellIs" dxfId="2858" priority="679" operator="greaterThan">
      <formula>$D62</formula>
    </cfRule>
    <cfRule type="cellIs" dxfId="2857" priority="680" operator="lessThanOrEqual">
      <formula>$D62</formula>
    </cfRule>
  </conditionalFormatting>
  <conditionalFormatting sqref="G63">
    <cfRule type="cellIs" dxfId="2856" priority="677" operator="greaterThan">
      <formula>$D63</formula>
    </cfRule>
    <cfRule type="cellIs" dxfId="2855" priority="678" operator="lessThanOrEqual">
      <formula>$D63</formula>
    </cfRule>
  </conditionalFormatting>
  <conditionalFormatting sqref="G64">
    <cfRule type="cellIs" dxfId="2854" priority="675" operator="greaterThan">
      <formula>$D64</formula>
    </cfRule>
    <cfRule type="cellIs" dxfId="2853" priority="676" operator="lessThanOrEqual">
      <formula>$D64</formula>
    </cfRule>
  </conditionalFormatting>
  <conditionalFormatting sqref="G65">
    <cfRule type="cellIs" dxfId="2852" priority="673" operator="greaterThan">
      <formula>$D65</formula>
    </cfRule>
    <cfRule type="cellIs" dxfId="2851" priority="674" operator="lessThanOrEqual">
      <formula>$D65</formula>
    </cfRule>
  </conditionalFormatting>
  <conditionalFormatting sqref="G66">
    <cfRule type="cellIs" dxfId="2850" priority="671" operator="greaterThan">
      <formula>$D66</formula>
    </cfRule>
    <cfRule type="cellIs" dxfId="2849" priority="672" operator="lessThanOrEqual">
      <formula>$D66</formula>
    </cfRule>
  </conditionalFormatting>
  <conditionalFormatting sqref="G67">
    <cfRule type="cellIs" dxfId="2848" priority="669" operator="greaterThan">
      <formula>$D67</formula>
    </cfRule>
    <cfRule type="cellIs" dxfId="2847" priority="670" operator="lessThanOrEqual">
      <formula>$D67</formula>
    </cfRule>
  </conditionalFormatting>
  <conditionalFormatting sqref="G68">
    <cfRule type="cellIs" dxfId="2846" priority="667" operator="greaterThan">
      <formula>$D68</formula>
    </cfRule>
    <cfRule type="cellIs" dxfId="2845" priority="668" operator="lessThanOrEqual">
      <formula>$D68</formula>
    </cfRule>
  </conditionalFormatting>
  <conditionalFormatting sqref="G69">
    <cfRule type="cellIs" dxfId="2844" priority="665" operator="greaterThan">
      <formula>$D69</formula>
    </cfRule>
    <cfRule type="cellIs" dxfId="2843" priority="666" operator="lessThanOrEqual">
      <formula>$D69</formula>
    </cfRule>
  </conditionalFormatting>
  <conditionalFormatting sqref="G70">
    <cfRule type="cellIs" dxfId="2842" priority="663" operator="greaterThan">
      <formula>$D70</formula>
    </cfRule>
    <cfRule type="cellIs" dxfId="2841" priority="664" operator="lessThanOrEqual">
      <formula>$D70</formula>
    </cfRule>
  </conditionalFormatting>
  <conditionalFormatting sqref="G71">
    <cfRule type="cellIs" dxfId="2840" priority="661" operator="greaterThan">
      <formula>$D71</formula>
    </cfRule>
    <cfRule type="cellIs" dxfId="2839" priority="662" operator="lessThanOrEqual">
      <formula>$D71</formula>
    </cfRule>
  </conditionalFormatting>
  <conditionalFormatting sqref="G72:G73">
    <cfRule type="cellIs" dxfId="2838" priority="659" operator="greaterThan">
      <formula>$D72</formula>
    </cfRule>
    <cfRule type="cellIs" dxfId="2837" priority="660" operator="lessThanOrEqual">
      <formula>$D72</formula>
    </cfRule>
  </conditionalFormatting>
  <conditionalFormatting sqref="G74">
    <cfRule type="cellIs" dxfId="2836" priority="657" operator="greaterThan">
      <formula>$D74</formula>
    </cfRule>
    <cfRule type="cellIs" dxfId="2835" priority="658" operator="lessThanOrEqual">
      <formula>$D74</formula>
    </cfRule>
  </conditionalFormatting>
  <conditionalFormatting sqref="H46">
    <cfRule type="cellIs" dxfId="2834" priority="655" operator="greaterThan">
      <formula>$D46</formula>
    </cfRule>
    <cfRule type="cellIs" dxfId="2833" priority="656" operator="lessThanOrEqual">
      <formula>$D46</formula>
    </cfRule>
  </conditionalFormatting>
  <conditionalFormatting sqref="H47">
    <cfRule type="cellIs" dxfId="2832" priority="653" operator="greaterThan">
      <formula>$D47</formula>
    </cfRule>
    <cfRule type="cellIs" dxfId="2831" priority="654" operator="lessThanOrEqual">
      <formula>$D47</formula>
    </cfRule>
  </conditionalFormatting>
  <conditionalFormatting sqref="H48">
    <cfRule type="cellIs" dxfId="2830" priority="651" operator="greaterThan">
      <formula>$D48</formula>
    </cfRule>
    <cfRule type="cellIs" dxfId="2829" priority="652" operator="lessThanOrEqual">
      <formula>$D48</formula>
    </cfRule>
  </conditionalFormatting>
  <conditionalFormatting sqref="H49">
    <cfRule type="cellIs" dxfId="2828" priority="649" operator="greaterThan">
      <formula>$D49</formula>
    </cfRule>
    <cfRule type="cellIs" dxfId="2827" priority="650" operator="lessThanOrEqual">
      <formula>$D49</formula>
    </cfRule>
  </conditionalFormatting>
  <conditionalFormatting sqref="H50">
    <cfRule type="cellIs" dxfId="2826" priority="647" operator="greaterThan">
      <formula>$D50</formula>
    </cfRule>
    <cfRule type="cellIs" dxfId="2825" priority="648" operator="lessThanOrEqual">
      <formula>$D50</formula>
    </cfRule>
  </conditionalFormatting>
  <conditionalFormatting sqref="H51">
    <cfRule type="cellIs" dxfId="2824" priority="645" operator="greaterThan">
      <formula>$D51</formula>
    </cfRule>
    <cfRule type="cellIs" dxfId="2823" priority="646" operator="lessThanOrEqual">
      <formula>$D51</formula>
    </cfRule>
  </conditionalFormatting>
  <conditionalFormatting sqref="H52">
    <cfRule type="cellIs" dxfId="2822" priority="643" operator="greaterThan">
      <formula>$D52</formula>
    </cfRule>
    <cfRule type="cellIs" dxfId="2821" priority="644" operator="lessThanOrEqual">
      <formula>$D52</formula>
    </cfRule>
  </conditionalFormatting>
  <conditionalFormatting sqref="H53">
    <cfRule type="cellIs" dxfId="2820" priority="641" operator="greaterThan">
      <formula>$D53</formula>
    </cfRule>
    <cfRule type="cellIs" dxfId="2819" priority="642" operator="lessThanOrEqual">
      <formula>$D53</formula>
    </cfRule>
  </conditionalFormatting>
  <conditionalFormatting sqref="H54">
    <cfRule type="cellIs" dxfId="2818" priority="639" operator="greaterThan">
      <formula>$D54</formula>
    </cfRule>
    <cfRule type="cellIs" dxfId="2817" priority="640" operator="lessThanOrEqual">
      <formula>$D54</formula>
    </cfRule>
  </conditionalFormatting>
  <conditionalFormatting sqref="H56">
    <cfRule type="cellIs" dxfId="2816" priority="637" operator="greaterThan">
      <formula>$D56</formula>
    </cfRule>
    <cfRule type="cellIs" dxfId="2815" priority="638" operator="lessThanOrEqual">
      <formula>$D56</formula>
    </cfRule>
  </conditionalFormatting>
  <conditionalFormatting sqref="H57">
    <cfRule type="cellIs" dxfId="2814" priority="635" operator="greaterThan">
      <formula>$D57</formula>
    </cfRule>
    <cfRule type="cellIs" dxfId="2813" priority="636" operator="lessThanOrEqual">
      <formula>$D57</formula>
    </cfRule>
  </conditionalFormatting>
  <conditionalFormatting sqref="H58">
    <cfRule type="cellIs" dxfId="2812" priority="633" operator="greaterThan">
      <formula>$D58</formula>
    </cfRule>
    <cfRule type="cellIs" dxfId="2811" priority="634" operator="lessThanOrEqual">
      <formula>$D58</formula>
    </cfRule>
  </conditionalFormatting>
  <conditionalFormatting sqref="H59">
    <cfRule type="cellIs" dxfId="2810" priority="631" operator="greaterThan">
      <formula>$D59</formula>
    </cfRule>
    <cfRule type="cellIs" dxfId="2809" priority="632" operator="lessThanOrEqual">
      <formula>$D59</formula>
    </cfRule>
  </conditionalFormatting>
  <conditionalFormatting sqref="H60">
    <cfRule type="cellIs" dxfId="2808" priority="629" operator="greaterThan">
      <formula>$D60</formula>
    </cfRule>
    <cfRule type="cellIs" dxfId="2807" priority="630" operator="lessThanOrEqual">
      <formula>$D60</formula>
    </cfRule>
  </conditionalFormatting>
  <conditionalFormatting sqref="H61">
    <cfRule type="cellIs" dxfId="2806" priority="627" operator="greaterThan">
      <formula>$D61</formula>
    </cfRule>
    <cfRule type="cellIs" dxfId="2805" priority="628" operator="lessThanOrEqual">
      <formula>$D61</formula>
    </cfRule>
  </conditionalFormatting>
  <conditionalFormatting sqref="H62">
    <cfRule type="cellIs" dxfId="2804" priority="625" operator="greaterThan">
      <formula>$D62</formula>
    </cfRule>
    <cfRule type="cellIs" dxfId="2803" priority="626" operator="lessThanOrEqual">
      <formula>$D62</formula>
    </cfRule>
  </conditionalFormatting>
  <conditionalFormatting sqref="H63">
    <cfRule type="cellIs" dxfId="2802" priority="623" operator="greaterThan">
      <formula>$D63</formula>
    </cfRule>
    <cfRule type="cellIs" dxfId="2801" priority="624" operator="lessThanOrEqual">
      <formula>$D63</formula>
    </cfRule>
  </conditionalFormatting>
  <conditionalFormatting sqref="H64">
    <cfRule type="cellIs" dxfId="2800" priority="621" operator="greaterThan">
      <formula>$D64</formula>
    </cfRule>
    <cfRule type="cellIs" dxfId="2799" priority="622" operator="lessThanOrEqual">
      <formula>$D64</formula>
    </cfRule>
  </conditionalFormatting>
  <conditionalFormatting sqref="H65">
    <cfRule type="cellIs" dxfId="2798" priority="619" operator="greaterThan">
      <formula>$D65</formula>
    </cfRule>
    <cfRule type="cellIs" dxfId="2797" priority="620" operator="lessThanOrEqual">
      <formula>$D65</formula>
    </cfRule>
  </conditionalFormatting>
  <conditionalFormatting sqref="H66">
    <cfRule type="cellIs" dxfId="2796" priority="617" operator="greaterThan">
      <formula>$D66</formula>
    </cfRule>
    <cfRule type="cellIs" dxfId="2795" priority="618" operator="lessThanOrEqual">
      <formula>$D66</formula>
    </cfRule>
  </conditionalFormatting>
  <conditionalFormatting sqref="H67">
    <cfRule type="cellIs" dxfId="2794" priority="615" operator="greaterThan">
      <formula>$D67</formula>
    </cfRule>
    <cfRule type="cellIs" dxfId="2793" priority="616" operator="lessThanOrEqual">
      <formula>$D67</formula>
    </cfRule>
  </conditionalFormatting>
  <conditionalFormatting sqref="H68">
    <cfRule type="cellIs" dxfId="2792" priority="613" operator="greaterThan">
      <formula>$D68</formula>
    </cfRule>
    <cfRule type="cellIs" dxfId="2791" priority="614" operator="lessThanOrEqual">
      <formula>$D68</formula>
    </cfRule>
  </conditionalFormatting>
  <conditionalFormatting sqref="H69">
    <cfRule type="cellIs" dxfId="2790" priority="611" operator="greaterThan">
      <formula>$D69</formula>
    </cfRule>
    <cfRule type="cellIs" dxfId="2789" priority="612" operator="lessThanOrEqual">
      <formula>$D69</formula>
    </cfRule>
  </conditionalFormatting>
  <conditionalFormatting sqref="H70">
    <cfRule type="cellIs" dxfId="2788" priority="609" operator="greaterThan">
      <formula>$D70</formula>
    </cfRule>
    <cfRule type="cellIs" dxfId="2787" priority="610" operator="lessThanOrEqual">
      <formula>$D70</formula>
    </cfRule>
  </conditionalFormatting>
  <conditionalFormatting sqref="H71">
    <cfRule type="cellIs" dxfId="2786" priority="607" operator="greaterThan">
      <formula>$D71</formula>
    </cfRule>
    <cfRule type="cellIs" dxfId="2785" priority="608" operator="lessThanOrEqual">
      <formula>$D71</formula>
    </cfRule>
  </conditionalFormatting>
  <conditionalFormatting sqref="H72:H73">
    <cfRule type="cellIs" dxfId="2784" priority="605" operator="greaterThan">
      <formula>$D72</formula>
    </cfRule>
    <cfRule type="cellIs" dxfId="2783" priority="606" operator="lessThanOrEqual">
      <formula>$D72</formula>
    </cfRule>
  </conditionalFormatting>
  <conditionalFormatting sqref="H74">
    <cfRule type="cellIs" dxfId="2782" priority="603" operator="greaterThan">
      <formula>$D74</formula>
    </cfRule>
    <cfRule type="cellIs" dxfId="2781" priority="604" operator="lessThanOrEqual">
      <formula>$D74</formula>
    </cfRule>
  </conditionalFormatting>
  <conditionalFormatting sqref="I46">
    <cfRule type="cellIs" dxfId="2780" priority="601" operator="greaterThan">
      <formula>$D46</formula>
    </cfRule>
    <cfRule type="cellIs" dxfId="2779" priority="602" operator="lessThanOrEqual">
      <formula>$D46</formula>
    </cfRule>
  </conditionalFormatting>
  <conditionalFormatting sqref="I47">
    <cfRule type="cellIs" dxfId="2778" priority="599" operator="greaterThan">
      <formula>$D47</formula>
    </cfRule>
    <cfRule type="cellIs" dxfId="2777" priority="600" operator="lessThanOrEqual">
      <formula>$D47</formula>
    </cfRule>
  </conditionalFormatting>
  <conditionalFormatting sqref="I48">
    <cfRule type="cellIs" dxfId="2776" priority="597" operator="greaterThan">
      <formula>$D48</formula>
    </cfRule>
    <cfRule type="cellIs" dxfId="2775" priority="598" operator="lessThanOrEqual">
      <formula>$D48</formula>
    </cfRule>
  </conditionalFormatting>
  <conditionalFormatting sqref="I49">
    <cfRule type="cellIs" dxfId="2774" priority="595" operator="greaterThan">
      <formula>$D49</formula>
    </cfRule>
    <cfRule type="cellIs" dxfId="2773" priority="596" operator="lessThanOrEqual">
      <formula>$D49</formula>
    </cfRule>
  </conditionalFormatting>
  <conditionalFormatting sqref="I50">
    <cfRule type="cellIs" dxfId="2772" priority="593" operator="greaterThan">
      <formula>$D50</formula>
    </cfRule>
    <cfRule type="cellIs" dxfId="2771" priority="594" operator="lessThanOrEqual">
      <formula>$D50</formula>
    </cfRule>
  </conditionalFormatting>
  <conditionalFormatting sqref="I51">
    <cfRule type="cellIs" dxfId="2770" priority="591" operator="greaterThan">
      <formula>$D51</formula>
    </cfRule>
    <cfRule type="cellIs" dxfId="2769" priority="592" operator="lessThanOrEqual">
      <formula>$D51</formula>
    </cfRule>
  </conditionalFormatting>
  <conditionalFormatting sqref="I52">
    <cfRule type="cellIs" dxfId="2768" priority="589" operator="greaterThan">
      <formula>$D52</formula>
    </cfRule>
    <cfRule type="cellIs" dxfId="2767" priority="590" operator="lessThanOrEqual">
      <formula>$D52</formula>
    </cfRule>
  </conditionalFormatting>
  <conditionalFormatting sqref="I53">
    <cfRule type="cellIs" dxfId="2766" priority="587" operator="greaterThan">
      <formula>$D53</formula>
    </cfRule>
    <cfRule type="cellIs" dxfId="2765" priority="588" operator="lessThanOrEqual">
      <formula>$D53</formula>
    </cfRule>
  </conditionalFormatting>
  <conditionalFormatting sqref="I54">
    <cfRule type="cellIs" dxfId="2764" priority="585" operator="greaterThan">
      <formula>$D54</formula>
    </cfRule>
    <cfRule type="cellIs" dxfId="2763" priority="586" operator="lessThanOrEqual">
      <formula>$D54</formula>
    </cfRule>
  </conditionalFormatting>
  <conditionalFormatting sqref="I56">
    <cfRule type="cellIs" dxfId="2762" priority="583" operator="greaterThan">
      <formula>$D56</formula>
    </cfRule>
    <cfRule type="cellIs" dxfId="2761" priority="584" operator="lessThanOrEqual">
      <formula>$D56</formula>
    </cfRule>
  </conditionalFormatting>
  <conditionalFormatting sqref="I57">
    <cfRule type="cellIs" dxfId="2760" priority="581" operator="greaterThan">
      <formula>$D57</formula>
    </cfRule>
    <cfRule type="cellIs" dxfId="2759" priority="582" operator="lessThanOrEqual">
      <formula>$D57</formula>
    </cfRule>
  </conditionalFormatting>
  <conditionalFormatting sqref="I58">
    <cfRule type="cellIs" dxfId="2758" priority="579" operator="greaterThan">
      <formula>$D58</formula>
    </cfRule>
    <cfRule type="cellIs" dxfId="2757" priority="580" operator="lessThanOrEqual">
      <formula>$D58</formula>
    </cfRule>
  </conditionalFormatting>
  <conditionalFormatting sqref="I59">
    <cfRule type="cellIs" dxfId="2756" priority="577" operator="greaterThan">
      <formula>$D59</formula>
    </cfRule>
    <cfRule type="cellIs" dxfId="2755" priority="578" operator="lessThanOrEqual">
      <formula>$D59</formula>
    </cfRule>
  </conditionalFormatting>
  <conditionalFormatting sqref="I60">
    <cfRule type="cellIs" dxfId="2754" priority="575" operator="greaterThan">
      <formula>$D60</formula>
    </cfRule>
    <cfRule type="cellIs" dxfId="2753" priority="576" operator="lessThanOrEqual">
      <formula>$D60</formula>
    </cfRule>
  </conditionalFormatting>
  <conditionalFormatting sqref="I61">
    <cfRule type="cellIs" dxfId="2752" priority="573" operator="greaterThan">
      <formula>$D61</formula>
    </cfRule>
    <cfRule type="cellIs" dxfId="2751" priority="574" operator="lessThanOrEqual">
      <formula>$D61</formula>
    </cfRule>
  </conditionalFormatting>
  <conditionalFormatting sqref="I62">
    <cfRule type="cellIs" dxfId="2750" priority="571" operator="greaterThan">
      <formula>$D62</formula>
    </cfRule>
    <cfRule type="cellIs" dxfId="2749" priority="572" operator="lessThanOrEqual">
      <formula>$D62</formula>
    </cfRule>
  </conditionalFormatting>
  <conditionalFormatting sqref="I63">
    <cfRule type="cellIs" dxfId="2748" priority="569" operator="greaterThan">
      <formula>$D63</formula>
    </cfRule>
    <cfRule type="cellIs" dxfId="2747" priority="570" operator="lessThanOrEqual">
      <formula>$D63</formula>
    </cfRule>
  </conditionalFormatting>
  <conditionalFormatting sqref="I64">
    <cfRule type="cellIs" dxfId="2746" priority="567" operator="greaterThan">
      <formula>$D64</formula>
    </cfRule>
    <cfRule type="cellIs" dxfId="2745" priority="568" operator="lessThanOrEqual">
      <formula>$D64</formula>
    </cfRule>
  </conditionalFormatting>
  <conditionalFormatting sqref="I65">
    <cfRule type="cellIs" dxfId="2744" priority="565" operator="greaterThan">
      <formula>$D65</formula>
    </cfRule>
    <cfRule type="cellIs" dxfId="2743" priority="566" operator="lessThanOrEqual">
      <formula>$D65</formula>
    </cfRule>
  </conditionalFormatting>
  <conditionalFormatting sqref="I66">
    <cfRule type="cellIs" dxfId="2742" priority="563" operator="greaterThan">
      <formula>$D66</formula>
    </cfRule>
    <cfRule type="cellIs" dxfId="2741" priority="564" operator="lessThanOrEqual">
      <formula>$D66</formula>
    </cfRule>
  </conditionalFormatting>
  <conditionalFormatting sqref="I67">
    <cfRule type="cellIs" dxfId="2740" priority="561" operator="greaterThan">
      <formula>$D67</formula>
    </cfRule>
    <cfRule type="cellIs" dxfId="2739" priority="562" operator="lessThanOrEqual">
      <formula>$D67</formula>
    </cfRule>
  </conditionalFormatting>
  <conditionalFormatting sqref="I68">
    <cfRule type="cellIs" dxfId="2738" priority="559" operator="greaterThan">
      <formula>$D68</formula>
    </cfRule>
    <cfRule type="cellIs" dxfId="2737" priority="560" operator="lessThanOrEqual">
      <formula>$D68</formula>
    </cfRule>
  </conditionalFormatting>
  <conditionalFormatting sqref="I69">
    <cfRule type="cellIs" dxfId="2736" priority="557" operator="greaterThan">
      <formula>$D69</formula>
    </cfRule>
    <cfRule type="cellIs" dxfId="2735" priority="558" operator="lessThanOrEqual">
      <formula>$D69</formula>
    </cfRule>
  </conditionalFormatting>
  <conditionalFormatting sqref="I70">
    <cfRule type="cellIs" dxfId="2734" priority="555" operator="greaterThan">
      <formula>$D70</formula>
    </cfRule>
    <cfRule type="cellIs" dxfId="2733" priority="556" operator="lessThanOrEqual">
      <formula>$D70</formula>
    </cfRule>
  </conditionalFormatting>
  <conditionalFormatting sqref="I71">
    <cfRule type="cellIs" dxfId="2732" priority="553" operator="greaterThan">
      <formula>$D71</formula>
    </cfRule>
    <cfRule type="cellIs" dxfId="2731" priority="554" operator="lessThanOrEqual">
      <formula>$D71</formula>
    </cfRule>
  </conditionalFormatting>
  <conditionalFormatting sqref="I72:I73">
    <cfRule type="cellIs" dxfId="2730" priority="551" operator="greaterThan">
      <formula>$D72</formula>
    </cfRule>
    <cfRule type="cellIs" dxfId="2729" priority="552" operator="lessThanOrEqual">
      <formula>$D72</formula>
    </cfRule>
  </conditionalFormatting>
  <conditionalFormatting sqref="I74">
    <cfRule type="cellIs" dxfId="2728" priority="549" operator="greaterThan">
      <formula>$D74</formula>
    </cfRule>
    <cfRule type="cellIs" dxfId="2727" priority="550" operator="lessThanOrEqual">
      <formula>$D74</formula>
    </cfRule>
  </conditionalFormatting>
  <conditionalFormatting sqref="J46">
    <cfRule type="cellIs" dxfId="2726" priority="547" operator="greaterThan">
      <formula>$D46</formula>
    </cfRule>
    <cfRule type="cellIs" dxfId="2725" priority="548" operator="lessThanOrEqual">
      <formula>$D46</formula>
    </cfRule>
  </conditionalFormatting>
  <conditionalFormatting sqref="J47">
    <cfRule type="cellIs" dxfId="2724" priority="545" operator="greaterThan">
      <formula>$D47</formula>
    </cfRule>
    <cfRule type="cellIs" dxfId="2723" priority="546" operator="lessThanOrEqual">
      <formula>$D47</formula>
    </cfRule>
  </conditionalFormatting>
  <conditionalFormatting sqref="J48">
    <cfRule type="cellIs" dxfId="2722" priority="543" operator="greaterThan">
      <formula>$D48</formula>
    </cfRule>
    <cfRule type="cellIs" dxfId="2721" priority="544" operator="lessThanOrEqual">
      <formula>$D48</formula>
    </cfRule>
  </conditionalFormatting>
  <conditionalFormatting sqref="J49">
    <cfRule type="cellIs" dxfId="2720" priority="541" operator="greaterThan">
      <formula>$D49</formula>
    </cfRule>
    <cfRule type="cellIs" dxfId="2719" priority="542" operator="lessThanOrEqual">
      <formula>$D49</formula>
    </cfRule>
  </conditionalFormatting>
  <conditionalFormatting sqref="J50">
    <cfRule type="cellIs" dxfId="2718" priority="539" operator="greaterThan">
      <formula>$D50</formula>
    </cfRule>
    <cfRule type="cellIs" dxfId="2717" priority="540" operator="lessThanOrEqual">
      <formula>$D50</formula>
    </cfRule>
  </conditionalFormatting>
  <conditionalFormatting sqref="J51">
    <cfRule type="cellIs" dxfId="2716" priority="537" operator="greaterThan">
      <formula>$D51</formula>
    </cfRule>
    <cfRule type="cellIs" dxfId="2715" priority="538" operator="lessThanOrEqual">
      <formula>$D51</formula>
    </cfRule>
  </conditionalFormatting>
  <conditionalFormatting sqref="J52">
    <cfRule type="cellIs" dxfId="2714" priority="535" operator="greaterThan">
      <formula>$D52</formula>
    </cfRule>
    <cfRule type="cellIs" dxfId="2713" priority="536" operator="lessThanOrEqual">
      <formula>$D52</formula>
    </cfRule>
  </conditionalFormatting>
  <conditionalFormatting sqref="J53">
    <cfRule type="cellIs" dxfId="2712" priority="533" operator="greaterThan">
      <formula>$D53</formula>
    </cfRule>
    <cfRule type="cellIs" dxfId="2711" priority="534" operator="lessThanOrEqual">
      <formula>$D53</formula>
    </cfRule>
  </conditionalFormatting>
  <conditionalFormatting sqref="J54">
    <cfRule type="cellIs" dxfId="2710" priority="531" operator="greaterThan">
      <formula>$D54</formula>
    </cfRule>
    <cfRule type="cellIs" dxfId="2709" priority="532" operator="lessThanOrEqual">
      <formula>$D54</formula>
    </cfRule>
  </conditionalFormatting>
  <conditionalFormatting sqref="J56">
    <cfRule type="cellIs" dxfId="2708" priority="529" operator="greaterThan">
      <formula>$D56</formula>
    </cfRule>
    <cfRule type="cellIs" dxfId="2707" priority="530" operator="lessThanOrEqual">
      <formula>$D56</formula>
    </cfRule>
  </conditionalFormatting>
  <conditionalFormatting sqref="J57">
    <cfRule type="cellIs" dxfId="2706" priority="527" operator="greaterThan">
      <formula>$D57</formula>
    </cfRule>
    <cfRule type="cellIs" dxfId="2705" priority="528" operator="lessThanOrEqual">
      <formula>$D57</formula>
    </cfRule>
  </conditionalFormatting>
  <conditionalFormatting sqref="J58">
    <cfRule type="cellIs" dxfId="2704" priority="525" operator="greaterThan">
      <formula>$D58</formula>
    </cfRule>
    <cfRule type="cellIs" dxfId="2703" priority="526" operator="lessThanOrEqual">
      <formula>$D58</formula>
    </cfRule>
  </conditionalFormatting>
  <conditionalFormatting sqref="J59">
    <cfRule type="cellIs" dxfId="2702" priority="523" operator="greaterThan">
      <formula>$D59</formula>
    </cfRule>
    <cfRule type="cellIs" dxfId="2701" priority="524" operator="lessThanOrEqual">
      <formula>$D59</formula>
    </cfRule>
  </conditionalFormatting>
  <conditionalFormatting sqref="J60">
    <cfRule type="cellIs" dxfId="2700" priority="521" operator="greaterThan">
      <formula>$D60</formula>
    </cfRule>
    <cfRule type="cellIs" dxfId="2699" priority="522" operator="lessThanOrEqual">
      <formula>$D60</formula>
    </cfRule>
  </conditionalFormatting>
  <conditionalFormatting sqref="J61">
    <cfRule type="cellIs" dxfId="2698" priority="519" operator="greaterThan">
      <formula>$D61</formula>
    </cfRule>
    <cfRule type="cellIs" dxfId="2697" priority="520" operator="lessThanOrEqual">
      <formula>$D61</formula>
    </cfRule>
  </conditionalFormatting>
  <conditionalFormatting sqref="J62">
    <cfRule type="cellIs" dxfId="2696" priority="517" operator="greaterThan">
      <formula>$D62</formula>
    </cfRule>
    <cfRule type="cellIs" dxfId="2695" priority="518" operator="lessThanOrEqual">
      <formula>$D62</formula>
    </cfRule>
  </conditionalFormatting>
  <conditionalFormatting sqref="J63">
    <cfRule type="cellIs" dxfId="2694" priority="515" operator="greaterThan">
      <formula>$D63</formula>
    </cfRule>
    <cfRule type="cellIs" dxfId="2693" priority="516" operator="lessThanOrEqual">
      <formula>$D63</formula>
    </cfRule>
  </conditionalFormatting>
  <conditionalFormatting sqref="J64">
    <cfRule type="cellIs" dxfId="2692" priority="513" operator="greaterThan">
      <formula>$D64</formula>
    </cfRule>
    <cfRule type="cellIs" dxfId="2691" priority="514" operator="lessThanOrEqual">
      <formula>$D64</formula>
    </cfRule>
  </conditionalFormatting>
  <conditionalFormatting sqref="J65">
    <cfRule type="cellIs" dxfId="2690" priority="511" operator="greaterThan">
      <formula>$D65</formula>
    </cfRule>
    <cfRule type="cellIs" dxfId="2689" priority="512" operator="lessThanOrEqual">
      <formula>$D65</formula>
    </cfRule>
  </conditionalFormatting>
  <conditionalFormatting sqref="J66">
    <cfRule type="cellIs" dxfId="2688" priority="509" operator="greaterThan">
      <formula>$D66</formula>
    </cfRule>
    <cfRule type="cellIs" dxfId="2687" priority="510" operator="lessThanOrEqual">
      <formula>$D66</formula>
    </cfRule>
  </conditionalFormatting>
  <conditionalFormatting sqref="J67">
    <cfRule type="cellIs" dxfId="2686" priority="507" operator="greaterThan">
      <formula>$D67</formula>
    </cfRule>
    <cfRule type="cellIs" dxfId="2685" priority="508" operator="lessThanOrEqual">
      <formula>$D67</formula>
    </cfRule>
  </conditionalFormatting>
  <conditionalFormatting sqref="J68">
    <cfRule type="cellIs" dxfId="2684" priority="505" operator="greaterThan">
      <formula>$D68</formula>
    </cfRule>
    <cfRule type="cellIs" dxfId="2683" priority="506" operator="lessThanOrEqual">
      <formula>$D68</formula>
    </cfRule>
  </conditionalFormatting>
  <conditionalFormatting sqref="J69">
    <cfRule type="cellIs" dxfId="2682" priority="503" operator="greaterThan">
      <formula>$D69</formula>
    </cfRule>
    <cfRule type="cellIs" dxfId="2681" priority="504" operator="lessThanOrEqual">
      <formula>$D69</formula>
    </cfRule>
  </conditionalFormatting>
  <conditionalFormatting sqref="J70">
    <cfRule type="cellIs" dxfId="2680" priority="501" operator="greaterThan">
      <formula>$D70</formula>
    </cfRule>
    <cfRule type="cellIs" dxfId="2679" priority="502" operator="lessThanOrEqual">
      <formula>$D70</formula>
    </cfRule>
  </conditionalFormatting>
  <conditionalFormatting sqref="J71">
    <cfRule type="cellIs" dxfId="2678" priority="499" operator="greaterThan">
      <formula>$D71</formula>
    </cfRule>
    <cfRule type="cellIs" dxfId="2677" priority="500" operator="lessThanOrEqual">
      <formula>$D71</formula>
    </cfRule>
  </conditionalFormatting>
  <conditionalFormatting sqref="J72:J73">
    <cfRule type="cellIs" dxfId="2676" priority="497" operator="greaterThan">
      <formula>$D72</formula>
    </cfRule>
    <cfRule type="cellIs" dxfId="2675" priority="498" operator="lessThanOrEqual">
      <formula>$D72</formula>
    </cfRule>
  </conditionalFormatting>
  <conditionalFormatting sqref="J74">
    <cfRule type="cellIs" dxfId="2674" priority="495" operator="greaterThan">
      <formula>$D74</formula>
    </cfRule>
    <cfRule type="cellIs" dxfId="2673" priority="496" operator="lessThanOrEqual">
      <formula>$D74</formula>
    </cfRule>
  </conditionalFormatting>
  <conditionalFormatting sqref="K46">
    <cfRule type="cellIs" dxfId="2672" priority="493" operator="greaterThan">
      <formula>$D46</formula>
    </cfRule>
    <cfRule type="cellIs" dxfId="2671" priority="494" operator="lessThanOrEqual">
      <formula>$D46</formula>
    </cfRule>
  </conditionalFormatting>
  <conditionalFormatting sqref="K47">
    <cfRule type="cellIs" dxfId="2670" priority="491" operator="greaterThan">
      <formula>$D47</formula>
    </cfRule>
    <cfRule type="cellIs" dxfId="2669" priority="492" operator="lessThanOrEqual">
      <formula>$D47</formula>
    </cfRule>
  </conditionalFormatting>
  <conditionalFormatting sqref="K48">
    <cfRule type="cellIs" dxfId="2668" priority="489" operator="greaterThan">
      <formula>$D48</formula>
    </cfRule>
    <cfRule type="cellIs" dxfId="2667" priority="490" operator="lessThanOrEqual">
      <formula>$D48</formula>
    </cfRule>
  </conditionalFormatting>
  <conditionalFormatting sqref="K49">
    <cfRule type="cellIs" dxfId="2666" priority="487" operator="greaterThan">
      <formula>$D49</formula>
    </cfRule>
    <cfRule type="cellIs" dxfId="2665" priority="488" operator="lessThanOrEqual">
      <formula>$D49</formula>
    </cfRule>
  </conditionalFormatting>
  <conditionalFormatting sqref="K50">
    <cfRule type="cellIs" dxfId="2664" priority="485" operator="greaterThan">
      <formula>$D50</formula>
    </cfRule>
    <cfRule type="cellIs" dxfId="2663" priority="486" operator="lessThanOrEqual">
      <formula>$D50</formula>
    </cfRule>
  </conditionalFormatting>
  <conditionalFormatting sqref="K51">
    <cfRule type="cellIs" dxfId="2662" priority="483" operator="greaterThan">
      <formula>$D51</formula>
    </cfRule>
    <cfRule type="cellIs" dxfId="2661" priority="484" operator="lessThanOrEqual">
      <formula>$D51</formula>
    </cfRule>
  </conditionalFormatting>
  <conditionalFormatting sqref="K52">
    <cfRule type="cellIs" dxfId="2660" priority="481" operator="greaterThan">
      <formula>$D52</formula>
    </cfRule>
    <cfRule type="cellIs" dxfId="2659" priority="482" operator="lessThanOrEqual">
      <formula>$D52</formula>
    </cfRule>
  </conditionalFormatting>
  <conditionalFormatting sqref="K53">
    <cfRule type="cellIs" dxfId="2658" priority="479" operator="greaterThan">
      <formula>$D53</formula>
    </cfRule>
    <cfRule type="cellIs" dxfId="2657" priority="480" operator="lessThanOrEqual">
      <formula>$D53</formula>
    </cfRule>
  </conditionalFormatting>
  <conditionalFormatting sqref="K54">
    <cfRule type="cellIs" dxfId="2656" priority="477" operator="greaterThan">
      <formula>$D54</formula>
    </cfRule>
    <cfRule type="cellIs" dxfId="2655" priority="478" operator="lessThanOrEqual">
      <formula>$D54</formula>
    </cfRule>
  </conditionalFormatting>
  <conditionalFormatting sqref="K56">
    <cfRule type="cellIs" dxfId="2654" priority="475" operator="greaterThan">
      <formula>$D56</formula>
    </cfRule>
    <cfRule type="cellIs" dxfId="2653" priority="476" operator="lessThanOrEqual">
      <formula>$D56</formula>
    </cfRule>
  </conditionalFormatting>
  <conditionalFormatting sqref="K57">
    <cfRule type="cellIs" dxfId="2652" priority="473" operator="greaterThan">
      <formula>$D57</formula>
    </cfRule>
    <cfRule type="cellIs" dxfId="2651" priority="474" operator="lessThanOrEqual">
      <formula>$D57</formula>
    </cfRule>
  </conditionalFormatting>
  <conditionalFormatting sqref="K58">
    <cfRule type="cellIs" dxfId="2650" priority="471" operator="greaterThan">
      <formula>$D58</formula>
    </cfRule>
    <cfRule type="cellIs" dxfId="2649" priority="472" operator="lessThanOrEqual">
      <formula>$D58</formula>
    </cfRule>
  </conditionalFormatting>
  <conditionalFormatting sqref="K59">
    <cfRule type="cellIs" dxfId="2648" priority="469" operator="greaterThan">
      <formula>$D59</formula>
    </cfRule>
    <cfRule type="cellIs" dxfId="2647" priority="470" operator="lessThanOrEqual">
      <formula>$D59</formula>
    </cfRule>
  </conditionalFormatting>
  <conditionalFormatting sqref="K60">
    <cfRule type="cellIs" dxfId="2646" priority="467" operator="greaterThan">
      <formula>$D60</formula>
    </cfRule>
    <cfRule type="cellIs" dxfId="2645" priority="468" operator="lessThanOrEqual">
      <formula>$D60</formula>
    </cfRule>
  </conditionalFormatting>
  <conditionalFormatting sqref="K61">
    <cfRule type="cellIs" dxfId="2644" priority="465" operator="greaterThan">
      <formula>$D61</formula>
    </cfRule>
    <cfRule type="cellIs" dxfId="2643" priority="466" operator="lessThanOrEqual">
      <formula>$D61</formula>
    </cfRule>
  </conditionalFormatting>
  <conditionalFormatting sqref="K62">
    <cfRule type="cellIs" dxfId="2642" priority="463" operator="greaterThan">
      <formula>$D62</formula>
    </cfRule>
    <cfRule type="cellIs" dxfId="2641" priority="464" operator="lessThanOrEqual">
      <formula>$D62</formula>
    </cfRule>
  </conditionalFormatting>
  <conditionalFormatting sqref="K63">
    <cfRule type="cellIs" dxfId="2640" priority="461" operator="greaterThan">
      <formula>$D63</formula>
    </cfRule>
    <cfRule type="cellIs" dxfId="2639" priority="462" operator="lessThanOrEqual">
      <formula>$D63</formula>
    </cfRule>
  </conditionalFormatting>
  <conditionalFormatting sqref="K64">
    <cfRule type="cellIs" dxfId="2638" priority="459" operator="greaterThan">
      <formula>$D64</formula>
    </cfRule>
    <cfRule type="cellIs" dxfId="2637" priority="460" operator="lessThanOrEqual">
      <formula>$D64</formula>
    </cfRule>
  </conditionalFormatting>
  <conditionalFormatting sqref="K65">
    <cfRule type="cellIs" dxfId="2636" priority="457" operator="greaterThan">
      <formula>$D65</formula>
    </cfRule>
    <cfRule type="cellIs" dxfId="2635" priority="458" operator="lessThanOrEqual">
      <formula>$D65</formula>
    </cfRule>
  </conditionalFormatting>
  <conditionalFormatting sqref="K66">
    <cfRule type="cellIs" dxfId="2634" priority="455" operator="greaterThan">
      <formula>$D66</formula>
    </cfRule>
    <cfRule type="cellIs" dxfId="2633" priority="456" operator="lessThanOrEqual">
      <formula>$D66</formula>
    </cfRule>
  </conditionalFormatting>
  <conditionalFormatting sqref="K67">
    <cfRule type="cellIs" dxfId="2632" priority="453" operator="greaterThan">
      <formula>$D67</formula>
    </cfRule>
    <cfRule type="cellIs" dxfId="2631" priority="454" operator="lessThanOrEqual">
      <formula>$D67</formula>
    </cfRule>
  </conditionalFormatting>
  <conditionalFormatting sqref="K68">
    <cfRule type="cellIs" dxfId="2630" priority="451" operator="greaterThan">
      <formula>$D68</formula>
    </cfRule>
    <cfRule type="cellIs" dxfId="2629" priority="452" operator="lessThanOrEqual">
      <formula>$D68</formula>
    </cfRule>
  </conditionalFormatting>
  <conditionalFormatting sqref="K69">
    <cfRule type="cellIs" dxfId="2628" priority="449" operator="greaterThan">
      <formula>$D69</formula>
    </cfRule>
    <cfRule type="cellIs" dxfId="2627" priority="450" operator="lessThanOrEqual">
      <formula>$D69</formula>
    </cfRule>
  </conditionalFormatting>
  <conditionalFormatting sqref="K70">
    <cfRule type="cellIs" dxfId="2626" priority="447" operator="greaterThan">
      <formula>$D70</formula>
    </cfRule>
    <cfRule type="cellIs" dxfId="2625" priority="448" operator="lessThanOrEqual">
      <formula>$D70</formula>
    </cfRule>
  </conditionalFormatting>
  <conditionalFormatting sqref="K71">
    <cfRule type="cellIs" dxfId="2624" priority="445" operator="greaterThan">
      <formula>$D71</formula>
    </cfRule>
    <cfRule type="cellIs" dxfId="2623" priority="446" operator="lessThanOrEqual">
      <formula>$D71</formula>
    </cfRule>
  </conditionalFormatting>
  <conditionalFormatting sqref="K72:K73">
    <cfRule type="cellIs" dxfId="2622" priority="443" operator="greaterThan">
      <formula>$D72</formula>
    </cfRule>
    <cfRule type="cellIs" dxfId="2621" priority="444" operator="lessThanOrEqual">
      <formula>$D72</formula>
    </cfRule>
  </conditionalFormatting>
  <conditionalFormatting sqref="K74">
    <cfRule type="cellIs" dxfId="2620" priority="441" operator="greaterThan">
      <formula>$D74</formula>
    </cfRule>
    <cfRule type="cellIs" dxfId="2619" priority="442" operator="lessThanOrEqual">
      <formula>$D74</formula>
    </cfRule>
  </conditionalFormatting>
  <conditionalFormatting sqref="L46">
    <cfRule type="cellIs" dxfId="2618" priority="439" operator="greaterThan">
      <formula>$D46</formula>
    </cfRule>
    <cfRule type="cellIs" dxfId="2617" priority="440" operator="lessThanOrEqual">
      <formula>$D46</formula>
    </cfRule>
  </conditionalFormatting>
  <conditionalFormatting sqref="L47">
    <cfRule type="cellIs" dxfId="2616" priority="437" operator="greaterThan">
      <formula>$D47</formula>
    </cfRule>
    <cfRule type="cellIs" dxfId="2615" priority="438" operator="lessThanOrEqual">
      <formula>$D47</formula>
    </cfRule>
  </conditionalFormatting>
  <conditionalFormatting sqref="L48">
    <cfRule type="cellIs" dxfId="2614" priority="435" operator="greaterThan">
      <formula>$D48</formula>
    </cfRule>
    <cfRule type="cellIs" dxfId="2613" priority="436" operator="lessThanOrEqual">
      <formula>$D48</formula>
    </cfRule>
  </conditionalFormatting>
  <conditionalFormatting sqref="L49">
    <cfRule type="cellIs" dxfId="2612" priority="433" operator="greaterThan">
      <formula>$D49</formula>
    </cfRule>
    <cfRule type="cellIs" dxfId="2611" priority="434" operator="lessThanOrEqual">
      <formula>$D49</formula>
    </cfRule>
  </conditionalFormatting>
  <conditionalFormatting sqref="L50">
    <cfRule type="cellIs" dxfId="2610" priority="431" operator="greaterThan">
      <formula>$D50</formula>
    </cfRule>
    <cfRule type="cellIs" dxfId="2609" priority="432" operator="lessThanOrEqual">
      <formula>$D50</formula>
    </cfRule>
  </conditionalFormatting>
  <conditionalFormatting sqref="L51">
    <cfRule type="cellIs" dxfId="2608" priority="429" operator="greaterThan">
      <formula>$D51</formula>
    </cfRule>
    <cfRule type="cellIs" dxfId="2607" priority="430" operator="lessThanOrEqual">
      <formula>$D51</formula>
    </cfRule>
  </conditionalFormatting>
  <conditionalFormatting sqref="L52">
    <cfRule type="cellIs" dxfId="2606" priority="427" operator="greaterThan">
      <formula>$D52</formula>
    </cfRule>
    <cfRule type="cellIs" dxfId="2605" priority="428" operator="lessThanOrEqual">
      <formula>$D52</formula>
    </cfRule>
  </conditionalFormatting>
  <conditionalFormatting sqref="L53">
    <cfRule type="cellIs" dxfId="2604" priority="425" operator="greaterThan">
      <formula>$D53</formula>
    </cfRule>
    <cfRule type="cellIs" dxfId="2603" priority="426" operator="lessThanOrEqual">
      <formula>$D53</formula>
    </cfRule>
  </conditionalFormatting>
  <conditionalFormatting sqref="L54">
    <cfRule type="cellIs" dxfId="2602" priority="423" operator="greaterThan">
      <formula>$D54</formula>
    </cfRule>
    <cfRule type="cellIs" dxfId="2601" priority="424" operator="lessThanOrEqual">
      <formula>$D54</formula>
    </cfRule>
  </conditionalFormatting>
  <conditionalFormatting sqref="L56">
    <cfRule type="cellIs" dxfId="2600" priority="421" operator="greaterThan">
      <formula>$D56</formula>
    </cfRule>
    <cfRule type="cellIs" dxfId="2599" priority="422" operator="lessThanOrEqual">
      <formula>$D56</formula>
    </cfRule>
  </conditionalFormatting>
  <conditionalFormatting sqref="L57">
    <cfRule type="cellIs" dxfId="2598" priority="419" operator="greaterThan">
      <formula>$D57</formula>
    </cfRule>
    <cfRule type="cellIs" dxfId="2597" priority="420" operator="lessThanOrEqual">
      <formula>$D57</formula>
    </cfRule>
  </conditionalFormatting>
  <conditionalFormatting sqref="L58">
    <cfRule type="cellIs" dxfId="2596" priority="417" operator="greaterThan">
      <formula>$D58</formula>
    </cfRule>
    <cfRule type="cellIs" dxfId="2595" priority="418" operator="lessThanOrEqual">
      <formula>$D58</formula>
    </cfRule>
  </conditionalFormatting>
  <conditionalFormatting sqref="L59">
    <cfRule type="cellIs" dxfId="2594" priority="415" operator="greaterThan">
      <formula>$D59</formula>
    </cfRule>
    <cfRule type="cellIs" dxfId="2593" priority="416" operator="lessThanOrEqual">
      <formula>$D59</formula>
    </cfRule>
  </conditionalFormatting>
  <conditionalFormatting sqref="L60">
    <cfRule type="cellIs" dxfId="2592" priority="413" operator="greaterThan">
      <formula>$D60</formula>
    </cfRule>
    <cfRule type="cellIs" dxfId="2591" priority="414" operator="lessThanOrEqual">
      <formula>$D60</formula>
    </cfRule>
  </conditionalFormatting>
  <conditionalFormatting sqref="L61">
    <cfRule type="cellIs" dxfId="2590" priority="411" operator="greaterThan">
      <formula>$D61</formula>
    </cfRule>
    <cfRule type="cellIs" dxfId="2589" priority="412" operator="lessThanOrEqual">
      <formula>$D61</formula>
    </cfRule>
  </conditionalFormatting>
  <conditionalFormatting sqref="L62">
    <cfRule type="cellIs" dxfId="2588" priority="409" operator="greaterThan">
      <formula>$D62</formula>
    </cfRule>
    <cfRule type="cellIs" dxfId="2587" priority="410" operator="lessThanOrEqual">
      <formula>$D62</formula>
    </cfRule>
  </conditionalFormatting>
  <conditionalFormatting sqref="L63">
    <cfRule type="cellIs" dxfId="2586" priority="407" operator="greaterThan">
      <formula>$D63</formula>
    </cfRule>
    <cfRule type="cellIs" dxfId="2585" priority="408" operator="lessThanOrEqual">
      <formula>$D63</formula>
    </cfRule>
  </conditionalFormatting>
  <conditionalFormatting sqref="L64">
    <cfRule type="cellIs" dxfId="2584" priority="405" operator="greaterThan">
      <formula>$D64</formula>
    </cfRule>
    <cfRule type="cellIs" dxfId="2583" priority="406" operator="lessThanOrEqual">
      <formula>$D64</formula>
    </cfRule>
  </conditionalFormatting>
  <conditionalFormatting sqref="L65">
    <cfRule type="cellIs" dxfId="2582" priority="403" operator="greaterThan">
      <formula>$D65</formula>
    </cfRule>
    <cfRule type="cellIs" dxfId="2581" priority="404" operator="lessThanOrEqual">
      <formula>$D65</formula>
    </cfRule>
  </conditionalFormatting>
  <conditionalFormatting sqref="L66">
    <cfRule type="cellIs" dxfId="2580" priority="401" operator="greaterThan">
      <formula>$D66</formula>
    </cfRule>
    <cfRule type="cellIs" dxfId="2579" priority="402" operator="lessThanOrEqual">
      <formula>$D66</formula>
    </cfRule>
  </conditionalFormatting>
  <conditionalFormatting sqref="L67">
    <cfRule type="cellIs" dxfId="2578" priority="399" operator="greaterThan">
      <formula>$D67</formula>
    </cfRule>
    <cfRule type="cellIs" dxfId="2577" priority="400" operator="lessThanOrEqual">
      <formula>$D67</formula>
    </cfRule>
  </conditionalFormatting>
  <conditionalFormatting sqref="L68">
    <cfRule type="cellIs" dxfId="2576" priority="397" operator="greaterThan">
      <formula>$D68</formula>
    </cfRule>
    <cfRule type="cellIs" dxfId="2575" priority="398" operator="lessThanOrEqual">
      <formula>$D68</formula>
    </cfRule>
  </conditionalFormatting>
  <conditionalFormatting sqref="L69">
    <cfRule type="cellIs" dxfId="2574" priority="395" operator="greaterThan">
      <formula>$D69</formula>
    </cfRule>
    <cfRule type="cellIs" dxfId="2573" priority="396" operator="lessThanOrEqual">
      <formula>$D69</formula>
    </cfRule>
  </conditionalFormatting>
  <conditionalFormatting sqref="L70">
    <cfRule type="cellIs" dxfId="2572" priority="393" operator="greaterThan">
      <formula>$D70</formula>
    </cfRule>
    <cfRule type="cellIs" dxfId="2571" priority="394" operator="lessThanOrEqual">
      <formula>$D70</formula>
    </cfRule>
  </conditionalFormatting>
  <conditionalFormatting sqref="L71">
    <cfRule type="cellIs" dxfId="2570" priority="391" operator="greaterThan">
      <formula>$D71</formula>
    </cfRule>
    <cfRule type="cellIs" dxfId="2569" priority="392" operator="lessThanOrEqual">
      <formula>$D71</formula>
    </cfRule>
  </conditionalFormatting>
  <conditionalFormatting sqref="L72:L73">
    <cfRule type="cellIs" dxfId="2568" priority="389" operator="greaterThan">
      <formula>$D72</formula>
    </cfRule>
    <cfRule type="cellIs" dxfId="2567" priority="390" operator="lessThanOrEqual">
      <formula>$D72</formula>
    </cfRule>
  </conditionalFormatting>
  <conditionalFormatting sqref="L74">
    <cfRule type="cellIs" dxfId="2566" priority="387" operator="greaterThan">
      <formula>$D74</formula>
    </cfRule>
    <cfRule type="cellIs" dxfId="2565" priority="388" operator="lessThanOrEqual">
      <formula>$D74</formula>
    </cfRule>
  </conditionalFormatting>
  <conditionalFormatting sqref="M46">
    <cfRule type="cellIs" dxfId="2564" priority="385" operator="greaterThan">
      <formula>$D46</formula>
    </cfRule>
    <cfRule type="cellIs" dxfId="2563" priority="386" operator="lessThanOrEqual">
      <formula>$D46</formula>
    </cfRule>
  </conditionalFormatting>
  <conditionalFormatting sqref="M47">
    <cfRule type="cellIs" dxfId="2562" priority="383" operator="greaterThan">
      <formula>$D47</formula>
    </cfRule>
    <cfRule type="cellIs" dxfId="2561" priority="384" operator="lessThanOrEqual">
      <formula>$D47</formula>
    </cfRule>
  </conditionalFormatting>
  <conditionalFormatting sqref="M48">
    <cfRule type="cellIs" dxfId="2560" priority="381" operator="greaterThan">
      <formula>$D48</formula>
    </cfRule>
    <cfRule type="cellIs" dxfId="2559" priority="382" operator="lessThanOrEqual">
      <formula>$D48</formula>
    </cfRule>
  </conditionalFormatting>
  <conditionalFormatting sqref="M49">
    <cfRule type="cellIs" dxfId="2558" priority="379" operator="greaterThan">
      <formula>$D49</formula>
    </cfRule>
    <cfRule type="cellIs" dxfId="2557" priority="380" operator="lessThanOrEqual">
      <formula>$D49</formula>
    </cfRule>
  </conditionalFormatting>
  <conditionalFormatting sqref="M50">
    <cfRule type="cellIs" dxfId="2556" priority="377" operator="greaterThan">
      <formula>$D50</formula>
    </cfRule>
    <cfRule type="cellIs" dxfId="2555" priority="378" operator="lessThanOrEqual">
      <formula>$D50</formula>
    </cfRule>
  </conditionalFormatting>
  <conditionalFormatting sqref="M51">
    <cfRule type="cellIs" dxfId="2554" priority="375" operator="greaterThan">
      <formula>$D51</formula>
    </cfRule>
    <cfRule type="cellIs" dxfId="2553" priority="376" operator="lessThanOrEqual">
      <formula>$D51</formula>
    </cfRule>
  </conditionalFormatting>
  <conditionalFormatting sqref="M52">
    <cfRule type="cellIs" dxfId="2552" priority="373" operator="greaterThan">
      <formula>$D52</formula>
    </cfRule>
    <cfRule type="cellIs" dxfId="2551" priority="374" operator="lessThanOrEqual">
      <formula>$D52</formula>
    </cfRule>
  </conditionalFormatting>
  <conditionalFormatting sqref="M53">
    <cfRule type="cellIs" dxfId="2550" priority="371" operator="greaterThan">
      <formula>$D53</formula>
    </cfRule>
    <cfRule type="cellIs" dxfId="2549" priority="372" operator="lessThanOrEqual">
      <formula>$D53</formula>
    </cfRule>
  </conditionalFormatting>
  <conditionalFormatting sqref="M54">
    <cfRule type="cellIs" dxfId="2548" priority="369" operator="greaterThan">
      <formula>$D54</formula>
    </cfRule>
    <cfRule type="cellIs" dxfId="2547" priority="370" operator="lessThanOrEqual">
      <formula>$D54</formula>
    </cfRule>
  </conditionalFormatting>
  <conditionalFormatting sqref="M56">
    <cfRule type="cellIs" dxfId="2546" priority="367" operator="greaterThan">
      <formula>$D56</formula>
    </cfRule>
    <cfRule type="cellIs" dxfId="2545" priority="368" operator="lessThanOrEqual">
      <formula>$D56</formula>
    </cfRule>
  </conditionalFormatting>
  <conditionalFormatting sqref="M57">
    <cfRule type="cellIs" dxfId="2544" priority="365" operator="greaterThan">
      <formula>$D57</formula>
    </cfRule>
    <cfRule type="cellIs" dxfId="2543" priority="366" operator="lessThanOrEqual">
      <formula>$D57</formula>
    </cfRule>
  </conditionalFormatting>
  <conditionalFormatting sqref="M58">
    <cfRule type="cellIs" dxfId="2542" priority="363" operator="greaterThan">
      <formula>$D58</formula>
    </cfRule>
    <cfRule type="cellIs" dxfId="2541" priority="364" operator="lessThanOrEqual">
      <formula>$D58</formula>
    </cfRule>
  </conditionalFormatting>
  <conditionalFormatting sqref="M59">
    <cfRule type="cellIs" dxfId="2540" priority="361" operator="greaterThan">
      <formula>$D59</formula>
    </cfRule>
    <cfRule type="cellIs" dxfId="2539" priority="362" operator="lessThanOrEqual">
      <formula>$D59</formula>
    </cfRule>
  </conditionalFormatting>
  <conditionalFormatting sqref="M60">
    <cfRule type="cellIs" dxfId="2538" priority="359" operator="greaterThan">
      <formula>$D60</formula>
    </cfRule>
    <cfRule type="cellIs" dxfId="2537" priority="360" operator="lessThanOrEqual">
      <formula>$D60</formula>
    </cfRule>
  </conditionalFormatting>
  <conditionalFormatting sqref="M61">
    <cfRule type="cellIs" dxfId="2536" priority="357" operator="greaterThan">
      <formula>$D61</formula>
    </cfRule>
    <cfRule type="cellIs" dxfId="2535" priority="358" operator="lessThanOrEqual">
      <formula>$D61</formula>
    </cfRule>
  </conditionalFormatting>
  <conditionalFormatting sqref="M62">
    <cfRule type="cellIs" dxfId="2534" priority="355" operator="greaterThan">
      <formula>$D62</formula>
    </cfRule>
    <cfRule type="cellIs" dxfId="2533" priority="356" operator="lessThanOrEqual">
      <formula>$D62</formula>
    </cfRule>
  </conditionalFormatting>
  <conditionalFormatting sqref="M63">
    <cfRule type="cellIs" dxfId="2532" priority="353" operator="greaterThan">
      <formula>$D63</formula>
    </cfRule>
    <cfRule type="cellIs" dxfId="2531" priority="354" operator="lessThanOrEqual">
      <formula>$D63</formula>
    </cfRule>
  </conditionalFormatting>
  <conditionalFormatting sqref="M64">
    <cfRule type="cellIs" dxfId="2530" priority="351" operator="greaterThan">
      <formula>$D64</formula>
    </cfRule>
    <cfRule type="cellIs" dxfId="2529" priority="352" operator="lessThanOrEqual">
      <formula>$D64</formula>
    </cfRule>
  </conditionalFormatting>
  <conditionalFormatting sqref="M65">
    <cfRule type="cellIs" dxfId="2528" priority="349" operator="greaterThan">
      <formula>$D65</formula>
    </cfRule>
    <cfRule type="cellIs" dxfId="2527" priority="350" operator="lessThanOrEqual">
      <formula>$D65</formula>
    </cfRule>
  </conditionalFormatting>
  <conditionalFormatting sqref="M66">
    <cfRule type="cellIs" dxfId="2526" priority="347" operator="greaterThan">
      <formula>$D66</formula>
    </cfRule>
    <cfRule type="cellIs" dxfId="2525" priority="348" operator="lessThanOrEqual">
      <formula>$D66</formula>
    </cfRule>
  </conditionalFormatting>
  <conditionalFormatting sqref="M67">
    <cfRule type="cellIs" dxfId="2524" priority="345" operator="greaterThan">
      <formula>$D67</formula>
    </cfRule>
    <cfRule type="cellIs" dxfId="2523" priority="346" operator="lessThanOrEqual">
      <formula>$D67</formula>
    </cfRule>
  </conditionalFormatting>
  <conditionalFormatting sqref="M68">
    <cfRule type="cellIs" dxfId="2522" priority="343" operator="greaterThan">
      <formula>$D68</formula>
    </cfRule>
    <cfRule type="cellIs" dxfId="2521" priority="344" operator="lessThanOrEqual">
      <formula>$D68</formula>
    </cfRule>
  </conditionalFormatting>
  <conditionalFormatting sqref="M69">
    <cfRule type="cellIs" dxfId="2520" priority="341" operator="greaterThan">
      <formula>$D69</formula>
    </cfRule>
    <cfRule type="cellIs" dxfId="2519" priority="342" operator="lessThanOrEqual">
      <formula>$D69</formula>
    </cfRule>
  </conditionalFormatting>
  <conditionalFormatting sqref="M70">
    <cfRule type="cellIs" dxfId="2518" priority="339" operator="greaterThan">
      <formula>$D70</formula>
    </cfRule>
    <cfRule type="cellIs" dxfId="2517" priority="340" operator="lessThanOrEqual">
      <formula>$D70</formula>
    </cfRule>
  </conditionalFormatting>
  <conditionalFormatting sqref="M71">
    <cfRule type="cellIs" dxfId="2516" priority="337" operator="greaterThan">
      <formula>$D71</formula>
    </cfRule>
    <cfRule type="cellIs" dxfId="2515" priority="338" operator="lessThanOrEqual">
      <formula>$D71</formula>
    </cfRule>
  </conditionalFormatting>
  <conditionalFormatting sqref="M72:M73">
    <cfRule type="cellIs" dxfId="2514" priority="335" operator="greaterThan">
      <formula>$D72</formula>
    </cfRule>
    <cfRule type="cellIs" dxfId="2513" priority="336" operator="lessThanOrEqual">
      <formula>$D72</formula>
    </cfRule>
  </conditionalFormatting>
  <conditionalFormatting sqref="M74">
    <cfRule type="cellIs" dxfId="2512" priority="333" operator="greaterThan">
      <formula>$D74</formula>
    </cfRule>
    <cfRule type="cellIs" dxfId="2511" priority="334" operator="lessThanOrEqual">
      <formula>$D74</formula>
    </cfRule>
  </conditionalFormatting>
  <conditionalFormatting sqref="N46">
    <cfRule type="cellIs" dxfId="2510" priority="331" operator="greaterThan">
      <formula>$D46</formula>
    </cfRule>
    <cfRule type="cellIs" dxfId="2509" priority="332" operator="lessThanOrEqual">
      <formula>$D46</formula>
    </cfRule>
  </conditionalFormatting>
  <conditionalFormatting sqref="N47">
    <cfRule type="cellIs" dxfId="2508" priority="329" operator="greaterThan">
      <formula>$D47</formula>
    </cfRule>
    <cfRule type="cellIs" dxfId="2507" priority="330" operator="lessThanOrEqual">
      <formula>$D47</formula>
    </cfRule>
  </conditionalFormatting>
  <conditionalFormatting sqref="N48">
    <cfRule type="cellIs" dxfId="2506" priority="327" operator="greaterThan">
      <formula>$D48</formula>
    </cfRule>
    <cfRule type="cellIs" dxfId="2505" priority="328" operator="lessThanOrEqual">
      <formula>$D48</formula>
    </cfRule>
  </conditionalFormatting>
  <conditionalFormatting sqref="N49">
    <cfRule type="cellIs" dxfId="2504" priority="325" operator="greaterThan">
      <formula>$D49</formula>
    </cfRule>
    <cfRule type="cellIs" dxfId="2503" priority="326" operator="lessThanOrEqual">
      <formula>$D49</formula>
    </cfRule>
  </conditionalFormatting>
  <conditionalFormatting sqref="N50">
    <cfRule type="cellIs" dxfId="2502" priority="323" operator="greaterThan">
      <formula>$D50</formula>
    </cfRule>
    <cfRule type="cellIs" dxfId="2501" priority="324" operator="lessThanOrEqual">
      <formula>$D50</formula>
    </cfRule>
  </conditionalFormatting>
  <conditionalFormatting sqref="N51">
    <cfRule type="cellIs" dxfId="2500" priority="321" operator="greaterThan">
      <formula>$D51</formula>
    </cfRule>
    <cfRule type="cellIs" dxfId="2499" priority="322" operator="lessThanOrEqual">
      <formula>$D51</formula>
    </cfRule>
  </conditionalFormatting>
  <conditionalFormatting sqref="N52">
    <cfRule type="cellIs" dxfId="2498" priority="319" operator="greaterThan">
      <formula>$D52</formula>
    </cfRule>
    <cfRule type="cellIs" dxfId="2497" priority="320" operator="lessThanOrEqual">
      <formula>$D52</formula>
    </cfRule>
  </conditionalFormatting>
  <conditionalFormatting sqref="N53">
    <cfRule type="cellIs" dxfId="2496" priority="317" operator="greaterThan">
      <formula>$D53</formula>
    </cfRule>
    <cfRule type="cellIs" dxfId="2495" priority="318" operator="lessThanOrEqual">
      <formula>$D53</formula>
    </cfRule>
  </conditionalFormatting>
  <conditionalFormatting sqref="N54">
    <cfRule type="cellIs" dxfId="2494" priority="315" operator="greaterThan">
      <formula>$D54</formula>
    </cfRule>
    <cfRule type="cellIs" dxfId="2493" priority="316" operator="lessThanOrEqual">
      <formula>$D54</formula>
    </cfRule>
  </conditionalFormatting>
  <conditionalFormatting sqref="N56">
    <cfRule type="cellIs" dxfId="2492" priority="313" operator="greaterThan">
      <formula>$D56</formula>
    </cfRule>
    <cfRule type="cellIs" dxfId="2491" priority="314" operator="lessThanOrEqual">
      <formula>$D56</formula>
    </cfRule>
  </conditionalFormatting>
  <conditionalFormatting sqref="N57">
    <cfRule type="cellIs" dxfId="2490" priority="311" operator="greaterThan">
      <formula>$D57</formula>
    </cfRule>
    <cfRule type="cellIs" dxfId="2489" priority="312" operator="lessThanOrEqual">
      <formula>$D57</formula>
    </cfRule>
  </conditionalFormatting>
  <conditionalFormatting sqref="N58">
    <cfRule type="cellIs" dxfId="2488" priority="309" operator="greaterThan">
      <formula>$D58</formula>
    </cfRule>
    <cfRule type="cellIs" dxfId="2487" priority="310" operator="lessThanOrEqual">
      <formula>$D58</formula>
    </cfRule>
  </conditionalFormatting>
  <conditionalFormatting sqref="N59">
    <cfRule type="cellIs" dxfId="2486" priority="307" operator="greaterThan">
      <formula>$D59</formula>
    </cfRule>
    <cfRule type="cellIs" dxfId="2485" priority="308" operator="lessThanOrEqual">
      <formula>$D59</formula>
    </cfRule>
  </conditionalFormatting>
  <conditionalFormatting sqref="N60">
    <cfRule type="cellIs" dxfId="2484" priority="305" operator="greaterThan">
      <formula>$D60</formula>
    </cfRule>
    <cfRule type="cellIs" dxfId="2483" priority="306" operator="lessThanOrEqual">
      <formula>$D60</formula>
    </cfRule>
  </conditionalFormatting>
  <conditionalFormatting sqref="N61">
    <cfRule type="cellIs" dxfId="2482" priority="303" operator="greaterThan">
      <formula>$D61</formula>
    </cfRule>
    <cfRule type="cellIs" dxfId="2481" priority="304" operator="lessThanOrEqual">
      <formula>$D61</formula>
    </cfRule>
  </conditionalFormatting>
  <conditionalFormatting sqref="N62">
    <cfRule type="cellIs" dxfId="2480" priority="301" operator="greaterThan">
      <formula>$D62</formula>
    </cfRule>
    <cfRule type="cellIs" dxfId="2479" priority="302" operator="lessThanOrEqual">
      <formula>$D62</formula>
    </cfRule>
  </conditionalFormatting>
  <conditionalFormatting sqref="N63">
    <cfRule type="cellIs" dxfId="2478" priority="299" operator="greaterThan">
      <formula>$D63</formula>
    </cfRule>
    <cfRule type="cellIs" dxfId="2477" priority="300" operator="lessThanOrEqual">
      <formula>$D63</formula>
    </cfRule>
  </conditionalFormatting>
  <conditionalFormatting sqref="N64">
    <cfRule type="cellIs" dxfId="2476" priority="297" operator="greaterThan">
      <formula>$D64</formula>
    </cfRule>
    <cfRule type="cellIs" dxfId="2475" priority="298" operator="lessThanOrEqual">
      <formula>$D64</formula>
    </cfRule>
  </conditionalFormatting>
  <conditionalFormatting sqref="N65">
    <cfRule type="cellIs" dxfId="2474" priority="295" operator="greaterThan">
      <formula>$D65</formula>
    </cfRule>
    <cfRule type="cellIs" dxfId="2473" priority="296" operator="lessThanOrEqual">
      <formula>$D65</formula>
    </cfRule>
  </conditionalFormatting>
  <conditionalFormatting sqref="N66">
    <cfRule type="cellIs" dxfId="2472" priority="293" operator="greaterThan">
      <formula>$D66</formula>
    </cfRule>
    <cfRule type="cellIs" dxfId="2471" priority="294" operator="lessThanOrEqual">
      <formula>$D66</formula>
    </cfRule>
  </conditionalFormatting>
  <conditionalFormatting sqref="N67">
    <cfRule type="cellIs" dxfId="2470" priority="291" operator="greaterThan">
      <formula>$D67</formula>
    </cfRule>
    <cfRule type="cellIs" dxfId="2469" priority="292" operator="lessThanOrEqual">
      <formula>$D67</formula>
    </cfRule>
  </conditionalFormatting>
  <conditionalFormatting sqref="N68">
    <cfRule type="cellIs" dxfId="2468" priority="289" operator="greaterThan">
      <formula>$D68</formula>
    </cfRule>
    <cfRule type="cellIs" dxfId="2467" priority="290" operator="lessThanOrEqual">
      <formula>$D68</formula>
    </cfRule>
  </conditionalFormatting>
  <conditionalFormatting sqref="N69">
    <cfRule type="cellIs" dxfId="2466" priority="287" operator="greaterThan">
      <formula>$D69</formula>
    </cfRule>
    <cfRule type="cellIs" dxfId="2465" priority="288" operator="lessThanOrEqual">
      <formula>$D69</formula>
    </cfRule>
  </conditionalFormatting>
  <conditionalFormatting sqref="N70">
    <cfRule type="cellIs" dxfId="2464" priority="285" operator="greaterThan">
      <formula>$D70</formula>
    </cfRule>
    <cfRule type="cellIs" dxfId="2463" priority="286" operator="lessThanOrEqual">
      <formula>$D70</formula>
    </cfRule>
  </conditionalFormatting>
  <conditionalFormatting sqref="N71">
    <cfRule type="cellIs" dxfId="2462" priority="283" operator="greaterThan">
      <formula>$D71</formula>
    </cfRule>
    <cfRule type="cellIs" dxfId="2461" priority="284" operator="lessThanOrEqual">
      <formula>$D71</formula>
    </cfRule>
  </conditionalFormatting>
  <conditionalFormatting sqref="N72:N73">
    <cfRule type="cellIs" dxfId="2460" priority="281" operator="greaterThan">
      <formula>$D72</formula>
    </cfRule>
    <cfRule type="cellIs" dxfId="2459" priority="282" operator="lessThanOrEqual">
      <formula>$D72</formula>
    </cfRule>
  </conditionalFormatting>
  <conditionalFormatting sqref="O46">
    <cfRule type="cellIs" dxfId="2458" priority="279" operator="greaterThan">
      <formula>$D46</formula>
    </cfRule>
    <cfRule type="cellIs" dxfId="2457" priority="280" operator="lessThanOrEqual">
      <formula>$D46</formula>
    </cfRule>
  </conditionalFormatting>
  <conditionalFormatting sqref="O47">
    <cfRule type="cellIs" dxfId="2456" priority="277" operator="greaterThan">
      <formula>$D47</formula>
    </cfRule>
    <cfRule type="cellIs" dxfId="2455" priority="278" operator="lessThanOrEqual">
      <formula>$D47</formula>
    </cfRule>
  </conditionalFormatting>
  <conditionalFormatting sqref="O48">
    <cfRule type="cellIs" dxfId="2454" priority="275" operator="greaterThan">
      <formula>$D48</formula>
    </cfRule>
    <cfRule type="cellIs" dxfId="2453" priority="276" operator="lessThanOrEqual">
      <formula>$D48</formula>
    </cfRule>
  </conditionalFormatting>
  <conditionalFormatting sqref="O49">
    <cfRule type="cellIs" dxfId="2452" priority="273" operator="greaterThan">
      <formula>$D49</formula>
    </cfRule>
    <cfRule type="cellIs" dxfId="2451" priority="274" operator="lessThanOrEqual">
      <formula>$D49</formula>
    </cfRule>
  </conditionalFormatting>
  <conditionalFormatting sqref="O50">
    <cfRule type="cellIs" dxfId="2450" priority="271" operator="greaterThan">
      <formula>$D50</formula>
    </cfRule>
    <cfRule type="cellIs" dxfId="2449" priority="272" operator="lessThanOrEqual">
      <formula>$D50</formula>
    </cfRule>
  </conditionalFormatting>
  <conditionalFormatting sqref="O51">
    <cfRule type="cellIs" dxfId="2448" priority="269" operator="greaterThan">
      <formula>$D51</formula>
    </cfRule>
    <cfRule type="cellIs" dxfId="2447" priority="270" operator="lessThanOrEqual">
      <formula>$D51</formula>
    </cfRule>
  </conditionalFormatting>
  <conditionalFormatting sqref="O52">
    <cfRule type="cellIs" dxfId="2446" priority="267" operator="greaterThan">
      <formula>$D52</formula>
    </cfRule>
    <cfRule type="cellIs" dxfId="2445" priority="268" operator="lessThanOrEqual">
      <formula>$D52</formula>
    </cfRule>
  </conditionalFormatting>
  <conditionalFormatting sqref="O53">
    <cfRule type="cellIs" dxfId="2444" priority="265" operator="greaterThan">
      <formula>$D53</formula>
    </cfRule>
    <cfRule type="cellIs" dxfId="2443" priority="266" operator="lessThanOrEqual">
      <formula>$D53</formula>
    </cfRule>
  </conditionalFormatting>
  <conditionalFormatting sqref="O54">
    <cfRule type="cellIs" dxfId="2442" priority="263" operator="greaterThan">
      <formula>$D54</formula>
    </cfRule>
    <cfRule type="cellIs" dxfId="2441" priority="264" operator="lessThanOrEqual">
      <formula>$D54</formula>
    </cfRule>
  </conditionalFormatting>
  <conditionalFormatting sqref="O56">
    <cfRule type="cellIs" dxfId="2440" priority="261" operator="greaterThan">
      <formula>$D56</formula>
    </cfRule>
    <cfRule type="cellIs" dxfId="2439" priority="262" operator="lessThanOrEqual">
      <formula>$D56</formula>
    </cfRule>
  </conditionalFormatting>
  <conditionalFormatting sqref="O57">
    <cfRule type="cellIs" dxfId="2438" priority="259" operator="greaterThan">
      <formula>$D57</formula>
    </cfRule>
    <cfRule type="cellIs" dxfId="2437" priority="260" operator="lessThanOrEqual">
      <formula>$D57</formula>
    </cfRule>
  </conditionalFormatting>
  <conditionalFormatting sqref="O58">
    <cfRule type="cellIs" dxfId="2436" priority="257" operator="greaterThan">
      <formula>$D58</formula>
    </cfRule>
    <cfRule type="cellIs" dxfId="2435" priority="258" operator="lessThanOrEqual">
      <formula>$D58</formula>
    </cfRule>
  </conditionalFormatting>
  <conditionalFormatting sqref="O59">
    <cfRule type="cellIs" dxfId="2434" priority="255" operator="greaterThan">
      <formula>$D59</formula>
    </cfRule>
    <cfRule type="cellIs" dxfId="2433" priority="256" operator="lessThanOrEqual">
      <formula>$D59</formula>
    </cfRule>
  </conditionalFormatting>
  <conditionalFormatting sqref="O60">
    <cfRule type="cellIs" dxfId="2432" priority="253" operator="greaterThan">
      <formula>$D60</formula>
    </cfRule>
    <cfRule type="cellIs" dxfId="2431" priority="254" operator="lessThanOrEqual">
      <formula>$D60</formula>
    </cfRule>
  </conditionalFormatting>
  <conditionalFormatting sqref="O61">
    <cfRule type="cellIs" dxfId="2430" priority="251" operator="greaterThan">
      <formula>$D61</formula>
    </cfRule>
    <cfRule type="cellIs" dxfId="2429" priority="252" operator="lessThanOrEqual">
      <formula>$D61</formula>
    </cfRule>
  </conditionalFormatting>
  <conditionalFormatting sqref="O62">
    <cfRule type="cellIs" dxfId="2428" priority="249" operator="greaterThan">
      <formula>$D62</formula>
    </cfRule>
    <cfRule type="cellIs" dxfId="2427" priority="250" operator="lessThanOrEqual">
      <formula>$D62</formula>
    </cfRule>
  </conditionalFormatting>
  <conditionalFormatting sqref="O63">
    <cfRule type="cellIs" dxfId="2426" priority="247" operator="greaterThan">
      <formula>$D63</formula>
    </cfRule>
    <cfRule type="cellIs" dxfId="2425" priority="248" operator="lessThanOrEqual">
      <formula>$D63</formula>
    </cfRule>
  </conditionalFormatting>
  <conditionalFormatting sqref="O64">
    <cfRule type="cellIs" dxfId="2424" priority="245" operator="greaterThan">
      <formula>$D64</formula>
    </cfRule>
    <cfRule type="cellIs" dxfId="2423" priority="246" operator="lessThanOrEqual">
      <formula>$D64</formula>
    </cfRule>
  </conditionalFormatting>
  <conditionalFormatting sqref="O65">
    <cfRule type="cellIs" dxfId="2422" priority="243" operator="greaterThan">
      <formula>$D65</formula>
    </cfRule>
    <cfRule type="cellIs" dxfId="2421" priority="244" operator="lessThanOrEqual">
      <formula>$D65</formula>
    </cfRule>
  </conditionalFormatting>
  <conditionalFormatting sqref="O66">
    <cfRule type="cellIs" dxfId="2420" priority="241" operator="greaterThan">
      <formula>$D66</formula>
    </cfRule>
    <cfRule type="cellIs" dxfId="2419" priority="242" operator="lessThanOrEqual">
      <formula>$D66</formula>
    </cfRule>
  </conditionalFormatting>
  <conditionalFormatting sqref="O67">
    <cfRule type="cellIs" dxfId="2418" priority="239" operator="greaterThan">
      <formula>$D67</formula>
    </cfRule>
    <cfRule type="cellIs" dxfId="2417" priority="240" operator="lessThanOrEqual">
      <formula>$D67</formula>
    </cfRule>
  </conditionalFormatting>
  <conditionalFormatting sqref="O68">
    <cfRule type="cellIs" dxfId="2416" priority="237" operator="greaterThan">
      <formula>$D68</formula>
    </cfRule>
    <cfRule type="cellIs" dxfId="2415" priority="238" operator="lessThanOrEqual">
      <formula>$D68</formula>
    </cfRule>
  </conditionalFormatting>
  <conditionalFormatting sqref="O69">
    <cfRule type="cellIs" dxfId="2414" priority="235" operator="greaterThan">
      <formula>$D69</formula>
    </cfRule>
    <cfRule type="cellIs" dxfId="2413" priority="236" operator="lessThanOrEqual">
      <formula>$D69</formula>
    </cfRule>
  </conditionalFormatting>
  <conditionalFormatting sqref="O70">
    <cfRule type="cellIs" dxfId="2412" priority="233" operator="greaterThan">
      <formula>$D70</formula>
    </cfRule>
    <cfRule type="cellIs" dxfId="2411" priority="234" operator="lessThanOrEqual">
      <formula>$D70</formula>
    </cfRule>
  </conditionalFormatting>
  <conditionalFormatting sqref="O71">
    <cfRule type="cellIs" dxfId="2410" priority="231" operator="greaterThan">
      <formula>$D71</formula>
    </cfRule>
    <cfRule type="cellIs" dxfId="2409" priority="232" operator="lessThanOrEqual">
      <formula>$D71</formula>
    </cfRule>
  </conditionalFormatting>
  <conditionalFormatting sqref="O72:O73">
    <cfRule type="cellIs" dxfId="2408" priority="229" operator="greaterThan">
      <formula>$D72</formula>
    </cfRule>
    <cfRule type="cellIs" dxfId="2407" priority="230" operator="lessThanOrEqual">
      <formula>$D72</formula>
    </cfRule>
  </conditionalFormatting>
  <conditionalFormatting sqref="O74">
    <cfRule type="cellIs" dxfId="2406" priority="227" operator="greaterThan">
      <formula>$D74</formula>
    </cfRule>
    <cfRule type="cellIs" dxfId="2405" priority="228" operator="lessThanOrEqual">
      <formula>$D74</formula>
    </cfRule>
  </conditionalFormatting>
  <conditionalFormatting sqref="P46">
    <cfRule type="cellIs" dxfId="2404" priority="225" operator="greaterThan">
      <formula>$D46</formula>
    </cfRule>
    <cfRule type="cellIs" dxfId="2403" priority="226" operator="lessThanOrEqual">
      <formula>$D46</formula>
    </cfRule>
  </conditionalFormatting>
  <conditionalFormatting sqref="P47">
    <cfRule type="cellIs" dxfId="2402" priority="223" operator="greaterThan">
      <formula>$D47</formula>
    </cfRule>
    <cfRule type="cellIs" dxfId="2401" priority="224" operator="lessThanOrEqual">
      <formula>$D47</formula>
    </cfRule>
  </conditionalFormatting>
  <conditionalFormatting sqref="P48">
    <cfRule type="cellIs" dxfId="2400" priority="221" operator="greaterThan">
      <formula>$D48</formula>
    </cfRule>
    <cfRule type="cellIs" dxfId="2399" priority="222" operator="lessThanOrEqual">
      <formula>$D48</formula>
    </cfRule>
  </conditionalFormatting>
  <conditionalFormatting sqref="P49">
    <cfRule type="cellIs" dxfId="2398" priority="219" operator="greaterThan">
      <formula>$D49</formula>
    </cfRule>
    <cfRule type="cellIs" dxfId="2397" priority="220" operator="lessThanOrEqual">
      <formula>$D49</formula>
    </cfRule>
  </conditionalFormatting>
  <conditionalFormatting sqref="P50">
    <cfRule type="cellIs" dxfId="2396" priority="217" operator="greaterThan">
      <formula>$D50</formula>
    </cfRule>
    <cfRule type="cellIs" dxfId="2395" priority="218" operator="lessThanOrEqual">
      <formula>$D50</formula>
    </cfRule>
  </conditionalFormatting>
  <conditionalFormatting sqref="P51">
    <cfRule type="cellIs" dxfId="2394" priority="215" operator="greaterThan">
      <formula>$D51</formula>
    </cfRule>
    <cfRule type="cellIs" dxfId="2393" priority="216" operator="lessThanOrEqual">
      <formula>$D51</formula>
    </cfRule>
  </conditionalFormatting>
  <conditionalFormatting sqref="P52">
    <cfRule type="cellIs" dxfId="2392" priority="213" operator="greaterThan">
      <formula>$D52</formula>
    </cfRule>
    <cfRule type="cellIs" dxfId="2391" priority="214" operator="lessThanOrEqual">
      <formula>$D52</formula>
    </cfRule>
  </conditionalFormatting>
  <conditionalFormatting sqref="P53">
    <cfRule type="cellIs" dxfId="2390" priority="211" operator="greaterThan">
      <formula>$D53</formula>
    </cfRule>
    <cfRule type="cellIs" dxfId="2389" priority="212" operator="lessThanOrEqual">
      <formula>$D53</formula>
    </cfRule>
  </conditionalFormatting>
  <conditionalFormatting sqref="P54">
    <cfRule type="cellIs" dxfId="2388" priority="209" operator="greaterThan">
      <formula>$D54</formula>
    </cfRule>
    <cfRule type="cellIs" dxfId="2387" priority="210" operator="lessThanOrEqual">
      <formula>$D54</formula>
    </cfRule>
  </conditionalFormatting>
  <conditionalFormatting sqref="P56">
    <cfRule type="cellIs" dxfId="2386" priority="207" operator="greaterThan">
      <formula>$D56</formula>
    </cfRule>
    <cfRule type="cellIs" dxfId="2385" priority="208" operator="lessThanOrEqual">
      <formula>$D56</formula>
    </cfRule>
  </conditionalFormatting>
  <conditionalFormatting sqref="P57">
    <cfRule type="cellIs" dxfId="2384" priority="205" operator="greaterThan">
      <formula>$D57</formula>
    </cfRule>
    <cfRule type="cellIs" dxfId="2383" priority="206" operator="lessThanOrEqual">
      <formula>$D57</formula>
    </cfRule>
  </conditionalFormatting>
  <conditionalFormatting sqref="P58">
    <cfRule type="cellIs" dxfId="2382" priority="203" operator="greaterThan">
      <formula>$D58</formula>
    </cfRule>
    <cfRule type="cellIs" dxfId="2381" priority="204" operator="lessThanOrEqual">
      <formula>$D58</formula>
    </cfRule>
  </conditionalFormatting>
  <conditionalFormatting sqref="P59">
    <cfRule type="cellIs" dxfId="2380" priority="201" operator="greaterThan">
      <formula>$D59</formula>
    </cfRule>
    <cfRule type="cellIs" dxfId="2379" priority="202" operator="lessThanOrEqual">
      <formula>$D59</formula>
    </cfRule>
  </conditionalFormatting>
  <conditionalFormatting sqref="P60">
    <cfRule type="cellIs" dxfId="2378" priority="199" operator="greaterThan">
      <formula>$D60</formula>
    </cfRule>
    <cfRule type="cellIs" dxfId="2377" priority="200" operator="lessThanOrEqual">
      <formula>$D60</formula>
    </cfRule>
  </conditionalFormatting>
  <conditionalFormatting sqref="P61">
    <cfRule type="cellIs" dxfId="2376" priority="197" operator="greaterThan">
      <formula>$D61</formula>
    </cfRule>
    <cfRule type="cellIs" dxfId="2375" priority="198" operator="lessThanOrEqual">
      <formula>$D61</formula>
    </cfRule>
  </conditionalFormatting>
  <conditionalFormatting sqref="P62">
    <cfRule type="cellIs" dxfId="2374" priority="195" operator="greaterThan">
      <formula>$D62</formula>
    </cfRule>
    <cfRule type="cellIs" dxfId="2373" priority="196" operator="lessThanOrEqual">
      <formula>$D62</formula>
    </cfRule>
  </conditionalFormatting>
  <conditionalFormatting sqref="P63">
    <cfRule type="cellIs" dxfId="2372" priority="193" operator="greaterThan">
      <formula>$D63</formula>
    </cfRule>
    <cfRule type="cellIs" dxfId="2371" priority="194" operator="lessThanOrEqual">
      <formula>$D63</formula>
    </cfRule>
  </conditionalFormatting>
  <conditionalFormatting sqref="P64">
    <cfRule type="cellIs" dxfId="2370" priority="191" operator="greaterThan">
      <formula>$D64</formula>
    </cfRule>
    <cfRule type="cellIs" dxfId="2369" priority="192" operator="lessThanOrEqual">
      <formula>$D64</formula>
    </cfRule>
  </conditionalFormatting>
  <conditionalFormatting sqref="P65">
    <cfRule type="cellIs" dxfId="2368" priority="189" operator="greaterThan">
      <formula>$D65</formula>
    </cfRule>
    <cfRule type="cellIs" dxfId="2367" priority="190" operator="lessThanOrEqual">
      <formula>$D65</formula>
    </cfRule>
  </conditionalFormatting>
  <conditionalFormatting sqref="P66">
    <cfRule type="cellIs" dxfId="2366" priority="187" operator="greaterThan">
      <formula>$D66</formula>
    </cfRule>
    <cfRule type="cellIs" dxfId="2365" priority="188" operator="lessThanOrEqual">
      <formula>$D66</formula>
    </cfRule>
  </conditionalFormatting>
  <conditionalFormatting sqref="P67">
    <cfRule type="cellIs" dxfId="2364" priority="185" operator="greaterThan">
      <formula>$D67</formula>
    </cfRule>
    <cfRule type="cellIs" dxfId="2363" priority="186" operator="lessThanOrEqual">
      <formula>$D67</formula>
    </cfRule>
  </conditionalFormatting>
  <conditionalFormatting sqref="P68">
    <cfRule type="cellIs" dxfId="2362" priority="183" operator="greaterThan">
      <formula>$D68</formula>
    </cfRule>
    <cfRule type="cellIs" dxfId="2361" priority="184" operator="lessThanOrEqual">
      <formula>$D68</formula>
    </cfRule>
  </conditionalFormatting>
  <conditionalFormatting sqref="P69">
    <cfRule type="cellIs" dxfId="2360" priority="181" operator="greaterThan">
      <formula>$D69</formula>
    </cfRule>
    <cfRule type="cellIs" dxfId="2359" priority="182" operator="lessThanOrEqual">
      <formula>$D69</formula>
    </cfRule>
  </conditionalFormatting>
  <conditionalFormatting sqref="P70">
    <cfRule type="cellIs" dxfId="2358" priority="179" operator="greaterThan">
      <formula>$D70</formula>
    </cfRule>
    <cfRule type="cellIs" dxfId="2357" priority="180" operator="lessThanOrEqual">
      <formula>$D70</formula>
    </cfRule>
  </conditionalFormatting>
  <conditionalFormatting sqref="P71">
    <cfRule type="cellIs" dxfId="2356" priority="177" operator="greaterThan">
      <formula>$D71</formula>
    </cfRule>
    <cfRule type="cellIs" dxfId="2355" priority="178" operator="lessThanOrEqual">
      <formula>$D71</formula>
    </cfRule>
  </conditionalFormatting>
  <conditionalFormatting sqref="P72:P73">
    <cfRule type="cellIs" dxfId="2354" priority="175" operator="greaterThan">
      <formula>$D72</formula>
    </cfRule>
    <cfRule type="cellIs" dxfId="2353" priority="176" operator="lessThanOrEqual">
      <formula>$D72</formula>
    </cfRule>
  </conditionalFormatting>
  <conditionalFormatting sqref="P74">
    <cfRule type="cellIs" dxfId="2352" priority="173" operator="greaterThan">
      <formula>$D74</formula>
    </cfRule>
    <cfRule type="cellIs" dxfId="2351" priority="174" operator="lessThanOrEqual">
      <formula>$D74</formula>
    </cfRule>
  </conditionalFormatting>
  <conditionalFormatting sqref="Q46">
    <cfRule type="cellIs" dxfId="2350" priority="171" operator="greaterThan">
      <formula>$D46</formula>
    </cfRule>
    <cfRule type="cellIs" dxfId="2349" priority="172" operator="lessThanOrEqual">
      <formula>$D46</formula>
    </cfRule>
  </conditionalFormatting>
  <conditionalFormatting sqref="Q47">
    <cfRule type="cellIs" dxfId="2348" priority="169" operator="greaterThan">
      <formula>$D47</formula>
    </cfRule>
    <cfRule type="cellIs" dxfId="2347" priority="170" operator="lessThanOrEqual">
      <formula>$D47</formula>
    </cfRule>
  </conditionalFormatting>
  <conditionalFormatting sqref="Q48">
    <cfRule type="cellIs" dxfId="2346" priority="167" operator="greaterThan">
      <formula>$D48</formula>
    </cfRule>
    <cfRule type="cellIs" dxfId="2345" priority="168" operator="lessThanOrEqual">
      <formula>$D48</formula>
    </cfRule>
  </conditionalFormatting>
  <conditionalFormatting sqref="Q49">
    <cfRule type="cellIs" dxfId="2344" priority="165" operator="greaterThan">
      <formula>$D49</formula>
    </cfRule>
    <cfRule type="cellIs" dxfId="2343" priority="166" operator="lessThanOrEqual">
      <formula>$D49</formula>
    </cfRule>
  </conditionalFormatting>
  <conditionalFormatting sqref="Q50">
    <cfRule type="cellIs" dxfId="2342" priority="163" operator="greaterThan">
      <formula>$D50</formula>
    </cfRule>
    <cfRule type="cellIs" dxfId="2341" priority="164" operator="lessThanOrEqual">
      <formula>$D50</formula>
    </cfRule>
  </conditionalFormatting>
  <conditionalFormatting sqref="Q51">
    <cfRule type="cellIs" dxfId="2340" priority="161" operator="greaterThan">
      <formula>$D51</formula>
    </cfRule>
    <cfRule type="cellIs" dxfId="2339" priority="162" operator="lessThanOrEqual">
      <formula>$D51</formula>
    </cfRule>
  </conditionalFormatting>
  <conditionalFormatting sqref="Q52">
    <cfRule type="cellIs" dxfId="2338" priority="159" operator="greaterThan">
      <formula>$D52</formula>
    </cfRule>
    <cfRule type="cellIs" dxfId="2337" priority="160" operator="lessThanOrEqual">
      <formula>$D52</formula>
    </cfRule>
  </conditionalFormatting>
  <conditionalFormatting sqref="Q53">
    <cfRule type="cellIs" dxfId="2336" priority="157" operator="greaterThan">
      <formula>$D53</formula>
    </cfRule>
    <cfRule type="cellIs" dxfId="2335" priority="158" operator="lessThanOrEqual">
      <formula>$D53</formula>
    </cfRule>
  </conditionalFormatting>
  <conditionalFormatting sqref="Q54">
    <cfRule type="cellIs" dxfId="2334" priority="155" operator="greaterThan">
      <formula>$D54</formula>
    </cfRule>
    <cfRule type="cellIs" dxfId="2333" priority="156" operator="lessThanOrEqual">
      <formula>$D54</formula>
    </cfRule>
  </conditionalFormatting>
  <conditionalFormatting sqref="Q56">
    <cfRule type="cellIs" dxfId="2332" priority="153" operator="greaterThan">
      <formula>$D56</formula>
    </cfRule>
    <cfRule type="cellIs" dxfId="2331" priority="154" operator="lessThanOrEqual">
      <formula>$D56</formula>
    </cfRule>
  </conditionalFormatting>
  <conditionalFormatting sqref="Q57">
    <cfRule type="cellIs" dxfId="2330" priority="151" operator="greaterThan">
      <formula>$D57</formula>
    </cfRule>
    <cfRule type="cellIs" dxfId="2329" priority="152" operator="lessThanOrEqual">
      <formula>$D57</formula>
    </cfRule>
  </conditionalFormatting>
  <conditionalFormatting sqref="Q58">
    <cfRule type="cellIs" dxfId="2328" priority="149" operator="greaterThan">
      <formula>$D58</formula>
    </cfRule>
    <cfRule type="cellIs" dxfId="2327" priority="150" operator="lessThanOrEqual">
      <formula>$D58</formula>
    </cfRule>
  </conditionalFormatting>
  <conditionalFormatting sqref="Q59">
    <cfRule type="cellIs" dxfId="2326" priority="147" operator="greaterThan">
      <formula>$D59</formula>
    </cfRule>
    <cfRule type="cellIs" dxfId="2325" priority="148" operator="lessThanOrEqual">
      <formula>$D59</formula>
    </cfRule>
  </conditionalFormatting>
  <conditionalFormatting sqref="Q60">
    <cfRule type="cellIs" dxfId="2324" priority="145" operator="greaterThan">
      <formula>$D60</formula>
    </cfRule>
    <cfRule type="cellIs" dxfId="2323" priority="146" operator="lessThanOrEqual">
      <formula>$D60</formula>
    </cfRule>
  </conditionalFormatting>
  <conditionalFormatting sqref="Q61">
    <cfRule type="cellIs" dxfId="2322" priority="143" operator="greaterThan">
      <formula>$D61</formula>
    </cfRule>
    <cfRule type="cellIs" dxfId="2321" priority="144" operator="lessThanOrEqual">
      <formula>$D61</formula>
    </cfRule>
  </conditionalFormatting>
  <conditionalFormatting sqref="Q62">
    <cfRule type="cellIs" dxfId="2320" priority="141" operator="greaterThan">
      <formula>$D62</formula>
    </cfRule>
    <cfRule type="cellIs" dxfId="2319" priority="142" operator="lessThanOrEqual">
      <formula>$D62</formula>
    </cfRule>
  </conditionalFormatting>
  <conditionalFormatting sqref="Q63">
    <cfRule type="cellIs" dxfId="2318" priority="139" operator="greaterThan">
      <formula>$D63</formula>
    </cfRule>
    <cfRule type="cellIs" dxfId="2317" priority="140" operator="lessThanOrEqual">
      <formula>$D63</formula>
    </cfRule>
  </conditionalFormatting>
  <conditionalFormatting sqref="Q64">
    <cfRule type="cellIs" dxfId="2316" priority="137" operator="greaterThan">
      <formula>$D64</formula>
    </cfRule>
    <cfRule type="cellIs" dxfId="2315" priority="138" operator="lessThanOrEqual">
      <formula>$D64</formula>
    </cfRule>
  </conditionalFormatting>
  <conditionalFormatting sqref="Q65">
    <cfRule type="cellIs" dxfId="2314" priority="135" operator="greaterThan">
      <formula>$D65</formula>
    </cfRule>
    <cfRule type="cellIs" dxfId="2313" priority="136" operator="lessThanOrEqual">
      <formula>$D65</formula>
    </cfRule>
  </conditionalFormatting>
  <conditionalFormatting sqref="Q66">
    <cfRule type="cellIs" dxfId="2312" priority="133" operator="greaterThan">
      <formula>$D66</formula>
    </cfRule>
    <cfRule type="cellIs" dxfId="2311" priority="134" operator="lessThanOrEqual">
      <formula>$D66</formula>
    </cfRule>
  </conditionalFormatting>
  <conditionalFormatting sqref="Q67">
    <cfRule type="cellIs" dxfId="2310" priority="131" operator="greaterThan">
      <formula>$D67</formula>
    </cfRule>
    <cfRule type="cellIs" dxfId="2309" priority="132" operator="lessThanOrEqual">
      <formula>$D67</formula>
    </cfRule>
  </conditionalFormatting>
  <conditionalFormatting sqref="Q68">
    <cfRule type="cellIs" dxfId="2308" priority="129" operator="greaterThan">
      <formula>$D68</formula>
    </cfRule>
    <cfRule type="cellIs" dxfId="2307" priority="130" operator="lessThanOrEqual">
      <formula>$D68</formula>
    </cfRule>
  </conditionalFormatting>
  <conditionalFormatting sqref="Q69">
    <cfRule type="cellIs" dxfId="2306" priority="127" operator="greaterThan">
      <formula>$D69</formula>
    </cfRule>
    <cfRule type="cellIs" dxfId="2305" priority="128" operator="lessThanOrEqual">
      <formula>$D69</formula>
    </cfRule>
  </conditionalFormatting>
  <conditionalFormatting sqref="Q70">
    <cfRule type="cellIs" dxfId="2304" priority="125" operator="greaterThan">
      <formula>$D70</formula>
    </cfRule>
    <cfRule type="cellIs" dxfId="2303" priority="126" operator="lessThanOrEqual">
      <formula>$D70</formula>
    </cfRule>
  </conditionalFormatting>
  <conditionalFormatting sqref="Q71">
    <cfRule type="cellIs" dxfId="2302" priority="123" operator="greaterThan">
      <formula>$D71</formula>
    </cfRule>
    <cfRule type="cellIs" dxfId="2301" priority="124" operator="lessThanOrEqual">
      <formula>$D71</formula>
    </cfRule>
  </conditionalFormatting>
  <conditionalFormatting sqref="Q72:Q73">
    <cfRule type="cellIs" dxfId="2300" priority="121" operator="greaterThan">
      <formula>$D72</formula>
    </cfRule>
    <cfRule type="cellIs" dxfId="2299" priority="122" operator="lessThanOrEqual">
      <formula>$D72</formula>
    </cfRule>
  </conditionalFormatting>
  <conditionalFormatting sqref="Q74">
    <cfRule type="cellIs" dxfId="2298" priority="119" operator="greaterThan">
      <formula>$D74</formula>
    </cfRule>
    <cfRule type="cellIs" dxfId="2297" priority="120" operator="lessThanOrEqual">
      <formula>$D74</formula>
    </cfRule>
  </conditionalFormatting>
  <conditionalFormatting sqref="R78:Z78">
    <cfRule type="cellIs" dxfId="2296" priority="866" operator="greaterThan">
      <formula>#REF!</formula>
    </cfRule>
    <cfRule type="cellIs" dxfId="2295" priority="867" operator="lessThanOrEqual">
      <formula>#REF!</formula>
    </cfRule>
  </conditionalFormatting>
  <conditionalFormatting sqref="E78">
    <cfRule type="cellIs" dxfId="2294" priority="77" operator="greaterThan">
      <formula>$D78</formula>
    </cfRule>
    <cfRule type="cellIs" dxfId="2293" priority="78" operator="lessThanOrEqual">
      <formula>$D78</formula>
    </cfRule>
  </conditionalFormatting>
  <conditionalFormatting sqref="F78">
    <cfRule type="cellIs" dxfId="2292" priority="75" operator="greaterThan">
      <formula>$D78</formula>
    </cfRule>
    <cfRule type="cellIs" dxfId="2291" priority="76" operator="lessThanOrEqual">
      <formula>$D78</formula>
    </cfRule>
  </conditionalFormatting>
  <conditionalFormatting sqref="G78">
    <cfRule type="cellIs" dxfId="2290" priority="73" operator="greaterThan">
      <formula>$D78</formula>
    </cfRule>
    <cfRule type="cellIs" dxfId="2289" priority="74" operator="lessThanOrEqual">
      <formula>$D78</formula>
    </cfRule>
  </conditionalFormatting>
  <conditionalFormatting sqref="H78">
    <cfRule type="cellIs" dxfId="2288" priority="71" operator="greaterThan">
      <formula>$D78</formula>
    </cfRule>
    <cfRule type="cellIs" dxfId="2287" priority="72" operator="lessThanOrEqual">
      <formula>$D78</formula>
    </cfRule>
  </conditionalFormatting>
  <conditionalFormatting sqref="I78">
    <cfRule type="cellIs" dxfId="2286" priority="69" operator="greaterThan">
      <formula>$D78</formula>
    </cfRule>
    <cfRule type="cellIs" dxfId="2285" priority="70" operator="lessThanOrEqual">
      <formula>$D78</formula>
    </cfRule>
  </conditionalFormatting>
  <conditionalFormatting sqref="J78">
    <cfRule type="cellIs" dxfId="2284" priority="67" operator="greaterThan">
      <formula>$D78</formula>
    </cfRule>
    <cfRule type="cellIs" dxfId="2283" priority="68" operator="lessThanOrEqual">
      <formula>$D78</formula>
    </cfRule>
  </conditionalFormatting>
  <conditionalFormatting sqref="K78">
    <cfRule type="cellIs" dxfId="2282" priority="65" operator="greaterThan">
      <formula>$D78</formula>
    </cfRule>
    <cfRule type="cellIs" dxfId="2281" priority="66" operator="lessThanOrEqual">
      <formula>$D78</formula>
    </cfRule>
  </conditionalFormatting>
  <conditionalFormatting sqref="L78">
    <cfRule type="cellIs" dxfId="2280" priority="63" operator="greaterThan">
      <formula>$D78</formula>
    </cfRule>
    <cfRule type="cellIs" dxfId="2279" priority="64" operator="lessThanOrEqual">
      <formula>$D78</formula>
    </cfRule>
  </conditionalFormatting>
  <conditionalFormatting sqref="M78">
    <cfRule type="cellIs" dxfId="2278" priority="61" operator="greaterThan">
      <formula>$D78</formula>
    </cfRule>
    <cfRule type="cellIs" dxfId="2277" priority="62" operator="lessThanOrEqual">
      <formula>$D78</formula>
    </cfRule>
  </conditionalFormatting>
  <conditionalFormatting sqref="N78">
    <cfRule type="cellIs" dxfId="2276" priority="59" operator="greaterThan">
      <formula>$D78</formula>
    </cfRule>
    <cfRule type="cellIs" dxfId="2275" priority="60" operator="lessThanOrEqual">
      <formula>$D78</formula>
    </cfRule>
  </conditionalFormatting>
  <conditionalFormatting sqref="O78">
    <cfRule type="cellIs" dxfId="2274" priority="57" operator="greaterThan">
      <formula>$D78</formula>
    </cfRule>
    <cfRule type="cellIs" dxfId="2273" priority="58" operator="lessThanOrEqual">
      <formula>$D78</formula>
    </cfRule>
  </conditionalFormatting>
  <conditionalFormatting sqref="P78">
    <cfRule type="cellIs" dxfId="2272" priority="55" operator="greaterThan">
      <formula>$D78</formula>
    </cfRule>
    <cfRule type="cellIs" dxfId="2271" priority="56" operator="lessThanOrEqual">
      <formula>$D78</formula>
    </cfRule>
  </conditionalFormatting>
  <conditionalFormatting sqref="Q78">
    <cfRule type="cellIs" dxfId="2270" priority="53" operator="greaterThan">
      <formula>$D78</formula>
    </cfRule>
    <cfRule type="cellIs" dxfId="2269" priority="54" operator="lessThanOrEqual">
      <formula>$D78</formula>
    </cfRule>
  </conditionalFormatting>
  <conditionalFormatting sqref="E80">
    <cfRule type="cellIs" dxfId="2268" priority="51" operator="greaterThan">
      <formula>$D80</formula>
    </cfRule>
    <cfRule type="cellIs" dxfId="2267" priority="52" operator="lessThanOrEqual">
      <formula>$D80</formula>
    </cfRule>
  </conditionalFormatting>
  <conditionalFormatting sqref="F80">
    <cfRule type="cellIs" dxfId="2266" priority="49" operator="greaterThan">
      <formula>$D80</formula>
    </cfRule>
    <cfRule type="cellIs" dxfId="2265" priority="50" operator="lessThanOrEqual">
      <formula>$D80</formula>
    </cfRule>
  </conditionalFormatting>
  <conditionalFormatting sqref="G80">
    <cfRule type="cellIs" dxfId="2264" priority="47" operator="greaterThan">
      <formula>$D80</formula>
    </cfRule>
    <cfRule type="cellIs" dxfId="2263" priority="48" operator="lessThanOrEqual">
      <formula>$D80</formula>
    </cfRule>
  </conditionalFormatting>
  <conditionalFormatting sqref="H80">
    <cfRule type="cellIs" dxfId="2262" priority="45" operator="greaterThan">
      <formula>$D80</formula>
    </cfRule>
    <cfRule type="cellIs" dxfId="2261" priority="46" operator="lessThanOrEqual">
      <formula>$D80</formula>
    </cfRule>
  </conditionalFormatting>
  <conditionalFormatting sqref="I80">
    <cfRule type="cellIs" dxfId="2260" priority="43" operator="greaterThan">
      <formula>$D80</formula>
    </cfRule>
    <cfRule type="cellIs" dxfId="2259" priority="44" operator="lessThanOrEqual">
      <formula>$D80</formula>
    </cfRule>
  </conditionalFormatting>
  <conditionalFormatting sqref="J80">
    <cfRule type="cellIs" dxfId="2258" priority="41" operator="greaterThan">
      <formula>$D80</formula>
    </cfRule>
    <cfRule type="cellIs" dxfId="2257" priority="42" operator="lessThanOrEqual">
      <formula>$D80</formula>
    </cfRule>
  </conditionalFormatting>
  <conditionalFormatting sqref="K80">
    <cfRule type="cellIs" dxfId="2256" priority="39" operator="greaterThan">
      <formula>$D80</formula>
    </cfRule>
    <cfRule type="cellIs" dxfId="2255" priority="40" operator="lessThanOrEqual">
      <formula>$D80</formula>
    </cfRule>
  </conditionalFormatting>
  <conditionalFormatting sqref="L80">
    <cfRule type="cellIs" dxfId="2254" priority="37" operator="greaterThan">
      <formula>$D80</formula>
    </cfRule>
    <cfRule type="cellIs" dxfId="2253" priority="38" operator="lessThanOrEqual">
      <formula>$D80</formula>
    </cfRule>
  </conditionalFormatting>
  <conditionalFormatting sqref="M80">
    <cfRule type="cellIs" dxfId="2252" priority="35" operator="greaterThan">
      <formula>$D80</formula>
    </cfRule>
    <cfRule type="cellIs" dxfId="2251" priority="36" operator="lessThanOrEqual">
      <formula>$D80</formula>
    </cfRule>
  </conditionalFormatting>
  <conditionalFormatting sqref="N80">
    <cfRule type="cellIs" dxfId="2250" priority="33" operator="greaterThan">
      <formula>$D80</formula>
    </cfRule>
    <cfRule type="cellIs" dxfId="2249" priority="34" operator="lessThanOrEqual">
      <formula>$D80</formula>
    </cfRule>
  </conditionalFormatting>
  <conditionalFormatting sqref="O80">
    <cfRule type="cellIs" dxfId="2248" priority="31" operator="greaterThan">
      <formula>$D80</formula>
    </cfRule>
    <cfRule type="cellIs" dxfId="2247" priority="32" operator="lessThanOrEqual">
      <formula>$D80</formula>
    </cfRule>
  </conditionalFormatting>
  <conditionalFormatting sqref="P80">
    <cfRule type="cellIs" dxfId="2246" priority="29" operator="greaterThan">
      <formula>$D80</formula>
    </cfRule>
    <cfRule type="cellIs" dxfId="2245" priority="30" operator="lessThanOrEqual">
      <formula>$D80</formula>
    </cfRule>
  </conditionalFormatting>
  <conditionalFormatting sqref="Q80">
    <cfRule type="cellIs" dxfId="2244" priority="27" operator="greaterThan">
      <formula>$D80</formula>
    </cfRule>
    <cfRule type="cellIs" dxfId="2243" priority="28" operator="lessThanOrEqual">
      <formula>$D80</formula>
    </cfRule>
  </conditionalFormatting>
  <conditionalFormatting sqref="E81">
    <cfRule type="cellIs" dxfId="2242" priority="25" operator="greaterThan">
      <formula>$D81</formula>
    </cfRule>
    <cfRule type="cellIs" dxfId="2241" priority="26" operator="lessThanOrEqual">
      <formula>$D81</formula>
    </cfRule>
  </conditionalFormatting>
  <conditionalFormatting sqref="F81">
    <cfRule type="cellIs" dxfId="2240" priority="23" operator="greaterThan">
      <formula>$D81</formula>
    </cfRule>
    <cfRule type="cellIs" dxfId="2239" priority="24" operator="lessThanOrEqual">
      <formula>$D81</formula>
    </cfRule>
  </conditionalFormatting>
  <conditionalFormatting sqref="G81">
    <cfRule type="cellIs" dxfId="2238" priority="21" operator="greaterThan">
      <formula>$D81</formula>
    </cfRule>
    <cfRule type="cellIs" dxfId="2237" priority="22" operator="lessThanOrEqual">
      <formula>$D81</formula>
    </cfRule>
  </conditionalFormatting>
  <conditionalFormatting sqref="H81">
    <cfRule type="cellIs" dxfId="2236" priority="19" operator="greaterThan">
      <formula>$D81</formula>
    </cfRule>
    <cfRule type="cellIs" dxfId="2235" priority="20" operator="lessThanOrEqual">
      <formula>$D81</formula>
    </cfRule>
  </conditionalFormatting>
  <conditionalFormatting sqref="I81">
    <cfRule type="cellIs" dxfId="2234" priority="17" operator="greaterThan">
      <formula>$D81</formula>
    </cfRule>
    <cfRule type="cellIs" dxfId="2233" priority="18" operator="lessThanOrEqual">
      <formula>$D81</formula>
    </cfRule>
  </conditionalFormatting>
  <conditionalFormatting sqref="J81">
    <cfRule type="cellIs" dxfId="2232" priority="15" operator="greaterThan">
      <formula>$D81</formula>
    </cfRule>
    <cfRule type="cellIs" dxfId="2231" priority="16" operator="lessThanOrEqual">
      <formula>$D81</formula>
    </cfRule>
  </conditionalFormatting>
  <conditionalFormatting sqref="K81">
    <cfRule type="cellIs" dxfId="2230" priority="13" operator="greaterThan">
      <formula>$D81</formula>
    </cfRule>
    <cfRule type="cellIs" dxfId="2229" priority="14" operator="lessThanOrEqual">
      <formula>$D81</formula>
    </cfRule>
  </conditionalFormatting>
  <conditionalFormatting sqref="L81">
    <cfRule type="cellIs" dxfId="2228" priority="11" operator="greaterThan">
      <formula>$D81</formula>
    </cfRule>
    <cfRule type="cellIs" dxfId="2227" priority="12" operator="lessThanOrEqual">
      <formula>$D81</formula>
    </cfRule>
  </conditionalFormatting>
  <conditionalFormatting sqref="M81">
    <cfRule type="cellIs" dxfId="2226" priority="9" operator="greaterThan">
      <formula>$D81</formula>
    </cfRule>
    <cfRule type="cellIs" dxfId="2225" priority="10" operator="lessThanOrEqual">
      <formula>$D81</formula>
    </cfRule>
  </conditionalFormatting>
  <conditionalFormatting sqref="N81">
    <cfRule type="cellIs" dxfId="2224" priority="7" operator="greaterThan">
      <formula>$D81</formula>
    </cfRule>
    <cfRule type="cellIs" dxfId="2223" priority="8" operator="lessThanOrEqual">
      <formula>$D81</formula>
    </cfRule>
  </conditionalFormatting>
  <conditionalFormatting sqref="O81">
    <cfRule type="cellIs" dxfId="2222" priority="5" operator="greaterThan">
      <formula>$D81</formula>
    </cfRule>
    <cfRule type="cellIs" dxfId="2221" priority="6" operator="lessThanOrEqual">
      <formula>$D81</formula>
    </cfRule>
  </conditionalFormatting>
  <conditionalFormatting sqref="P81">
    <cfRule type="cellIs" dxfId="2220" priority="3" operator="greaterThan">
      <formula>$D81</formula>
    </cfRule>
    <cfRule type="cellIs" dxfId="2219" priority="4" operator="lessThanOrEqual">
      <formula>$D81</formula>
    </cfRule>
  </conditionalFormatting>
  <conditionalFormatting sqref="Q81">
    <cfRule type="cellIs" dxfId="2218" priority="1" operator="greaterThan">
      <formula>$D81</formula>
    </cfRule>
    <cfRule type="cellIs" dxfId="2217" priority="2" operator="lessThanOrEqual">
      <formula>$D81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E622-B2B3-4D53-A941-F8709CEFBD0F}">
  <dimension ref="A1:AK224"/>
  <sheetViews>
    <sheetView zoomScale="110" zoomScaleNormal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4.5"/>
  <cols>
    <col min="1" max="1" width="24" bestFit="1" customWidth="1"/>
    <col min="2" max="2" width="13.7265625" customWidth="1"/>
    <col min="3" max="3" width="16.7265625" bestFit="1" customWidth="1"/>
    <col min="4" max="4" width="11" bestFit="1" customWidth="1"/>
    <col min="5" max="5" width="16.26953125" customWidth="1"/>
    <col min="6" max="6" width="16" customWidth="1"/>
    <col min="7" max="7" width="14.6328125" customWidth="1"/>
    <col min="8" max="8" width="16" customWidth="1"/>
    <col min="9" max="9" width="14.6328125" customWidth="1"/>
    <col min="10" max="10" width="17.26953125" customWidth="1"/>
    <col min="11" max="11" width="12" customWidth="1"/>
    <col min="12" max="12" width="12" bestFit="1" customWidth="1"/>
    <col min="13" max="16" width="11.90625" customWidth="1"/>
    <col min="17" max="17" width="21.26953125" bestFit="1" customWidth="1"/>
    <col min="18" max="18" width="15.7265625" bestFit="1" customWidth="1"/>
    <col min="19" max="19" width="14.6328125" bestFit="1" customWidth="1"/>
    <col min="20" max="21" width="13.6328125" bestFit="1" customWidth="1"/>
    <col min="22" max="22" width="15.7265625" bestFit="1" customWidth="1"/>
    <col min="23" max="23" width="13.6328125" bestFit="1" customWidth="1"/>
    <col min="25" max="25" width="24" bestFit="1" customWidth="1"/>
    <col min="26" max="26" width="11.6328125" bestFit="1" customWidth="1"/>
    <col min="27" max="27" width="10" bestFit="1" customWidth="1"/>
    <col min="29" max="29" width="14.26953125" bestFit="1" customWidth="1"/>
    <col min="30" max="31" width="11.6328125" bestFit="1" customWidth="1"/>
    <col min="32" max="32" width="10.6328125" bestFit="1" customWidth="1"/>
    <col min="33" max="33" width="11.6328125" bestFit="1" customWidth="1"/>
    <col min="34" max="36" width="10.6328125" bestFit="1" customWidth="1"/>
    <col min="37" max="37" width="14.6328125" bestFit="1" customWidth="1"/>
    <col min="38" max="38" width="9.6328125" bestFit="1" customWidth="1"/>
    <col min="39" max="40" width="10.6328125" bestFit="1" customWidth="1"/>
    <col min="41" max="44" width="12" bestFit="1" customWidth="1"/>
    <col min="45" max="45" width="10.6328125" bestFit="1" customWidth="1"/>
    <col min="46" max="47" width="12" bestFit="1" customWidth="1"/>
  </cols>
  <sheetData>
    <row r="1" spans="1:37" ht="18.5">
      <c r="A1" s="434" t="s">
        <v>104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  <c r="N1" s="434"/>
      <c r="O1" s="434"/>
      <c r="P1" s="434"/>
      <c r="Q1" s="434"/>
      <c r="R1" s="434"/>
      <c r="S1" s="434"/>
      <c r="T1" s="434"/>
      <c r="U1" s="434"/>
      <c r="V1" s="434"/>
      <c r="W1" s="434"/>
      <c r="Y1" s="51" t="s">
        <v>80</v>
      </c>
    </row>
    <row r="2" spans="1:37">
      <c r="A2" s="1"/>
      <c r="B2" s="2" t="s">
        <v>2</v>
      </c>
      <c r="C2" s="2" t="s">
        <v>3</v>
      </c>
      <c r="D2" s="23" t="s">
        <v>4</v>
      </c>
      <c r="E2" s="3">
        <v>46023</v>
      </c>
      <c r="F2" s="3">
        <v>46054</v>
      </c>
      <c r="G2" s="3">
        <v>46082</v>
      </c>
      <c r="H2" s="3">
        <v>46113</v>
      </c>
      <c r="I2" s="3">
        <v>46143</v>
      </c>
      <c r="J2" s="3">
        <v>46174</v>
      </c>
      <c r="K2" s="3">
        <v>46204</v>
      </c>
      <c r="L2" s="3">
        <v>46235</v>
      </c>
      <c r="M2" s="3">
        <v>46266</v>
      </c>
      <c r="N2" s="3">
        <v>46296</v>
      </c>
      <c r="O2" s="3">
        <v>46327</v>
      </c>
      <c r="P2" s="3">
        <v>46357</v>
      </c>
      <c r="Q2" s="4" t="s">
        <v>55</v>
      </c>
      <c r="R2" s="5" t="s">
        <v>5</v>
      </c>
      <c r="S2" s="5" t="s">
        <v>6</v>
      </c>
      <c r="T2" s="5" t="s">
        <v>7</v>
      </c>
      <c r="U2" s="5" t="s">
        <v>8</v>
      </c>
      <c r="V2" s="5" t="s">
        <v>9</v>
      </c>
      <c r="W2" s="5" t="s">
        <v>10</v>
      </c>
      <c r="Y2" s="52">
        <v>46023</v>
      </c>
      <c r="Z2" s="52">
        <v>46054</v>
      </c>
      <c r="AA2" s="52">
        <v>46082</v>
      </c>
      <c r="AB2" s="52">
        <v>46113</v>
      </c>
      <c r="AC2" s="52">
        <v>46143</v>
      </c>
      <c r="AD2" s="52">
        <v>46174</v>
      </c>
      <c r="AE2" s="52">
        <v>46204</v>
      </c>
      <c r="AF2" s="52">
        <v>46235</v>
      </c>
      <c r="AG2" s="52">
        <v>46266</v>
      </c>
      <c r="AH2" s="52">
        <v>46296</v>
      </c>
      <c r="AI2" s="52">
        <v>46327</v>
      </c>
      <c r="AJ2" s="52">
        <v>46357</v>
      </c>
      <c r="AK2" s="53" t="s">
        <v>105</v>
      </c>
    </row>
    <row r="3" spans="1:37">
      <c r="A3" s="414" t="s">
        <v>12</v>
      </c>
      <c r="B3" s="6" t="s">
        <v>13</v>
      </c>
      <c r="C3" s="6" t="s">
        <v>82</v>
      </c>
      <c r="D3" s="54"/>
      <c r="E3" s="24">
        <f>[1]in!$D$1363</f>
        <v>2070</v>
      </c>
      <c r="F3" s="24">
        <f>[1]in!$E$1363</f>
        <v>15390</v>
      </c>
      <c r="G3" s="24">
        <f>[1]in!$F$1363</f>
        <v>11940</v>
      </c>
      <c r="H3" s="24">
        <f>[1]in!$H$1363</f>
        <v>1800</v>
      </c>
      <c r="I3" s="24">
        <f>[1]in!$I$1363</f>
        <v>0</v>
      </c>
      <c r="J3" s="24">
        <f>[1]in!$J$1363</f>
        <v>0</v>
      </c>
      <c r="K3" s="24">
        <f>[1]in!$L$1363</f>
        <v>0</v>
      </c>
      <c r="L3" s="24">
        <f>[1]in!$M$1363</f>
        <v>0</v>
      </c>
      <c r="M3" s="24">
        <f>[1]in!$N$1363</f>
        <v>0</v>
      </c>
      <c r="N3" s="24">
        <f>[1]in!$P$1363</f>
        <v>0</v>
      </c>
      <c r="O3" s="24">
        <f>[1]in!$Q$1363</f>
        <v>0</v>
      </c>
      <c r="P3" s="24">
        <f>[1]in!$R$1363</f>
        <v>0</v>
      </c>
      <c r="Q3" s="25">
        <f>SUM(E3:P3)</f>
        <v>31200</v>
      </c>
      <c r="R3" s="25">
        <f>SUM(E3:G3)</f>
        <v>29400</v>
      </c>
      <c r="S3" s="25">
        <f>SUM(H3:J3)</f>
        <v>1800</v>
      </c>
      <c r="T3" s="25">
        <f>SUM(K3:M3)</f>
        <v>0</v>
      </c>
      <c r="U3" s="25">
        <f>SUM(N3:P3)</f>
        <v>0</v>
      </c>
      <c r="V3" s="25">
        <f>SUM(E3:J3)</f>
        <v>31200</v>
      </c>
      <c r="W3" s="25">
        <f>SUM(K3:P3)</f>
        <v>0</v>
      </c>
      <c r="X3" s="58">
        <f t="shared" ref="X3:X15" si="0">Q3/$Q$37</f>
        <v>1.7301709652912178E-2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2">
        <f>SUM(Y3:AJ3)</f>
        <v>0</v>
      </c>
    </row>
    <row r="4" spans="1:37">
      <c r="A4" s="415"/>
      <c r="B4" s="6" t="s">
        <v>15</v>
      </c>
      <c r="C4" s="6" t="s">
        <v>82</v>
      </c>
      <c r="D4" s="6"/>
      <c r="E4" s="111">
        <f>[1]in!$D$1364</f>
        <v>2120</v>
      </c>
      <c r="F4" s="111">
        <f>[1]in!$E$1364</f>
        <v>3760</v>
      </c>
      <c r="G4" s="111">
        <f>[1]in!$F$1364</f>
        <v>2390</v>
      </c>
      <c r="H4" s="111">
        <f>[1]in!$H$1364</f>
        <v>750</v>
      </c>
      <c r="I4" s="111">
        <f>[1]in!$I$1364</f>
        <v>0</v>
      </c>
      <c r="J4" s="111">
        <f>[1]in!$J$1364</f>
        <v>0</v>
      </c>
      <c r="K4" s="111">
        <f>[1]in!$L$1364</f>
        <v>0</v>
      </c>
      <c r="L4" s="111">
        <f>[1]in!$M$1364</f>
        <v>0</v>
      </c>
      <c r="M4" s="111">
        <f>[1]in!$N$1364</f>
        <v>0</v>
      </c>
      <c r="N4" s="111">
        <f>[1]in!$P$1364</f>
        <v>0</v>
      </c>
      <c r="O4" s="111">
        <f>[1]in!$Q$1364</f>
        <v>0</v>
      </c>
      <c r="P4" s="111">
        <f>[1]in!$R$1364</f>
        <v>0</v>
      </c>
      <c r="Q4" s="25">
        <f t="shared" ref="Q4" si="1">SUM(E4:P4)</f>
        <v>9020</v>
      </c>
      <c r="R4" s="25">
        <f t="shared" ref="R4" si="2">SUM(E4:G4)</f>
        <v>8270</v>
      </c>
      <c r="S4" s="25">
        <f t="shared" ref="S4:S26" si="3">SUM(H4:J4)</f>
        <v>750</v>
      </c>
      <c r="T4" s="25">
        <f t="shared" ref="T4:T26" si="4">SUM(K4:M4)</f>
        <v>0</v>
      </c>
      <c r="U4" s="25">
        <f t="shared" ref="U4:U26" si="5">SUM(N4:P4)</f>
        <v>0</v>
      </c>
      <c r="V4" s="25">
        <f t="shared" ref="V4" si="6">SUM(E4:J4)</f>
        <v>9020</v>
      </c>
      <c r="W4" s="25">
        <f t="shared" ref="W4:W26" si="7">SUM(K4:P4)</f>
        <v>0</v>
      </c>
      <c r="X4" s="58">
        <f t="shared" si="0"/>
        <v>5.0019686240149949E-3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2">
        <f t="shared" ref="AK4:AK26" si="8">SUM(Y4:AJ4)</f>
        <v>0</v>
      </c>
    </row>
    <row r="5" spans="1:37">
      <c r="A5" s="415"/>
      <c r="B5" s="2" t="s">
        <v>16</v>
      </c>
      <c r="C5" s="7" t="s">
        <v>82</v>
      </c>
      <c r="D5" s="6"/>
      <c r="E5" s="26">
        <f t="shared" ref="E5:P5" si="9">SUM(E3:E4)</f>
        <v>4190</v>
      </c>
      <c r="F5" s="26">
        <f t="shared" si="9"/>
        <v>19150</v>
      </c>
      <c r="G5" s="26">
        <f t="shared" si="9"/>
        <v>14330</v>
      </c>
      <c r="H5" s="26">
        <f t="shared" si="9"/>
        <v>2550</v>
      </c>
      <c r="I5" s="26">
        <f t="shared" si="9"/>
        <v>0</v>
      </c>
      <c r="J5" s="26">
        <f t="shared" si="9"/>
        <v>0</v>
      </c>
      <c r="K5" s="26">
        <f t="shared" si="9"/>
        <v>0</v>
      </c>
      <c r="L5" s="26">
        <f t="shared" si="9"/>
        <v>0</v>
      </c>
      <c r="M5" s="26">
        <f t="shared" si="9"/>
        <v>0</v>
      </c>
      <c r="N5" s="26">
        <f t="shared" si="9"/>
        <v>0</v>
      </c>
      <c r="O5" s="26">
        <f t="shared" si="9"/>
        <v>0</v>
      </c>
      <c r="P5" s="26">
        <f t="shared" si="9"/>
        <v>0</v>
      </c>
      <c r="Q5" s="27">
        <f>SUM(E5:P5)</f>
        <v>40220</v>
      </c>
      <c r="R5" s="26">
        <f>SUM(E5:G5)</f>
        <v>37670</v>
      </c>
      <c r="S5" s="26">
        <f t="shared" si="3"/>
        <v>2550</v>
      </c>
      <c r="T5" s="26">
        <f t="shared" si="4"/>
        <v>0</v>
      </c>
      <c r="U5" s="26">
        <f t="shared" si="5"/>
        <v>0</v>
      </c>
      <c r="V5" s="26">
        <f>SUM(E5:J5)</f>
        <v>40220</v>
      </c>
      <c r="W5" s="26">
        <f t="shared" si="7"/>
        <v>0</v>
      </c>
      <c r="X5" s="58">
        <f t="shared" si="0"/>
        <v>2.2303678276927173E-2</v>
      </c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>
        <f t="shared" si="8"/>
        <v>0</v>
      </c>
    </row>
    <row r="6" spans="1:37">
      <c r="A6" s="415"/>
      <c r="B6" s="2" t="s">
        <v>17</v>
      </c>
      <c r="C6" s="7" t="s">
        <v>82</v>
      </c>
      <c r="D6" s="6"/>
      <c r="E6" s="71">
        <f>[1]in!$D$1368</f>
        <v>24620</v>
      </c>
      <c r="F6" s="71">
        <f>[1]in!$E$1368</f>
        <v>34620</v>
      </c>
      <c r="G6" s="71">
        <f>[1]in!$F$1368</f>
        <v>26410</v>
      </c>
      <c r="H6" s="71">
        <f>[1]in!$H$1368</f>
        <v>23200</v>
      </c>
      <c r="I6" s="71">
        <f>[1]in!$I$1368</f>
        <v>0</v>
      </c>
      <c r="J6" s="71">
        <f>[1]in!$J$1368</f>
        <v>0</v>
      </c>
      <c r="K6" s="71">
        <f>[1]in!$L$1368</f>
        <v>0</v>
      </c>
      <c r="L6" s="71">
        <f>[1]in!$M$1368</f>
        <v>0</v>
      </c>
      <c r="M6" s="71">
        <f>[1]in!$N$1368</f>
        <v>0</v>
      </c>
      <c r="N6" s="71">
        <f>[1]in!$P$1368</f>
        <v>0</v>
      </c>
      <c r="O6" s="71">
        <f>[1]in!$Q$1368</f>
        <v>0</v>
      </c>
      <c r="P6" s="71">
        <f>[1]in!$R$1368</f>
        <v>0</v>
      </c>
      <c r="Q6" s="27">
        <f t="shared" ref="Q6:Q33" si="10">SUM(E6:P6)</f>
        <v>108850</v>
      </c>
      <c r="R6" s="26">
        <f t="shared" ref="R6:R26" si="11">SUM(E6:G6)</f>
        <v>85650</v>
      </c>
      <c r="S6" s="26">
        <f t="shared" si="3"/>
        <v>23200</v>
      </c>
      <c r="T6" s="26">
        <f t="shared" si="4"/>
        <v>0</v>
      </c>
      <c r="U6" s="26">
        <f t="shared" si="5"/>
        <v>0</v>
      </c>
      <c r="V6" s="26">
        <f t="shared" ref="V6:V26" si="12">SUM(E6:J6)</f>
        <v>108850</v>
      </c>
      <c r="W6" s="26">
        <f t="shared" si="7"/>
        <v>0</v>
      </c>
      <c r="X6" s="58">
        <f t="shared" si="0"/>
        <v>6.0361894093573412E-2</v>
      </c>
      <c r="Y6" s="1"/>
      <c r="Z6" s="1"/>
      <c r="AA6" s="1"/>
      <c r="AB6" s="1"/>
      <c r="AC6" s="1"/>
      <c r="AD6" s="1"/>
      <c r="AE6" s="1"/>
      <c r="AF6" s="1"/>
      <c r="AG6" s="12"/>
      <c r="AH6" s="1"/>
      <c r="AI6" s="1"/>
      <c r="AJ6" s="1"/>
      <c r="AK6" s="12">
        <f t="shared" si="8"/>
        <v>0</v>
      </c>
    </row>
    <row r="7" spans="1:37">
      <c r="A7" s="415"/>
      <c r="B7" s="2" t="s">
        <v>18</v>
      </c>
      <c r="C7" s="7" t="s">
        <v>82</v>
      </c>
      <c r="D7" s="6"/>
      <c r="E7" s="112">
        <f>[1]in!$D$1372</f>
        <v>9410</v>
      </c>
      <c r="F7" s="112">
        <f>[1]in!$E$1372</f>
        <v>11580</v>
      </c>
      <c r="G7" s="112">
        <f>[1]in!$F$1372</f>
        <v>18000</v>
      </c>
      <c r="H7" s="112">
        <f>[1]in!$H$1372</f>
        <v>5540</v>
      </c>
      <c r="I7" s="112">
        <f>[1]in!$I$1372</f>
        <v>0</v>
      </c>
      <c r="J7" s="112">
        <f>[1]in!$J$1372</f>
        <v>0</v>
      </c>
      <c r="K7" s="112">
        <f>[1]in!$L$1372</f>
        <v>0</v>
      </c>
      <c r="L7" s="112">
        <f>[1]in!$M$1372</f>
        <v>0</v>
      </c>
      <c r="M7" s="112">
        <f>[1]in!$N$1372</f>
        <v>0</v>
      </c>
      <c r="N7" s="112">
        <f>[1]in!$P$1372</f>
        <v>0</v>
      </c>
      <c r="O7" s="112">
        <f>[1]in!$Q$1372</f>
        <v>0</v>
      </c>
      <c r="P7" s="112">
        <f>[1]in!$R$1372</f>
        <v>0</v>
      </c>
      <c r="Q7" s="27">
        <f t="shared" si="10"/>
        <v>44530</v>
      </c>
      <c r="R7" s="26">
        <f t="shared" si="11"/>
        <v>38990</v>
      </c>
      <c r="S7" s="26">
        <f t="shared" si="3"/>
        <v>5540</v>
      </c>
      <c r="T7" s="26">
        <f t="shared" si="4"/>
        <v>0</v>
      </c>
      <c r="U7" s="26">
        <f t="shared" si="5"/>
        <v>0</v>
      </c>
      <c r="V7" s="26">
        <f t="shared" si="12"/>
        <v>44530</v>
      </c>
      <c r="W7" s="26">
        <f t="shared" si="7"/>
        <v>0</v>
      </c>
      <c r="X7" s="58">
        <f t="shared" si="0"/>
        <v>2.4693754193723695E-2</v>
      </c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>
        <f t="shared" si="8"/>
        <v>0</v>
      </c>
    </row>
    <row r="8" spans="1:37">
      <c r="A8" s="415"/>
      <c r="B8" s="2" t="s">
        <v>19</v>
      </c>
      <c r="C8" s="7" t="s">
        <v>82</v>
      </c>
      <c r="D8" s="6"/>
      <c r="E8" s="112">
        <f>[1]in!$D$1377</f>
        <v>34860</v>
      </c>
      <c r="F8" s="112">
        <f>[1]in!$E$1377</f>
        <v>41860</v>
      </c>
      <c r="G8" s="112">
        <f>[1]in!$F$1377</f>
        <v>20930</v>
      </c>
      <c r="H8" s="112">
        <f>[1]in!$H$1377</f>
        <v>3930</v>
      </c>
      <c r="I8" s="112">
        <f>[1]in!$I$1377</f>
        <v>0</v>
      </c>
      <c r="J8" s="112">
        <f>[1]in!$J$1377</f>
        <v>0</v>
      </c>
      <c r="K8" s="112">
        <f>[1]in!$L$1377</f>
        <v>0</v>
      </c>
      <c r="L8" s="112">
        <f>[1]in!$M$1377</f>
        <v>0</v>
      </c>
      <c r="M8" s="112">
        <f>[1]in!$N$1377</f>
        <v>0</v>
      </c>
      <c r="N8" s="112">
        <f>[1]in!$P$1377</f>
        <v>0</v>
      </c>
      <c r="O8" s="112">
        <f>[1]in!$Q$1377</f>
        <v>0</v>
      </c>
      <c r="P8" s="112">
        <f>[1]in!$R$1377</f>
        <v>0</v>
      </c>
      <c r="Q8" s="27">
        <f t="shared" si="10"/>
        <v>101580</v>
      </c>
      <c r="R8" s="26">
        <f t="shared" si="11"/>
        <v>97650</v>
      </c>
      <c r="S8" s="26">
        <f t="shared" si="3"/>
        <v>3930</v>
      </c>
      <c r="T8" s="26">
        <f t="shared" si="4"/>
        <v>0</v>
      </c>
      <c r="U8" s="26">
        <f t="shared" si="5"/>
        <v>0</v>
      </c>
      <c r="V8" s="26">
        <f t="shared" si="12"/>
        <v>101580</v>
      </c>
      <c r="W8" s="26">
        <f t="shared" si="7"/>
        <v>0</v>
      </c>
      <c r="X8" s="58">
        <f t="shared" si="0"/>
        <v>5.6330373927654456E-2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2">
        <f t="shared" si="8"/>
        <v>0</v>
      </c>
    </row>
    <row r="9" spans="1:37">
      <c r="A9" s="415"/>
      <c r="B9" s="2" t="s">
        <v>20</v>
      </c>
      <c r="C9" s="7" t="s">
        <v>82</v>
      </c>
      <c r="D9" s="6"/>
      <c r="E9" s="112">
        <f>[1]in!$D$1378</f>
        <v>5330</v>
      </c>
      <c r="F9" s="112">
        <f>[1]in!$E$1378</f>
        <v>5770</v>
      </c>
      <c r="G9" s="112">
        <f>[1]in!$F$1378</f>
        <v>7190</v>
      </c>
      <c r="H9" s="112">
        <f>[1]in!$H$1378</f>
        <v>0</v>
      </c>
      <c r="I9" s="112">
        <f>[1]in!$I$1378</f>
        <v>0</v>
      </c>
      <c r="J9" s="112">
        <f>[1]in!$J$1378</f>
        <v>0</v>
      </c>
      <c r="K9" s="112">
        <f>[1]in!$L$1378</f>
        <v>0</v>
      </c>
      <c r="L9" s="112">
        <f>[1]in!$M$1378</f>
        <v>0</v>
      </c>
      <c r="M9" s="112">
        <f>[1]in!$N$1378</f>
        <v>0</v>
      </c>
      <c r="N9" s="112">
        <f>[1]in!$P$1378</f>
        <v>0</v>
      </c>
      <c r="O9" s="112">
        <f>[1]in!$Q$1378</f>
        <v>0</v>
      </c>
      <c r="P9" s="112">
        <f>[1]in!$R$1378</f>
        <v>0</v>
      </c>
      <c r="Q9" s="27">
        <f t="shared" si="10"/>
        <v>18290</v>
      </c>
      <c r="R9" s="26">
        <f t="shared" si="11"/>
        <v>18290</v>
      </c>
      <c r="S9" s="26">
        <f t="shared" si="3"/>
        <v>0</v>
      </c>
      <c r="T9" s="26">
        <f t="shared" si="4"/>
        <v>0</v>
      </c>
      <c r="U9" s="26">
        <f t="shared" si="5"/>
        <v>0</v>
      </c>
      <c r="V9" s="26">
        <f t="shared" si="12"/>
        <v>18290</v>
      </c>
      <c r="W9" s="26">
        <f t="shared" si="7"/>
        <v>0</v>
      </c>
      <c r="X9" s="58">
        <f t="shared" si="0"/>
        <v>1.0142572742043708E-2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2">
        <f t="shared" si="8"/>
        <v>0</v>
      </c>
    </row>
    <row r="10" spans="1:37">
      <c r="A10" s="415"/>
      <c r="B10" s="2" t="s">
        <v>83</v>
      </c>
      <c r="C10" s="7" t="s">
        <v>82</v>
      </c>
      <c r="D10" s="6"/>
      <c r="E10" s="112">
        <f>[1]in!$D$1386</f>
        <v>0</v>
      </c>
      <c r="F10" s="112">
        <f>[1]in!$E$1386</f>
        <v>0</v>
      </c>
      <c r="G10" s="112">
        <f>[1]in!$F$1386</f>
        <v>0</v>
      </c>
      <c r="H10" s="112">
        <f>[1]in!$H$1386</f>
        <v>0</v>
      </c>
      <c r="I10" s="112">
        <f>[1]in!$I$1386</f>
        <v>0</v>
      </c>
      <c r="J10" s="112">
        <f>[1]in!$J$1386</f>
        <v>0</v>
      </c>
      <c r="K10" s="112">
        <f>[1]in!$L$1386</f>
        <v>0</v>
      </c>
      <c r="L10" s="112">
        <f>[1]in!$M$1386</f>
        <v>0</v>
      </c>
      <c r="M10" s="112">
        <f>[1]in!$N$1386</f>
        <v>0</v>
      </c>
      <c r="N10" s="112">
        <f>[1]in!$P$1386</f>
        <v>0</v>
      </c>
      <c r="O10" s="112">
        <f>[1]in!$Q$1386</f>
        <v>0</v>
      </c>
      <c r="P10" s="112">
        <f>[1]in!$R$1386</f>
        <v>0</v>
      </c>
      <c r="Q10" s="27">
        <f t="shared" si="10"/>
        <v>0</v>
      </c>
      <c r="R10" s="26">
        <f t="shared" si="11"/>
        <v>0</v>
      </c>
      <c r="S10" s="26"/>
      <c r="T10" s="26"/>
      <c r="U10" s="26"/>
      <c r="V10" s="26">
        <f t="shared" si="12"/>
        <v>0</v>
      </c>
      <c r="W10" s="26"/>
      <c r="X10" s="58">
        <f t="shared" si="0"/>
        <v>0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2"/>
    </row>
    <row r="11" spans="1:37">
      <c r="A11" s="415"/>
      <c r="B11" s="2" t="s">
        <v>21</v>
      </c>
      <c r="C11" s="7" t="s">
        <v>82</v>
      </c>
      <c r="D11" s="6"/>
      <c r="E11" s="71">
        <f>[1]in!$D$1380</f>
        <v>0</v>
      </c>
      <c r="F11" s="71">
        <f>[1]in!$E$1380</f>
        <v>0</v>
      </c>
      <c r="G11" s="71">
        <f>[1]in!$F$1380</f>
        <v>0</v>
      </c>
      <c r="H11" s="71">
        <f>[1]in!$H$1380</f>
        <v>0</v>
      </c>
      <c r="I11" s="71">
        <f>[1]in!$I$1380</f>
        <v>0</v>
      </c>
      <c r="J11" s="71">
        <f>[1]in!$J$1380</f>
        <v>0</v>
      </c>
      <c r="K11" s="71">
        <f>[1]in!$L$1380</f>
        <v>0</v>
      </c>
      <c r="L11" s="71">
        <f>[1]in!$M$1380</f>
        <v>0</v>
      </c>
      <c r="M11" s="71">
        <f>[1]in!$N$1380</f>
        <v>0</v>
      </c>
      <c r="N11" s="71">
        <f>[1]in!$P$1380</f>
        <v>0</v>
      </c>
      <c r="O11" s="71">
        <f>[1]in!$Q$1380</f>
        <v>0</v>
      </c>
      <c r="P11" s="71">
        <f>[1]in!$R$1380</f>
        <v>0</v>
      </c>
      <c r="Q11" s="27">
        <f t="shared" si="10"/>
        <v>0</v>
      </c>
      <c r="R11" s="26">
        <f t="shared" si="11"/>
        <v>0</v>
      </c>
      <c r="S11" s="26">
        <f t="shared" si="3"/>
        <v>0</v>
      </c>
      <c r="T11" s="26">
        <f t="shared" si="4"/>
        <v>0</v>
      </c>
      <c r="U11" s="26">
        <f t="shared" si="5"/>
        <v>0</v>
      </c>
      <c r="V11" s="26">
        <f t="shared" si="12"/>
        <v>0</v>
      </c>
      <c r="W11" s="26">
        <f t="shared" si="7"/>
        <v>0</v>
      </c>
      <c r="X11" s="58">
        <f t="shared" si="0"/>
        <v>0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2">
        <f t="shared" si="8"/>
        <v>0</v>
      </c>
    </row>
    <row r="12" spans="1:37">
      <c r="A12" s="415"/>
      <c r="B12" s="2" t="s">
        <v>22</v>
      </c>
      <c r="C12" s="7" t="s">
        <v>82</v>
      </c>
      <c r="D12" s="32"/>
      <c r="E12" s="71">
        <f>[1]in!$D$1389</f>
        <v>0</v>
      </c>
      <c r="F12" s="71">
        <f>[1]in!$E$1389</f>
        <v>42350</v>
      </c>
      <c r="G12" s="71">
        <f>[1]in!$F$1389</f>
        <v>0</v>
      </c>
      <c r="H12" s="71">
        <f>[1]in!$H$1389</f>
        <v>0</v>
      </c>
      <c r="I12" s="71">
        <f>[1]in!$I$1389</f>
        <v>0</v>
      </c>
      <c r="J12" s="71">
        <f>[1]in!$J$1389</f>
        <v>0</v>
      </c>
      <c r="K12" s="71">
        <f>[1]in!$L$1389</f>
        <v>0</v>
      </c>
      <c r="L12" s="71">
        <f>[1]in!$M$1389</f>
        <v>0</v>
      </c>
      <c r="M12" s="71">
        <f>[1]in!$N$1389</f>
        <v>0</v>
      </c>
      <c r="N12" s="71">
        <f>[1]in!$P$1389</f>
        <v>0</v>
      </c>
      <c r="O12" s="71">
        <f>[1]in!$Q$1389</f>
        <v>0</v>
      </c>
      <c r="P12" s="71">
        <f>[1]in!$R$1389</f>
        <v>0</v>
      </c>
      <c r="Q12" s="27">
        <f t="shared" si="10"/>
        <v>42350</v>
      </c>
      <c r="R12" s="26">
        <f t="shared" si="11"/>
        <v>42350</v>
      </c>
      <c r="S12" s="26">
        <f t="shared" si="3"/>
        <v>0</v>
      </c>
      <c r="T12" s="26">
        <f t="shared" si="4"/>
        <v>0</v>
      </c>
      <c r="U12" s="26">
        <f t="shared" si="5"/>
        <v>0</v>
      </c>
      <c r="V12" s="26">
        <f t="shared" si="12"/>
        <v>42350</v>
      </c>
      <c r="W12" s="26">
        <f t="shared" si="7"/>
        <v>0</v>
      </c>
      <c r="X12" s="58">
        <f t="shared" si="0"/>
        <v>2.3484852685924061E-2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2">
        <f t="shared" si="8"/>
        <v>0</v>
      </c>
    </row>
    <row r="13" spans="1:37">
      <c r="A13" s="415"/>
      <c r="B13" s="2" t="s">
        <v>23</v>
      </c>
      <c r="C13" s="7" t="s">
        <v>82</v>
      </c>
      <c r="D13" s="32"/>
      <c r="E13" s="71">
        <f>[1]in!$D$1391</f>
        <v>0</v>
      </c>
      <c r="F13" s="71">
        <f>[1]in!$E$1391</f>
        <v>5100</v>
      </c>
      <c r="G13" s="71">
        <f>[1]in!$F$1391</f>
        <v>1500</v>
      </c>
      <c r="H13" s="71">
        <f>[1]in!$H$1391</f>
        <v>2340</v>
      </c>
      <c r="I13" s="71">
        <f>[1]in!$I$1391</f>
        <v>0</v>
      </c>
      <c r="J13" s="71">
        <f>[1]in!$J$1391</f>
        <v>0</v>
      </c>
      <c r="K13" s="71">
        <f>[1]in!$L$1391</f>
        <v>0</v>
      </c>
      <c r="L13" s="71">
        <f>[1]in!$M$1391</f>
        <v>0</v>
      </c>
      <c r="M13" s="71">
        <f>[1]in!$N$1391</f>
        <v>0</v>
      </c>
      <c r="N13" s="71">
        <f>[1]in!$P$1391</f>
        <v>0</v>
      </c>
      <c r="O13" s="71">
        <f>[1]in!$Q$1391</f>
        <v>0</v>
      </c>
      <c r="P13" s="71">
        <f>[1]in!$R$1391</f>
        <v>0</v>
      </c>
      <c r="Q13" s="27">
        <f t="shared" si="10"/>
        <v>8940</v>
      </c>
      <c r="R13" s="26">
        <f t="shared" si="11"/>
        <v>6600</v>
      </c>
      <c r="S13" s="26"/>
      <c r="T13" s="26"/>
      <c r="U13" s="26"/>
      <c r="V13" s="26">
        <f t="shared" si="12"/>
        <v>8940</v>
      </c>
      <c r="W13" s="26"/>
      <c r="X13" s="58">
        <f t="shared" si="0"/>
        <v>4.9576052659306043E-3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2"/>
    </row>
    <row r="14" spans="1:37">
      <c r="A14" s="415"/>
      <c r="B14" s="2" t="s">
        <v>58</v>
      </c>
      <c r="C14" s="7" t="s">
        <v>82</v>
      </c>
      <c r="D14" s="6"/>
      <c r="E14" s="71">
        <f>[1]in!$D$1385</f>
        <v>0</v>
      </c>
      <c r="F14" s="71">
        <f>[1]in!$E$1385</f>
        <v>4930</v>
      </c>
      <c r="G14" s="71">
        <f>[1]in!$F$1385</f>
        <v>0</v>
      </c>
      <c r="H14" s="71">
        <f>[1]in!$H$1385</f>
        <v>0</v>
      </c>
      <c r="I14" s="71">
        <f>[1]in!$I$1385</f>
        <v>0</v>
      </c>
      <c r="J14" s="71">
        <f>[1]in!$J$1385</f>
        <v>0</v>
      </c>
      <c r="K14" s="71">
        <f>[1]in!$L$1385</f>
        <v>0</v>
      </c>
      <c r="L14" s="71">
        <f>[1]in!$M$1385</f>
        <v>0</v>
      </c>
      <c r="M14" s="71">
        <f>[1]in!$N$1385</f>
        <v>0</v>
      </c>
      <c r="N14" s="71">
        <f>[1]in!$P$1385</f>
        <v>0</v>
      </c>
      <c r="O14" s="71">
        <f>[1]in!$Q$1385</f>
        <v>0</v>
      </c>
      <c r="P14" s="71">
        <f>[1]in!$R$1385</f>
        <v>0</v>
      </c>
      <c r="Q14" s="27">
        <f t="shared" si="10"/>
        <v>4930</v>
      </c>
      <c r="R14" s="26">
        <f t="shared" si="11"/>
        <v>4930</v>
      </c>
      <c r="S14" s="26">
        <f t="shared" si="3"/>
        <v>0</v>
      </c>
      <c r="T14" s="26">
        <f t="shared" si="4"/>
        <v>0</v>
      </c>
      <c r="U14" s="26">
        <f t="shared" si="5"/>
        <v>0</v>
      </c>
      <c r="V14" s="26">
        <f t="shared" si="12"/>
        <v>4930</v>
      </c>
      <c r="W14" s="26">
        <f t="shared" si="7"/>
        <v>0</v>
      </c>
      <c r="X14" s="58">
        <f t="shared" si="0"/>
        <v>2.7338919419505458E-3</v>
      </c>
      <c r="Y14" s="1"/>
      <c r="Z14" s="12"/>
      <c r="AA14" s="1"/>
      <c r="AB14" s="1"/>
      <c r="AC14" s="26"/>
      <c r="AD14" s="26"/>
      <c r="AE14" s="26"/>
      <c r="AF14" s="1"/>
      <c r="AG14" s="1"/>
      <c r="AH14" s="1"/>
      <c r="AI14" s="1"/>
      <c r="AJ14" s="1"/>
      <c r="AK14" s="12">
        <f t="shared" si="8"/>
        <v>0</v>
      </c>
    </row>
    <row r="15" spans="1:37">
      <c r="A15" s="415"/>
      <c r="B15" s="2" t="s">
        <v>84</v>
      </c>
      <c r="C15" s="7" t="s">
        <v>82</v>
      </c>
      <c r="D15" s="6"/>
      <c r="E15" s="71">
        <f>[1]in!$D$1387</f>
        <v>0</v>
      </c>
      <c r="F15" s="71">
        <f>[1]in!$E$1387</f>
        <v>0</v>
      </c>
      <c r="G15" s="71">
        <f>[1]in!$F$1387</f>
        <v>0</v>
      </c>
      <c r="H15" s="71">
        <f>[1]in!$H$1387</f>
        <v>0</v>
      </c>
      <c r="I15" s="71">
        <f>[1]in!$I$1387</f>
        <v>0</v>
      </c>
      <c r="J15" s="71">
        <f>[1]in!$J$1387</f>
        <v>0</v>
      </c>
      <c r="K15" s="71">
        <f>[1]in!$L$1387</f>
        <v>0</v>
      </c>
      <c r="L15" s="71">
        <f>[1]in!$M$1387</f>
        <v>0</v>
      </c>
      <c r="M15" s="71">
        <f>[1]in!$N$1387</f>
        <v>0</v>
      </c>
      <c r="N15" s="71">
        <f>[1]in!$P$1387</f>
        <v>0</v>
      </c>
      <c r="O15" s="71">
        <f>[1]in!$Q$1387</f>
        <v>0</v>
      </c>
      <c r="P15" s="71">
        <f>[1]in!$R$1387</f>
        <v>0</v>
      </c>
      <c r="Q15" s="27">
        <f>SUM(E15:P15)</f>
        <v>0</v>
      </c>
      <c r="R15" s="26">
        <f t="shared" si="11"/>
        <v>0</v>
      </c>
      <c r="S15" s="26">
        <f t="shared" si="3"/>
        <v>0</v>
      </c>
      <c r="T15" s="26">
        <f t="shared" si="4"/>
        <v>0</v>
      </c>
      <c r="U15" s="26">
        <f t="shared" si="5"/>
        <v>0</v>
      </c>
      <c r="V15" s="26">
        <f t="shared" si="12"/>
        <v>0</v>
      </c>
      <c r="W15" s="26">
        <f t="shared" si="7"/>
        <v>0</v>
      </c>
      <c r="X15" s="58">
        <f t="shared" si="0"/>
        <v>0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2">
        <f t="shared" si="8"/>
        <v>0</v>
      </c>
    </row>
    <row r="16" spans="1:37">
      <c r="A16" s="415"/>
      <c r="B16" s="7" t="s">
        <v>24</v>
      </c>
      <c r="C16" s="7" t="s">
        <v>82</v>
      </c>
      <c r="D16" s="6"/>
      <c r="E16" s="71">
        <f>[1]in!$D$1371</f>
        <v>28230</v>
      </c>
      <c r="F16" s="71">
        <f>[1]in!$E$1371</f>
        <v>44530</v>
      </c>
      <c r="G16" s="71">
        <f>[1]in!$F$1371</f>
        <v>26850</v>
      </c>
      <c r="H16" s="71">
        <f>[1]in!$H$1371</f>
        <v>23770</v>
      </c>
      <c r="I16" s="71">
        <f>[1]in!$I$1371</f>
        <v>0</v>
      </c>
      <c r="J16" s="71">
        <f>[1]in!$J$1371</f>
        <v>0</v>
      </c>
      <c r="K16" s="71">
        <f>[1]in!$L$1371</f>
        <v>0</v>
      </c>
      <c r="L16" s="71">
        <f>[1]in!$M$1371</f>
        <v>0</v>
      </c>
      <c r="M16" s="71">
        <f>[1]in!$N$1371</f>
        <v>0</v>
      </c>
      <c r="N16" s="71">
        <f>[1]in!$P$1371</f>
        <v>0</v>
      </c>
      <c r="O16" s="71">
        <f>[1]in!$Q$1371</f>
        <v>0</v>
      </c>
      <c r="P16" s="71">
        <f>[1]in!$R$1371</f>
        <v>0</v>
      </c>
      <c r="Q16" s="27">
        <f t="shared" si="10"/>
        <v>123380</v>
      </c>
      <c r="R16" s="26">
        <f t="shared" si="11"/>
        <v>99610</v>
      </c>
      <c r="S16" s="26">
        <f t="shared" si="3"/>
        <v>23770</v>
      </c>
      <c r="T16" s="26">
        <f t="shared" si="4"/>
        <v>0</v>
      </c>
      <c r="U16" s="26">
        <f t="shared" si="5"/>
        <v>0</v>
      </c>
      <c r="V16" s="26">
        <f t="shared" si="12"/>
        <v>123380</v>
      </c>
      <c r="W16" s="26">
        <f t="shared" si="7"/>
        <v>0</v>
      </c>
      <c r="X16" s="58">
        <f>Q16/$Q$36</f>
        <v>6.0224879250044543E-2</v>
      </c>
      <c r="Y16" s="12"/>
      <c r="Z16" s="11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f t="shared" si="8"/>
        <v>0</v>
      </c>
    </row>
    <row r="17" spans="1:37">
      <c r="A17" s="415"/>
      <c r="B17" s="7" t="s">
        <v>25</v>
      </c>
      <c r="C17" s="7" t="s">
        <v>82</v>
      </c>
      <c r="D17" s="6"/>
      <c r="E17" s="71">
        <f>[1]in!$D$1376</f>
        <v>15090</v>
      </c>
      <c r="F17" s="71">
        <f>[1]in!$E$1376</f>
        <v>10050</v>
      </c>
      <c r="G17" s="71">
        <f>[1]in!$F$1376</f>
        <v>24850</v>
      </c>
      <c r="H17" s="71">
        <f>[1]in!$H$1376</f>
        <v>0</v>
      </c>
      <c r="I17" s="71">
        <f>[1]in!$I$1376</f>
        <v>0</v>
      </c>
      <c r="J17" s="71">
        <f>[1]in!$J$1376</f>
        <v>0</v>
      </c>
      <c r="K17" s="71">
        <f>[1]in!$L$1376</f>
        <v>0</v>
      </c>
      <c r="L17" s="71">
        <f>[1]in!$M$1376</f>
        <v>0</v>
      </c>
      <c r="M17" s="71">
        <f>[1]in!$N$1376</f>
        <v>0</v>
      </c>
      <c r="N17" s="71">
        <f>[1]in!$P$1376</f>
        <v>0</v>
      </c>
      <c r="O17" s="71">
        <f>[1]in!$Q$1376</f>
        <v>0</v>
      </c>
      <c r="P17" s="71">
        <f>[1]in!$R$1376</f>
        <v>0</v>
      </c>
      <c r="Q17" s="27">
        <f t="shared" si="10"/>
        <v>49990</v>
      </c>
      <c r="R17" s="26">
        <f t="shared" si="11"/>
        <v>49990</v>
      </c>
      <c r="S17" s="26">
        <f t="shared" si="3"/>
        <v>0</v>
      </c>
      <c r="T17" s="26">
        <f t="shared" si="4"/>
        <v>0</v>
      </c>
      <c r="U17" s="26">
        <f t="shared" si="5"/>
        <v>0</v>
      </c>
      <c r="V17" s="26">
        <f t="shared" si="12"/>
        <v>49990</v>
      </c>
      <c r="W17" s="26">
        <f t="shared" si="7"/>
        <v>0</v>
      </c>
      <c r="X17" s="58">
        <f>Q17/$Q$36</f>
        <v>2.4401375536632571E-2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2">
        <f t="shared" si="8"/>
        <v>0</v>
      </c>
    </row>
    <row r="18" spans="1:37">
      <c r="A18" s="415"/>
      <c r="B18" s="7" t="s">
        <v>26</v>
      </c>
      <c r="C18" s="7" t="s">
        <v>82</v>
      </c>
      <c r="D18" s="6"/>
      <c r="E18" s="71">
        <f>[1]in!$D$1381</f>
        <v>0</v>
      </c>
      <c r="F18" s="71">
        <f>[1]in!$E$1381</f>
        <v>0</v>
      </c>
      <c r="G18" s="71">
        <f>[1]in!$F$1381</f>
        <v>0</v>
      </c>
      <c r="H18" s="71">
        <f>[1]in!$H$1381</f>
        <v>11000</v>
      </c>
      <c r="I18" s="71">
        <f>[1]in!$I$1381</f>
        <v>0</v>
      </c>
      <c r="J18" s="71">
        <f>[1]in!$J$1381</f>
        <v>0</v>
      </c>
      <c r="K18" s="71">
        <f>[1]in!$L$1381</f>
        <v>0</v>
      </c>
      <c r="L18" s="71">
        <f>[1]in!$M$1381</f>
        <v>0</v>
      </c>
      <c r="M18" s="71">
        <f>[1]in!$N$1381</f>
        <v>0</v>
      </c>
      <c r="N18" s="71">
        <f>[1]in!$P$1381</f>
        <v>0</v>
      </c>
      <c r="O18" s="71">
        <f>[1]in!$Q$1381</f>
        <v>0</v>
      </c>
      <c r="P18" s="71">
        <f>[1]in!$R$1381</f>
        <v>0</v>
      </c>
      <c r="Q18" s="27">
        <f t="shared" si="10"/>
        <v>11000</v>
      </c>
      <c r="R18" s="26">
        <f t="shared" si="11"/>
        <v>0</v>
      </c>
      <c r="S18" s="26">
        <f t="shared" si="3"/>
        <v>11000</v>
      </c>
      <c r="T18" s="26">
        <f t="shared" si="4"/>
        <v>0</v>
      </c>
      <c r="U18" s="26">
        <f t="shared" si="5"/>
        <v>0</v>
      </c>
      <c r="V18" s="26">
        <f t="shared" si="12"/>
        <v>11000</v>
      </c>
      <c r="W18" s="26">
        <f t="shared" si="7"/>
        <v>0</v>
      </c>
      <c r="X18" s="196">
        <f>Q18/$Q$36</f>
        <v>5.3693764933578376E-3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2">
        <f t="shared" si="8"/>
        <v>0</v>
      </c>
    </row>
    <row r="19" spans="1:37">
      <c r="A19" s="415"/>
      <c r="B19" s="7" t="s">
        <v>27</v>
      </c>
      <c r="C19" s="7" t="s">
        <v>82</v>
      </c>
      <c r="D19" s="6"/>
      <c r="E19" s="71">
        <f>[1]in!$D$1382</f>
        <v>27640</v>
      </c>
      <c r="F19" s="71">
        <f>[1]in!$E$1382</f>
        <v>8380</v>
      </c>
      <c r="G19" s="71">
        <f>[1]in!$F$1382</f>
        <v>21585</v>
      </c>
      <c r="H19" s="71">
        <f>[1]in!$H$1382</f>
        <v>3390</v>
      </c>
      <c r="I19" s="71">
        <f>[1]in!$I$1382</f>
        <v>0</v>
      </c>
      <c r="J19" s="71">
        <f>[1]in!$J$1382</f>
        <v>0</v>
      </c>
      <c r="K19" s="71">
        <f>[1]in!$L$1382</f>
        <v>0</v>
      </c>
      <c r="L19" s="71">
        <f>[1]in!$M$1382</f>
        <v>0</v>
      </c>
      <c r="M19" s="71">
        <f>[1]in!$N$1382</f>
        <v>0</v>
      </c>
      <c r="N19" s="71">
        <f>[1]in!$P$1382</f>
        <v>0</v>
      </c>
      <c r="O19" s="71">
        <f>[1]in!$Q$1382</f>
        <v>0</v>
      </c>
      <c r="P19" s="71">
        <f>[1]in!$R$1382</f>
        <v>0</v>
      </c>
      <c r="Q19" s="27">
        <f t="shared" si="10"/>
        <v>60995</v>
      </c>
      <c r="R19" s="26">
        <f t="shared" si="11"/>
        <v>57605</v>
      </c>
      <c r="S19" s="26">
        <f t="shared" si="3"/>
        <v>3390</v>
      </c>
      <c r="T19" s="26">
        <f t="shared" si="4"/>
        <v>0</v>
      </c>
      <c r="U19" s="26">
        <f t="shared" si="5"/>
        <v>0</v>
      </c>
      <c r="V19" s="26">
        <f t="shared" si="12"/>
        <v>60995</v>
      </c>
      <c r="W19" s="26">
        <f t="shared" si="7"/>
        <v>0</v>
      </c>
      <c r="X19" s="58">
        <f>Q19/$Q$36</f>
        <v>2.9773192655669207E-2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2">
        <f t="shared" si="8"/>
        <v>0</v>
      </c>
    </row>
    <row r="20" spans="1:37">
      <c r="A20" s="415"/>
      <c r="B20" s="7" t="s">
        <v>59</v>
      </c>
      <c r="C20" s="7" t="s">
        <v>82</v>
      </c>
      <c r="D20" s="6"/>
      <c r="E20" s="71">
        <f>[1]in!$D$1388</f>
        <v>0</v>
      </c>
      <c r="F20" s="71">
        <f>[1]in!$E$1388</f>
        <v>0</v>
      </c>
      <c r="G20" s="71">
        <f>[1]in!$F$1388</f>
        <v>0</v>
      </c>
      <c r="H20" s="71">
        <f>[1]in!$H$1388</f>
        <v>0</v>
      </c>
      <c r="I20" s="71">
        <f>[1]in!$I$1388</f>
        <v>0</v>
      </c>
      <c r="J20" s="71">
        <f>[1]in!$J$1388</f>
        <v>0</v>
      </c>
      <c r="K20" s="71">
        <f>[1]in!$L$1388</f>
        <v>0</v>
      </c>
      <c r="L20" s="71">
        <f>[1]in!$M$1388</f>
        <v>0</v>
      </c>
      <c r="M20" s="71">
        <f>[1]in!$N$1388</f>
        <v>0</v>
      </c>
      <c r="N20" s="71">
        <f>[1]in!$P$1388</f>
        <v>0</v>
      </c>
      <c r="O20" s="71">
        <f>[1]in!$Q$1388</f>
        <v>0</v>
      </c>
      <c r="P20" s="71">
        <f>[1]in!$R$1388</f>
        <v>0</v>
      </c>
      <c r="Q20" s="27">
        <f t="shared" si="10"/>
        <v>0</v>
      </c>
      <c r="R20" s="26">
        <f t="shared" si="11"/>
        <v>0</v>
      </c>
      <c r="S20" s="26">
        <f t="shared" si="3"/>
        <v>0</v>
      </c>
      <c r="T20" s="26">
        <f t="shared" si="4"/>
        <v>0</v>
      </c>
      <c r="U20" s="26">
        <f t="shared" si="5"/>
        <v>0</v>
      </c>
      <c r="V20" s="26">
        <f t="shared" si="12"/>
        <v>0</v>
      </c>
      <c r="W20" s="26">
        <f t="shared" si="7"/>
        <v>0</v>
      </c>
      <c r="X20" s="58">
        <f>Q20/$Q$36</f>
        <v>0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2">
        <f t="shared" si="8"/>
        <v>0</v>
      </c>
    </row>
    <row r="21" spans="1:37">
      <c r="A21" s="425" t="s">
        <v>28</v>
      </c>
      <c r="B21" s="2" t="s">
        <v>29</v>
      </c>
      <c r="C21" s="7" t="s">
        <v>82</v>
      </c>
      <c r="D21" s="6"/>
      <c r="E21" s="71">
        <f>[1]in!$D$1366</f>
        <v>194</v>
      </c>
      <c r="F21" s="71">
        <f>[1]in!$E$1366</f>
        <v>50</v>
      </c>
      <c r="G21" s="71">
        <f>[1]in!$F$1366</f>
        <v>75</v>
      </c>
      <c r="H21" s="71">
        <f>[1]in!$H$1366</f>
        <v>0</v>
      </c>
      <c r="I21" s="71">
        <f>[1]in!$I$1366</f>
        <v>0</v>
      </c>
      <c r="J21" s="71">
        <f>[1]in!$J$1366</f>
        <v>0</v>
      </c>
      <c r="K21" s="71">
        <f>[1]in!$L$1366</f>
        <v>0</v>
      </c>
      <c r="L21" s="71">
        <f>[1]in!$M$1366</f>
        <v>0</v>
      </c>
      <c r="M21" s="71">
        <f>[1]in!$N$1366</f>
        <v>0</v>
      </c>
      <c r="N21" s="71">
        <f>[1]in!$P$1366</f>
        <v>0</v>
      </c>
      <c r="O21" s="71">
        <f>[1]in!$Q$1366</f>
        <v>0</v>
      </c>
      <c r="P21" s="71">
        <f>[1]in!$R$1366</f>
        <v>0</v>
      </c>
      <c r="Q21" s="27">
        <f t="shared" si="10"/>
        <v>319</v>
      </c>
      <c r="R21" s="26">
        <f t="shared" si="11"/>
        <v>319</v>
      </c>
      <c r="S21" s="26">
        <f t="shared" si="3"/>
        <v>0</v>
      </c>
      <c r="T21" s="26">
        <f t="shared" si="4"/>
        <v>0</v>
      </c>
      <c r="U21" s="26">
        <f t="shared" si="5"/>
        <v>0</v>
      </c>
      <c r="V21" s="26">
        <f t="shared" si="12"/>
        <v>319</v>
      </c>
      <c r="W21" s="26">
        <f t="shared" si="7"/>
        <v>0</v>
      </c>
      <c r="X21" s="58">
        <f t="shared" ref="X21:X29" si="13">Q21/$Q$37</f>
        <v>1.7689889036150592E-4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2">
        <f t="shared" si="8"/>
        <v>0</v>
      </c>
    </row>
    <row r="22" spans="1:37">
      <c r="A22" s="426"/>
      <c r="B22" s="2" t="s">
        <v>30</v>
      </c>
      <c r="C22" s="7" t="s">
        <v>82</v>
      </c>
      <c r="D22" s="6"/>
      <c r="E22" s="71">
        <f>[1]in!$D$1367</f>
        <v>0</v>
      </c>
      <c r="F22" s="71">
        <f>[1]in!$E$1367</f>
        <v>5650</v>
      </c>
      <c r="G22" s="71">
        <f>[1]in!$F$1367</f>
        <v>0</v>
      </c>
      <c r="H22" s="71">
        <f>[1]in!$H$1367</f>
        <v>0</v>
      </c>
      <c r="I22" s="71">
        <f>[1]in!$I$1367</f>
        <v>0</v>
      </c>
      <c r="J22" s="71">
        <f>[1]in!$J$1367</f>
        <v>0</v>
      </c>
      <c r="K22" s="71">
        <f>[1]in!$L$1367</f>
        <v>0</v>
      </c>
      <c r="L22" s="71">
        <f>[1]in!$M$1367</f>
        <v>0</v>
      </c>
      <c r="M22" s="71">
        <f>[1]in!$N$1367</f>
        <v>0</v>
      </c>
      <c r="N22" s="71">
        <f>[1]in!$P$1367</f>
        <v>0</v>
      </c>
      <c r="O22" s="71">
        <f>[1]in!$Q$1367</f>
        <v>0</v>
      </c>
      <c r="P22" s="71">
        <f>[1]in!$R$1367</f>
        <v>0</v>
      </c>
      <c r="Q22" s="27">
        <f t="shared" si="10"/>
        <v>5650</v>
      </c>
      <c r="R22" s="26">
        <f t="shared" si="11"/>
        <v>5650</v>
      </c>
      <c r="S22" s="26">
        <f t="shared" si="3"/>
        <v>0</v>
      </c>
      <c r="T22" s="26">
        <f t="shared" si="4"/>
        <v>0</v>
      </c>
      <c r="U22" s="26">
        <f t="shared" si="5"/>
        <v>0</v>
      </c>
      <c r="V22" s="26">
        <f t="shared" si="12"/>
        <v>5650</v>
      </c>
      <c r="W22" s="26">
        <f t="shared" si="7"/>
        <v>0</v>
      </c>
      <c r="X22" s="58">
        <f t="shared" si="13"/>
        <v>3.1331621647100578E-3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2">
        <f t="shared" si="8"/>
        <v>0</v>
      </c>
    </row>
    <row r="23" spans="1:37">
      <c r="A23" s="426"/>
      <c r="B23" s="2" t="s">
        <v>31</v>
      </c>
      <c r="C23" s="7" t="s">
        <v>82</v>
      </c>
      <c r="D23" s="6"/>
      <c r="E23" s="117">
        <f>[1]in!$D$1369</f>
        <v>0</v>
      </c>
      <c r="F23" s="117">
        <f>[1]in!$E$1369</f>
        <v>0</v>
      </c>
      <c r="G23" s="117">
        <f>[1]in!$F$1369</f>
        <v>5314</v>
      </c>
      <c r="H23" s="117">
        <f>[1]in!$H$1369</f>
        <v>0</v>
      </c>
      <c r="I23" s="117">
        <f>[1]in!$I$1369</f>
        <v>0</v>
      </c>
      <c r="J23" s="117">
        <f>[1]in!$J$1369</f>
        <v>0</v>
      </c>
      <c r="K23" s="117">
        <f>[1]in!$L$1369</f>
        <v>0</v>
      </c>
      <c r="L23" s="117">
        <f>[1]in!$M$1369</f>
        <v>0</v>
      </c>
      <c r="M23" s="117">
        <f>[1]in!$N$1369</f>
        <v>0</v>
      </c>
      <c r="N23" s="117">
        <f>[1]in!$P$1369</f>
        <v>0</v>
      </c>
      <c r="O23" s="117">
        <f>[1]in!$Q$1369</f>
        <v>0</v>
      </c>
      <c r="P23" s="117">
        <f>[1]in!$R$1369</f>
        <v>0</v>
      </c>
      <c r="Q23" s="27">
        <f t="shared" si="10"/>
        <v>5314</v>
      </c>
      <c r="R23" s="26">
        <f t="shared" si="11"/>
        <v>5314</v>
      </c>
      <c r="S23" s="26">
        <f t="shared" si="3"/>
        <v>0</v>
      </c>
      <c r="T23" s="26">
        <f t="shared" si="4"/>
        <v>0</v>
      </c>
      <c r="U23" s="26">
        <f t="shared" si="5"/>
        <v>0</v>
      </c>
      <c r="V23" s="26">
        <f t="shared" si="12"/>
        <v>5314</v>
      </c>
      <c r="W23" s="26">
        <f t="shared" si="7"/>
        <v>0</v>
      </c>
      <c r="X23" s="58">
        <f t="shared" si="13"/>
        <v>2.9468360607556188E-3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2">
        <f t="shared" si="8"/>
        <v>0</v>
      </c>
    </row>
    <row r="24" spans="1:37">
      <c r="A24" s="426"/>
      <c r="B24" s="2" t="s">
        <v>32</v>
      </c>
      <c r="C24" s="7" t="s">
        <v>82</v>
      </c>
      <c r="D24" s="6"/>
      <c r="E24" s="117">
        <f>[1]in!$D$1370</f>
        <v>1000</v>
      </c>
      <c r="F24" s="117">
        <f>[1]in!$E$1370</f>
        <v>1310</v>
      </c>
      <c r="G24" s="117">
        <f>[1]in!$F$1370</f>
        <v>710</v>
      </c>
      <c r="H24" s="117">
        <f>[1]in!$H$1370</f>
        <v>1140</v>
      </c>
      <c r="I24" s="117">
        <f>[1]in!$I$1370</f>
        <v>0</v>
      </c>
      <c r="J24" s="117">
        <f>[1]in!$J$1370</f>
        <v>0</v>
      </c>
      <c r="K24" s="117">
        <f>[1]in!$L$1370</f>
        <v>0</v>
      </c>
      <c r="L24" s="117">
        <f>[1]in!$M$1370</f>
        <v>0</v>
      </c>
      <c r="M24" s="117">
        <f>[1]in!$N$1370</f>
        <v>0</v>
      </c>
      <c r="N24" s="117">
        <f>[1]in!$P$1370</f>
        <v>0</v>
      </c>
      <c r="O24" s="117">
        <f>[1]in!$Q$1370</f>
        <v>0</v>
      </c>
      <c r="P24" s="117">
        <f>[1]in!$R$1370</f>
        <v>0</v>
      </c>
      <c r="Q24" s="27">
        <f t="shared" si="10"/>
        <v>4160</v>
      </c>
      <c r="R24" s="26">
        <f t="shared" si="11"/>
        <v>3020</v>
      </c>
      <c r="S24" s="26">
        <f t="shared" si="3"/>
        <v>1140</v>
      </c>
      <c r="T24" s="26">
        <f t="shared" si="4"/>
        <v>0</v>
      </c>
      <c r="U24" s="26">
        <f t="shared" si="5"/>
        <v>0</v>
      </c>
      <c r="V24" s="26">
        <f t="shared" si="12"/>
        <v>4160</v>
      </c>
      <c r="W24" s="26">
        <f t="shared" si="7"/>
        <v>0</v>
      </c>
      <c r="X24" s="58">
        <f t="shared" si="13"/>
        <v>2.3068946203882901E-3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2">
        <f t="shared" si="8"/>
        <v>0</v>
      </c>
    </row>
    <row r="25" spans="1:37">
      <c r="A25" s="426"/>
      <c r="B25" s="2" t="s">
        <v>33</v>
      </c>
      <c r="C25" s="7" t="s">
        <v>82</v>
      </c>
      <c r="D25" s="6"/>
      <c r="E25" s="112">
        <f>[1]in!$D$1374</f>
        <v>3600</v>
      </c>
      <c r="F25" s="112">
        <f>[1]in!$E$1374</f>
        <v>1581</v>
      </c>
      <c r="G25" s="112">
        <f>[1]in!$F$1374</f>
        <v>3225</v>
      </c>
      <c r="H25" s="112">
        <f>[1]in!$H$1374</f>
        <v>0</v>
      </c>
      <c r="I25" s="112">
        <f>[1]in!$I$1374</f>
        <v>0</v>
      </c>
      <c r="J25" s="112">
        <f>[1]in!$J$1374</f>
        <v>0</v>
      </c>
      <c r="K25" s="112">
        <f>[1]in!$L$1374</f>
        <v>0</v>
      </c>
      <c r="L25" s="112">
        <f>[1]in!$M$1374</f>
        <v>0</v>
      </c>
      <c r="M25" s="112">
        <f>[1]in!$N$1374</f>
        <v>0</v>
      </c>
      <c r="N25" s="112">
        <f>[1]in!$P$1374</f>
        <v>0</v>
      </c>
      <c r="O25" s="112">
        <f>[1]in!$Q$1374</f>
        <v>0</v>
      </c>
      <c r="P25" s="112">
        <f>[1]in!$R$1374</f>
        <v>0</v>
      </c>
      <c r="Q25" s="27">
        <f t="shared" si="10"/>
        <v>8406</v>
      </c>
      <c r="R25" s="26">
        <f t="shared" si="11"/>
        <v>8406</v>
      </c>
      <c r="S25" s="26">
        <f t="shared" si="3"/>
        <v>0</v>
      </c>
      <c r="T25" s="26">
        <f t="shared" si="4"/>
        <v>0</v>
      </c>
      <c r="U25" s="26">
        <f t="shared" si="5"/>
        <v>0</v>
      </c>
      <c r="V25" s="26">
        <f t="shared" si="12"/>
        <v>8406</v>
      </c>
      <c r="W25" s="26">
        <f t="shared" si="7"/>
        <v>0</v>
      </c>
      <c r="X25" s="58">
        <f t="shared" si="13"/>
        <v>4.6614798507173E-3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2">
        <f t="shared" si="8"/>
        <v>0</v>
      </c>
    </row>
    <row r="26" spans="1:37">
      <c r="A26" s="426"/>
      <c r="B26" s="2" t="s">
        <v>34</v>
      </c>
      <c r="C26" s="7" t="s">
        <v>82</v>
      </c>
      <c r="D26" s="6"/>
      <c r="E26" s="71">
        <f>[1]in!$D$1379</f>
        <v>0</v>
      </c>
      <c r="F26" s="71">
        <f>[1]in!$E$1379</f>
        <v>0</v>
      </c>
      <c r="G26" s="71">
        <f>[1]in!$F$1379</f>
        <v>0</v>
      </c>
      <c r="H26" s="71">
        <f>[1]in!$H$1379</f>
        <v>0</v>
      </c>
      <c r="I26" s="71">
        <f>[1]in!$I$1379</f>
        <v>0</v>
      </c>
      <c r="J26" s="71">
        <f>[1]in!$J$1379</f>
        <v>0</v>
      </c>
      <c r="K26" s="71">
        <f>[1]in!$L$1379</f>
        <v>0</v>
      </c>
      <c r="L26" s="71">
        <f>[1]in!$M$1379</f>
        <v>0</v>
      </c>
      <c r="M26" s="71">
        <f>[1]in!$N$1379</f>
        <v>0</v>
      </c>
      <c r="N26" s="71">
        <f>[1]in!$P$1379</f>
        <v>0</v>
      </c>
      <c r="O26" s="71">
        <f>[1]in!$Q$1379</f>
        <v>0</v>
      </c>
      <c r="P26" s="71">
        <f>[1]in!$R$1379</f>
        <v>0</v>
      </c>
      <c r="Q26" s="27">
        <f t="shared" si="10"/>
        <v>0</v>
      </c>
      <c r="R26" s="26">
        <f t="shared" si="11"/>
        <v>0</v>
      </c>
      <c r="S26" s="26">
        <f t="shared" si="3"/>
        <v>0</v>
      </c>
      <c r="T26" s="26">
        <f t="shared" si="4"/>
        <v>0</v>
      </c>
      <c r="U26" s="26">
        <f t="shared" si="5"/>
        <v>0</v>
      </c>
      <c r="V26" s="26">
        <f t="shared" si="12"/>
        <v>0</v>
      </c>
      <c r="W26" s="26">
        <f t="shared" si="7"/>
        <v>0</v>
      </c>
      <c r="X26" s="58">
        <f t="shared" si="13"/>
        <v>0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2">
        <f t="shared" si="8"/>
        <v>0</v>
      </c>
    </row>
    <row r="27" spans="1:37">
      <c r="A27" s="426"/>
      <c r="B27" s="2" t="s">
        <v>35</v>
      </c>
      <c r="C27" s="7" t="s">
        <v>82</v>
      </c>
      <c r="D27" s="6"/>
      <c r="E27" s="71">
        <f>[1]in!$D$1383</f>
        <v>0</v>
      </c>
      <c r="F27" s="71">
        <f>[1]in!$E$1383</f>
        <v>0</v>
      </c>
      <c r="G27" s="71">
        <f>[1]in!$F$1383</f>
        <v>0</v>
      </c>
      <c r="H27" s="71">
        <f>[1]in!$H$1383</f>
        <v>0</v>
      </c>
      <c r="I27" s="71">
        <f>[1]in!$I$1383</f>
        <v>0</v>
      </c>
      <c r="J27" s="71">
        <f>[1]in!$J$1383</f>
        <v>0</v>
      </c>
      <c r="K27" s="71">
        <f>[1]in!$L$1383</f>
        <v>0</v>
      </c>
      <c r="L27" s="71">
        <f>[1]in!$M$1383</f>
        <v>0</v>
      </c>
      <c r="M27" s="71">
        <f>[1]in!$N$1383</f>
        <v>0</v>
      </c>
      <c r="N27" s="71">
        <f>[1]in!$P$1383</f>
        <v>0</v>
      </c>
      <c r="O27" s="71">
        <f>[1]in!$Q$1383</f>
        <v>0</v>
      </c>
      <c r="P27" s="71">
        <f>[1]in!$R$1383</f>
        <v>0</v>
      </c>
      <c r="Q27" s="27">
        <f t="shared" si="10"/>
        <v>0</v>
      </c>
      <c r="R27" s="26">
        <f t="shared" ref="R27:R28" si="14">SUM(E27:G27)</f>
        <v>0</v>
      </c>
      <c r="S27" s="26">
        <f t="shared" ref="S27:S28" si="15">SUM(H27:J27)</f>
        <v>0</v>
      </c>
      <c r="T27" s="26">
        <f t="shared" ref="T27:T28" si="16">SUM(K27:M27)</f>
        <v>0</v>
      </c>
      <c r="U27" s="26">
        <f t="shared" ref="U27:U28" si="17">SUM(N27:P27)</f>
        <v>0</v>
      </c>
      <c r="V27" s="26">
        <f t="shared" ref="V27:V28" si="18">SUM(E27:J27)</f>
        <v>0</v>
      </c>
      <c r="W27" s="26">
        <f t="shared" ref="W27:W28" si="19">SUM(K27:P27)</f>
        <v>0</v>
      </c>
      <c r="X27" s="58">
        <f t="shared" si="13"/>
        <v>0</v>
      </c>
      <c r="AK27" s="76"/>
    </row>
    <row r="28" spans="1:37">
      <c r="A28" s="426"/>
      <c r="B28" s="2" t="s">
        <v>36</v>
      </c>
      <c r="C28" s="7" t="s">
        <v>82</v>
      </c>
      <c r="D28" s="6"/>
      <c r="E28" s="71">
        <f>[1]in!$D$1384</f>
        <v>0</v>
      </c>
      <c r="F28" s="71">
        <f>[1]in!$E$1384</f>
        <v>0</v>
      </c>
      <c r="G28" s="71">
        <f>[1]in!$F$1384</f>
        <v>0</v>
      </c>
      <c r="H28" s="71">
        <f>[1]in!$H$1384</f>
        <v>0</v>
      </c>
      <c r="I28" s="71">
        <f>[1]in!$I$1384</f>
        <v>0</v>
      </c>
      <c r="J28" s="71">
        <f>[1]in!$J$1384</f>
        <v>0</v>
      </c>
      <c r="K28" s="71">
        <f>[1]in!$L$1384</f>
        <v>0</v>
      </c>
      <c r="L28" s="71">
        <f>[1]in!$M$1384</f>
        <v>0</v>
      </c>
      <c r="M28" s="71">
        <f>[1]in!$N$1384</f>
        <v>0</v>
      </c>
      <c r="N28" s="71">
        <f>[1]in!$P$1384</f>
        <v>0</v>
      </c>
      <c r="O28" s="71">
        <f>[1]in!$Q$1384</f>
        <v>0</v>
      </c>
      <c r="P28" s="71">
        <f>[1]in!$R$1384</f>
        <v>0</v>
      </c>
      <c r="Q28" s="27">
        <f t="shared" si="10"/>
        <v>0</v>
      </c>
      <c r="R28" s="26">
        <f t="shared" si="14"/>
        <v>0</v>
      </c>
      <c r="S28" s="26">
        <f t="shared" si="15"/>
        <v>0</v>
      </c>
      <c r="T28" s="26">
        <f t="shared" si="16"/>
        <v>0</v>
      </c>
      <c r="U28" s="26">
        <f t="shared" si="17"/>
        <v>0</v>
      </c>
      <c r="V28" s="26">
        <f t="shared" si="18"/>
        <v>0</v>
      </c>
      <c r="W28" s="26">
        <f t="shared" si="19"/>
        <v>0</v>
      </c>
      <c r="X28" s="58">
        <f t="shared" si="13"/>
        <v>0</v>
      </c>
      <c r="AK28" s="76"/>
    </row>
    <row r="29" spans="1:37">
      <c r="A29" s="426"/>
      <c r="B29" s="2" t="s">
        <v>37</v>
      </c>
      <c r="C29" s="7" t="s">
        <v>82</v>
      </c>
      <c r="D29" s="6"/>
      <c r="E29" s="71">
        <f>[1]in!$D$1390</f>
        <v>151200</v>
      </c>
      <c r="F29" s="71">
        <f>[1]in!$E$1390</f>
        <v>297080</v>
      </c>
      <c r="G29" s="71">
        <f>[1]in!$F$1390</f>
        <v>327680</v>
      </c>
      <c r="H29" s="71">
        <f>[1]in!$H$1390</f>
        <v>267631</v>
      </c>
      <c r="I29" s="71">
        <f>[1]in!$I$1390</f>
        <v>0</v>
      </c>
      <c r="J29" s="71">
        <f>[1]in!$J$1390</f>
        <v>0</v>
      </c>
      <c r="K29" s="71">
        <f>[1]in!$L$1390</f>
        <v>0</v>
      </c>
      <c r="L29" s="71">
        <f>[1]in!$M$1390</f>
        <v>0</v>
      </c>
      <c r="M29" s="71">
        <f>[1]in!$N$1390</f>
        <v>0</v>
      </c>
      <c r="N29" s="71">
        <f>[1]in!$P$1390</f>
        <v>0</v>
      </c>
      <c r="O29" s="71">
        <f>[1]in!$Q$1390</f>
        <v>0</v>
      </c>
      <c r="P29" s="71">
        <f>[1]in!$R$1390</f>
        <v>0</v>
      </c>
      <c r="Q29" s="27">
        <f t="shared" si="10"/>
        <v>1043591</v>
      </c>
      <c r="R29" s="26">
        <f t="shared" ref="R29:R33" si="20">SUM(E29:G29)</f>
        <v>775960</v>
      </c>
      <c r="S29" s="26">
        <f t="shared" ref="S29:S33" si="21">SUM(H29:J29)</f>
        <v>267631</v>
      </c>
      <c r="T29" s="26">
        <f t="shared" ref="T29:T33" si="22">SUM(K29:M29)</f>
        <v>0</v>
      </c>
      <c r="U29" s="26">
        <f t="shared" ref="U29:U33" si="23">SUM(N29:P29)</f>
        <v>0</v>
      </c>
      <c r="V29" s="26">
        <f t="shared" ref="V29:V33" si="24">SUM(E29:J29)</f>
        <v>1043591</v>
      </c>
      <c r="W29" s="26">
        <f t="shared" ref="W29:W33" si="25">SUM(K29:P29)</f>
        <v>0</v>
      </c>
      <c r="X29" s="58">
        <f t="shared" si="13"/>
        <v>0.57871501533308567</v>
      </c>
      <c r="AK29" s="76"/>
    </row>
    <row r="30" spans="1:37">
      <c r="A30" s="426"/>
      <c r="B30" s="23" t="s">
        <v>38</v>
      </c>
      <c r="C30" s="6" t="s">
        <v>82</v>
      </c>
      <c r="D30" s="6"/>
      <c r="E30" s="24">
        <f>[1]in!$D$1365</f>
        <v>18929</v>
      </c>
      <c r="F30" s="24">
        <f>[1]in!$E$1365</f>
        <v>3860</v>
      </c>
      <c r="G30" s="24">
        <f>[1]in!$F$1365</f>
        <v>890</v>
      </c>
      <c r="H30" s="24">
        <f>[1]in!$H$1365</f>
        <v>0</v>
      </c>
      <c r="I30" s="24">
        <f>[1]in!$I$1365</f>
        <v>0</v>
      </c>
      <c r="J30" s="24">
        <f>[1]in!$J$1365</f>
        <v>0</v>
      </c>
      <c r="K30" s="24">
        <f>[1]in!$L$1365</f>
        <v>0</v>
      </c>
      <c r="L30" s="24">
        <f>[1]in!$M$1365</f>
        <v>0</v>
      </c>
      <c r="M30" s="24">
        <f>[1]in!$N$1365</f>
        <v>0</v>
      </c>
      <c r="N30" s="24">
        <f>[1]in!$P$1365</f>
        <v>0</v>
      </c>
      <c r="O30" s="24">
        <f>[1]in!$Q$1365</f>
        <v>0</v>
      </c>
      <c r="P30" s="24">
        <f>[1]in!$R$1365</f>
        <v>0</v>
      </c>
      <c r="Q30" s="25">
        <f t="shared" si="10"/>
        <v>23679</v>
      </c>
      <c r="R30" s="25">
        <f t="shared" si="20"/>
        <v>23679</v>
      </c>
      <c r="S30" s="25">
        <f t="shared" si="21"/>
        <v>0</v>
      </c>
      <c r="T30" s="25">
        <f t="shared" si="22"/>
        <v>0</v>
      </c>
      <c r="U30" s="25">
        <f t="shared" si="23"/>
        <v>0</v>
      </c>
      <c r="V30" s="25">
        <f t="shared" si="24"/>
        <v>23679</v>
      </c>
      <c r="W30" s="25">
        <f t="shared" si="25"/>
        <v>0</v>
      </c>
      <c r="AK30" s="76"/>
    </row>
    <row r="31" spans="1:37">
      <c r="A31" s="426"/>
      <c r="B31" s="23" t="s">
        <v>39</v>
      </c>
      <c r="C31" s="6" t="s">
        <v>82</v>
      </c>
      <c r="D31" s="6"/>
      <c r="E31" s="24">
        <f>[1]in!$D$1373</f>
        <v>68199</v>
      </c>
      <c r="F31" s="24">
        <f>[1]in!$E$1373</f>
        <v>54827</v>
      </c>
      <c r="G31" s="24">
        <f>[1]in!$F$1373</f>
        <v>131901</v>
      </c>
      <c r="H31" s="24">
        <f>[1]in!$H$1373</f>
        <v>87554</v>
      </c>
      <c r="I31" s="24">
        <f>[1]in!$I$1373</f>
        <v>0</v>
      </c>
      <c r="J31" s="24">
        <f>[1]in!$J$1373</f>
        <v>0</v>
      </c>
      <c r="K31" s="24">
        <f>[1]in!$L$1373</f>
        <v>0</v>
      </c>
      <c r="L31" s="24">
        <f>[1]in!$M$1373</f>
        <v>0</v>
      </c>
      <c r="M31" s="24">
        <f>[1]in!$N$1373</f>
        <v>0</v>
      </c>
      <c r="N31" s="24">
        <f>[1]in!$P$1373</f>
        <v>0</v>
      </c>
      <c r="O31" s="24">
        <f>[1]in!$Q$1373</f>
        <v>0</v>
      </c>
      <c r="P31" s="24">
        <f>[1]in!$R$1373</f>
        <v>0</v>
      </c>
      <c r="Q31" s="25">
        <f t="shared" si="10"/>
        <v>342481</v>
      </c>
      <c r="R31" s="25">
        <f t="shared" si="20"/>
        <v>254927</v>
      </c>
      <c r="S31" s="25">
        <f>SUM(H31:J31)</f>
        <v>87554</v>
      </c>
      <c r="T31" s="25">
        <f>SUM(K31:M31)</f>
        <v>0</v>
      </c>
      <c r="U31" s="25">
        <f>SUM(N31:P31)</f>
        <v>0</v>
      </c>
      <c r="V31" s="25">
        <f>SUM(E31:J31)</f>
        <v>342481</v>
      </c>
      <c r="W31" s="25">
        <f>SUM(K31:P31)</f>
        <v>0</v>
      </c>
      <c r="AK31" s="76"/>
    </row>
    <row r="32" spans="1:37">
      <c r="A32" s="426"/>
      <c r="B32" s="2" t="s">
        <v>40</v>
      </c>
      <c r="C32" s="7" t="s">
        <v>82</v>
      </c>
      <c r="D32" s="6"/>
      <c r="E32" s="71">
        <f>SUM(E30:E31)</f>
        <v>87128</v>
      </c>
      <c r="F32" s="71">
        <f>SUM(F30:F31)</f>
        <v>58687</v>
      </c>
      <c r="G32" s="71">
        <f t="shared" ref="G32:P32" si="26">SUM(G30:G31)</f>
        <v>132791</v>
      </c>
      <c r="H32" s="71">
        <f t="shared" si="26"/>
        <v>87554</v>
      </c>
      <c r="I32" s="71">
        <f t="shared" si="26"/>
        <v>0</v>
      </c>
      <c r="J32" s="71">
        <f t="shared" si="26"/>
        <v>0</v>
      </c>
      <c r="K32" s="71">
        <f t="shared" si="26"/>
        <v>0</v>
      </c>
      <c r="L32" s="71">
        <f t="shared" si="26"/>
        <v>0</v>
      </c>
      <c r="M32" s="71">
        <f>SUM(M30:M31)</f>
        <v>0</v>
      </c>
      <c r="N32" s="71">
        <f t="shared" si="26"/>
        <v>0</v>
      </c>
      <c r="O32" s="71">
        <f t="shared" si="26"/>
        <v>0</v>
      </c>
      <c r="P32" s="71">
        <f t="shared" si="26"/>
        <v>0</v>
      </c>
      <c r="Q32" s="27">
        <f>SUM(E32:P32)</f>
        <v>366160</v>
      </c>
      <c r="R32" s="26">
        <f>SUM(E32:G32)</f>
        <v>278606</v>
      </c>
      <c r="S32" s="26">
        <f>SUM(H32:J32)</f>
        <v>87554</v>
      </c>
      <c r="T32" s="26">
        <f>SUM(K32:M32)</f>
        <v>0</v>
      </c>
      <c r="U32" s="26">
        <f>SUM(N32:P32)</f>
        <v>0</v>
      </c>
      <c r="V32" s="26">
        <f>SUM(E32:J32)</f>
        <v>366160</v>
      </c>
      <c r="W32" s="26">
        <f>SUM(K32:P32)</f>
        <v>0</v>
      </c>
      <c r="AK32" s="76"/>
    </row>
    <row r="33" spans="1:37">
      <c r="A33" s="426"/>
      <c r="B33" s="2" t="s">
        <v>42</v>
      </c>
      <c r="C33" s="7" t="s">
        <v>82</v>
      </c>
      <c r="D33" s="6"/>
      <c r="E33" s="71">
        <f>[1]in!$D$1375</f>
        <v>0</v>
      </c>
      <c r="F33" s="71">
        <f>[1]in!$E$1375</f>
        <v>0</v>
      </c>
      <c r="G33" s="71">
        <f>[1]in!$F$1375</f>
        <v>0</v>
      </c>
      <c r="H33" s="71">
        <f>[1]in!$H$1375</f>
        <v>0</v>
      </c>
      <c r="I33" s="71">
        <f>[1]in!$I$1375</f>
        <v>0</v>
      </c>
      <c r="J33" s="71">
        <f>[1]in!$J$1375</f>
        <v>0</v>
      </c>
      <c r="K33" s="71">
        <f>[1]in!$L$1375</f>
        <v>0</v>
      </c>
      <c r="L33" s="71">
        <f>[1]in!$M$1375</f>
        <v>0</v>
      </c>
      <c r="M33" s="71">
        <f>[1]in!$N$1375</f>
        <v>0</v>
      </c>
      <c r="N33" s="71">
        <f>[1]in!$P$1375</f>
        <v>0</v>
      </c>
      <c r="O33" s="71">
        <f>[1]in!$Q$1375</f>
        <v>0</v>
      </c>
      <c r="P33" s="71">
        <f>[1]in!$R$1375</f>
        <v>0</v>
      </c>
      <c r="Q33" s="27">
        <f t="shared" si="10"/>
        <v>0</v>
      </c>
      <c r="R33" s="26">
        <f t="shared" si="20"/>
        <v>0</v>
      </c>
      <c r="S33" s="26">
        <f t="shared" si="21"/>
        <v>0</v>
      </c>
      <c r="T33" s="26">
        <f t="shared" si="22"/>
        <v>0</v>
      </c>
      <c r="U33" s="26">
        <f t="shared" si="23"/>
        <v>0</v>
      </c>
      <c r="V33" s="26">
        <f t="shared" si="24"/>
        <v>0</v>
      </c>
      <c r="W33" s="26">
        <f t="shared" si="25"/>
        <v>0</v>
      </c>
      <c r="AK33" s="76"/>
    </row>
    <row r="34" spans="1:37">
      <c r="A34" s="72"/>
      <c r="B34" s="2" t="s">
        <v>43</v>
      </c>
      <c r="C34" s="7" t="s">
        <v>82</v>
      </c>
      <c r="D34" s="6"/>
      <c r="E34" s="71">
        <f>SUM(E8:E9,E25:E28,E33)</f>
        <v>43790</v>
      </c>
      <c r="F34" s="71">
        <f>SUM(F8:F9,F25:F28,F33)</f>
        <v>49211</v>
      </c>
      <c r="G34" s="71">
        <f>SUM(G8:G9,G25:G28,G33)</f>
        <v>31345</v>
      </c>
      <c r="H34" s="71">
        <f t="shared" ref="H34:P34" si="27">SUM(H8:H9,H25:H28,H33)</f>
        <v>3930</v>
      </c>
      <c r="I34" s="71">
        <f t="shared" si="27"/>
        <v>0</v>
      </c>
      <c r="J34" s="71">
        <f t="shared" si="27"/>
        <v>0</v>
      </c>
      <c r="K34" s="71">
        <f t="shared" si="27"/>
        <v>0</v>
      </c>
      <c r="L34" s="71">
        <f t="shared" si="27"/>
        <v>0</v>
      </c>
      <c r="M34" s="71">
        <f t="shared" si="27"/>
        <v>0</v>
      </c>
      <c r="N34" s="71">
        <f t="shared" si="27"/>
        <v>0</v>
      </c>
      <c r="O34" s="71">
        <f t="shared" si="27"/>
        <v>0</v>
      </c>
      <c r="P34" s="71">
        <f t="shared" si="27"/>
        <v>0</v>
      </c>
      <c r="Q34" s="27">
        <f>SUM(E34:P34)</f>
        <v>128276</v>
      </c>
      <c r="R34" s="26">
        <f>SUM(E34:G34)</f>
        <v>124346</v>
      </c>
      <c r="S34" s="26">
        <f t="shared" ref="S34" si="28">SUM(H34:J34)</f>
        <v>3930</v>
      </c>
      <c r="T34" s="26">
        <f t="shared" ref="T34" si="29">SUM(K34:M34)</f>
        <v>0</v>
      </c>
      <c r="U34" s="26">
        <f>SUM(N34:P34)</f>
        <v>0</v>
      </c>
      <c r="V34" s="26">
        <f t="shared" ref="V34" si="30">SUM(E34:J34)</f>
        <v>128276</v>
      </c>
      <c r="W34" s="26">
        <f>SUM(K34:P34)</f>
        <v>0</v>
      </c>
      <c r="AK34" s="76"/>
    </row>
    <row r="35" spans="1:37">
      <c r="H35" s="50"/>
    </row>
    <row r="36" spans="1:37" ht="16">
      <c r="A36" s="436" t="s">
        <v>44</v>
      </c>
      <c r="B36" s="436"/>
      <c r="C36" s="17" t="s">
        <v>82</v>
      </c>
      <c r="D36" s="323"/>
      <c r="E36" s="324">
        <f>SUM(E5:E29,E32:E33)</f>
        <v>392492</v>
      </c>
      <c r="F36" s="324">
        <f>SUM(F5:F29,F32:F33)</f>
        <v>592678</v>
      </c>
      <c r="G36" s="324">
        <f t="shared" ref="G36:P36" si="31">SUM(G5:G29,G32:G33)</f>
        <v>631440</v>
      </c>
      <c r="H36" s="324">
        <f t="shared" si="31"/>
        <v>432045</v>
      </c>
      <c r="I36" s="324">
        <f t="shared" si="31"/>
        <v>0</v>
      </c>
      <c r="J36" s="324">
        <f t="shared" si="31"/>
        <v>0</v>
      </c>
      <c r="K36" s="324">
        <f t="shared" si="31"/>
        <v>0</v>
      </c>
      <c r="L36" s="324">
        <f t="shared" si="31"/>
        <v>0</v>
      </c>
      <c r="M36" s="324">
        <f t="shared" si="31"/>
        <v>0</v>
      </c>
      <c r="N36" s="324">
        <f t="shared" si="31"/>
        <v>0</v>
      </c>
      <c r="O36" s="324">
        <f t="shared" si="31"/>
        <v>0</v>
      </c>
      <c r="P36" s="324">
        <f t="shared" si="31"/>
        <v>0</v>
      </c>
      <c r="Q36" s="325">
        <f>SUM(Q5:Q29,Q32:Q33)</f>
        <v>2048655</v>
      </c>
      <c r="R36" s="324">
        <f>SUM(R5:R29,R32:R33)</f>
        <v>1616610</v>
      </c>
      <c r="S36" s="324">
        <f t="shared" ref="S36:U36" si="32">SUM(S5:S29,S32:S33)</f>
        <v>429705</v>
      </c>
      <c r="T36" s="324">
        <f t="shared" si="32"/>
        <v>0</v>
      </c>
      <c r="U36" s="324">
        <f t="shared" si="32"/>
        <v>0</v>
      </c>
      <c r="V36" s="324">
        <f>SUM(V5:V29,V32:V33)</f>
        <v>2048655</v>
      </c>
      <c r="W36" s="324">
        <f>SUM(W5:W29,W32:W33)</f>
        <v>0</v>
      </c>
      <c r="Y36" s="30">
        <f>SUM(Y5:Y26)</f>
        <v>0</v>
      </c>
      <c r="Z36" s="30">
        <f t="shared" ref="Z36:AK36" si="33">SUM(Z5:Z26)</f>
        <v>0</v>
      </c>
      <c r="AA36" s="30">
        <f t="shared" si="33"/>
        <v>0</v>
      </c>
      <c r="AB36" s="30">
        <f t="shared" si="33"/>
        <v>0</v>
      </c>
      <c r="AC36" s="30">
        <f t="shared" si="33"/>
        <v>0</v>
      </c>
      <c r="AD36" s="30">
        <f t="shared" si="33"/>
        <v>0</v>
      </c>
      <c r="AE36" s="30">
        <f t="shared" si="33"/>
        <v>0</v>
      </c>
      <c r="AF36" s="30">
        <f t="shared" si="33"/>
        <v>0</v>
      </c>
      <c r="AG36" s="30">
        <f t="shared" si="33"/>
        <v>0</v>
      </c>
      <c r="AH36" s="30">
        <f t="shared" si="33"/>
        <v>0</v>
      </c>
      <c r="AI36" s="30">
        <f t="shared" si="33"/>
        <v>0</v>
      </c>
      <c r="AJ36" s="30">
        <f t="shared" si="33"/>
        <v>0</v>
      </c>
      <c r="AK36" s="30">
        <f t="shared" si="33"/>
        <v>0</v>
      </c>
    </row>
    <row r="37" spans="1:37" ht="21.65" customHeight="1">
      <c r="A37" s="437" t="s">
        <v>45</v>
      </c>
      <c r="B37" s="437"/>
      <c r="C37" s="320" t="s">
        <v>82</v>
      </c>
      <c r="D37" s="320"/>
      <c r="E37" s="321">
        <f>SUM(E5:E15,E21:E29,E32:E33)</f>
        <v>321532</v>
      </c>
      <c r="F37" s="321">
        <f>SUM(F5:F15,F21:F29,F32:F33)</f>
        <v>529718</v>
      </c>
      <c r="G37" s="321">
        <f t="shared" ref="G37:P37" si="34">SUM(G5:G15,G21:G29,G32:G33)</f>
        <v>558155</v>
      </c>
      <c r="H37" s="321">
        <f t="shared" si="34"/>
        <v>393885</v>
      </c>
      <c r="I37" s="321">
        <f t="shared" si="34"/>
        <v>0</v>
      </c>
      <c r="J37" s="321">
        <f t="shared" si="34"/>
        <v>0</v>
      </c>
      <c r="K37" s="321">
        <f t="shared" si="34"/>
        <v>0</v>
      </c>
      <c r="L37" s="321">
        <f t="shared" si="34"/>
        <v>0</v>
      </c>
      <c r="M37" s="321">
        <f t="shared" si="34"/>
        <v>0</v>
      </c>
      <c r="N37" s="321">
        <f>SUM(N5:N15,N21:N29,N32:N33)</f>
        <v>0</v>
      </c>
      <c r="O37" s="321">
        <f t="shared" si="34"/>
        <v>0</v>
      </c>
      <c r="P37" s="321">
        <f t="shared" si="34"/>
        <v>0</v>
      </c>
      <c r="Q37" s="321">
        <f>SUM(Q5:Q15,Q21:Q29,Q32:Q33)</f>
        <v>1803290</v>
      </c>
      <c r="R37" s="322">
        <f>SUM(R5:R15,R21:R29,R32:R33)</f>
        <v>1409405</v>
      </c>
      <c r="S37" s="322">
        <f t="shared" ref="S37:U37" si="35">SUM(S5:S15,S21:S29,S32:S33)</f>
        <v>391545</v>
      </c>
      <c r="T37" s="322">
        <f t="shared" si="35"/>
        <v>0</v>
      </c>
      <c r="U37" s="322">
        <f t="shared" si="35"/>
        <v>0</v>
      </c>
      <c r="V37" s="322">
        <f>SUM(V5:V15,V21:V29,V32:V33)</f>
        <v>1803290</v>
      </c>
      <c r="W37" s="322">
        <f>SUM(W5:W15,W21:W29,W32:W33)</f>
        <v>0</v>
      </c>
      <c r="Y37" s="26">
        <f t="shared" ref="Y37:AK37" si="36">SUM(Y5:Y15,Y21:Y26)</f>
        <v>0</v>
      </c>
      <c r="Z37" s="26">
        <f t="shared" si="36"/>
        <v>0</v>
      </c>
      <c r="AA37" s="26">
        <f t="shared" si="36"/>
        <v>0</v>
      </c>
      <c r="AB37" s="26">
        <f t="shared" si="36"/>
        <v>0</v>
      </c>
      <c r="AC37" s="26">
        <f t="shared" si="36"/>
        <v>0</v>
      </c>
      <c r="AD37" s="26">
        <f t="shared" si="36"/>
        <v>0</v>
      </c>
      <c r="AE37" s="26">
        <f t="shared" si="36"/>
        <v>0</v>
      </c>
      <c r="AF37" s="26">
        <f t="shared" si="36"/>
        <v>0</v>
      </c>
      <c r="AG37" s="26">
        <f t="shared" si="36"/>
        <v>0</v>
      </c>
      <c r="AH37" s="26">
        <f t="shared" si="36"/>
        <v>0</v>
      </c>
      <c r="AI37" s="26">
        <f t="shared" si="36"/>
        <v>0</v>
      </c>
      <c r="AJ37" s="26">
        <f t="shared" si="36"/>
        <v>0</v>
      </c>
      <c r="AK37" s="26">
        <f t="shared" si="36"/>
        <v>0</v>
      </c>
    </row>
    <row r="38" spans="1:37" ht="15.5">
      <c r="A38" s="438"/>
      <c r="B38" s="438"/>
      <c r="C38" s="70"/>
      <c r="D38" s="70"/>
      <c r="E38" s="319"/>
      <c r="F38" s="319"/>
      <c r="G38" s="319"/>
      <c r="H38" s="319"/>
      <c r="I38" s="319"/>
      <c r="J38" s="319"/>
      <c r="K38" s="319"/>
      <c r="L38" s="319"/>
      <c r="M38" s="319"/>
      <c r="N38" s="319"/>
      <c r="O38" s="319"/>
      <c r="P38" s="319"/>
      <c r="Q38" s="319"/>
      <c r="R38" s="50"/>
      <c r="S38" s="50"/>
      <c r="T38" s="50"/>
      <c r="U38" s="50"/>
      <c r="V38" s="50"/>
      <c r="W38" s="50"/>
      <c r="Y38" s="26">
        <f>SUM(Y16:Y20)</f>
        <v>0</v>
      </c>
      <c r="Z38" s="26">
        <f t="shared" ref="Z38:AK38" si="37">SUM(Z16:Z20)</f>
        <v>0</v>
      </c>
      <c r="AA38" s="26">
        <f t="shared" si="37"/>
        <v>0</v>
      </c>
      <c r="AB38" s="26">
        <f t="shared" si="37"/>
        <v>0</v>
      </c>
      <c r="AC38" s="26">
        <f t="shared" si="37"/>
        <v>0</v>
      </c>
      <c r="AD38" s="26">
        <f t="shared" si="37"/>
        <v>0</v>
      </c>
      <c r="AE38" s="26">
        <f t="shared" si="37"/>
        <v>0</v>
      </c>
      <c r="AF38" s="26">
        <f t="shared" si="37"/>
        <v>0</v>
      </c>
      <c r="AG38" s="26">
        <f t="shared" si="37"/>
        <v>0</v>
      </c>
      <c r="AH38" s="26">
        <f t="shared" si="37"/>
        <v>0</v>
      </c>
      <c r="AI38" s="26">
        <f t="shared" si="37"/>
        <v>0</v>
      </c>
      <c r="AJ38" s="26">
        <f t="shared" si="37"/>
        <v>0</v>
      </c>
      <c r="AK38" s="26">
        <f t="shared" si="37"/>
        <v>0</v>
      </c>
    </row>
    <row r="40" spans="1:37">
      <c r="A40" s="408" t="s">
        <v>46</v>
      </c>
      <c r="B40" s="408"/>
      <c r="C40" s="7" t="s">
        <v>82</v>
      </c>
      <c r="D40" s="6"/>
      <c r="E40" s="26">
        <f>SUM(E5:E15)</f>
        <v>78410</v>
      </c>
      <c r="F40" s="26">
        <f>SUM(F5:F15)</f>
        <v>165360</v>
      </c>
      <c r="G40" s="26">
        <f t="shared" ref="G40:O40" si="38">SUM(G5:G15)</f>
        <v>88360</v>
      </c>
      <c r="H40" s="26">
        <f t="shared" si="38"/>
        <v>37560</v>
      </c>
      <c r="I40" s="26">
        <f t="shared" si="38"/>
        <v>0</v>
      </c>
      <c r="J40" s="26">
        <f t="shared" si="38"/>
        <v>0</v>
      </c>
      <c r="K40" s="26">
        <f t="shared" si="38"/>
        <v>0</v>
      </c>
      <c r="L40" s="26">
        <f t="shared" si="38"/>
        <v>0</v>
      </c>
      <c r="M40" s="26">
        <f t="shared" si="38"/>
        <v>0</v>
      </c>
      <c r="N40" s="26">
        <f t="shared" si="38"/>
        <v>0</v>
      </c>
      <c r="O40" s="26">
        <f t="shared" si="38"/>
        <v>0</v>
      </c>
      <c r="P40" s="26">
        <f>SUM(P5:P15)</f>
        <v>0</v>
      </c>
      <c r="Q40" s="26">
        <f>SUM(Q5:Q15)</f>
        <v>369690</v>
      </c>
    </row>
    <row r="41" spans="1:37">
      <c r="A41" s="408" t="s">
        <v>47</v>
      </c>
      <c r="B41" s="408"/>
      <c r="C41" s="7" t="s">
        <v>82</v>
      </c>
      <c r="D41" s="6"/>
      <c r="E41" s="26">
        <f>SUM(E21:E29,E32:E33)</f>
        <v>243122</v>
      </c>
      <c r="F41" s="26">
        <f>SUM(F21:F29,F32:F33)</f>
        <v>364358</v>
      </c>
      <c r="G41" s="26">
        <f>SUM(G21:G29,G32:G33)</f>
        <v>469795</v>
      </c>
      <c r="H41" s="26">
        <f>SUM(H21:H29,H32:H33)</f>
        <v>356325</v>
      </c>
      <c r="I41" s="26">
        <f t="shared" ref="I41:O41" si="39">SUM(I21:I29,I32:I33)</f>
        <v>0</v>
      </c>
      <c r="J41" s="26">
        <f t="shared" si="39"/>
        <v>0</v>
      </c>
      <c r="K41" s="26">
        <f t="shared" si="39"/>
        <v>0</v>
      </c>
      <c r="L41" s="26">
        <f t="shared" si="39"/>
        <v>0</v>
      </c>
      <c r="M41" s="26">
        <f t="shared" si="39"/>
        <v>0</v>
      </c>
      <c r="N41" s="26">
        <f t="shared" si="39"/>
        <v>0</v>
      </c>
      <c r="O41" s="26">
        <f t="shared" si="39"/>
        <v>0</v>
      </c>
      <c r="P41" s="26">
        <f>SUM(P21:P29,P32:P33)</f>
        <v>0</v>
      </c>
      <c r="Q41" s="26">
        <f>SUM(Q21:Q29,Q32:Q33)</f>
        <v>1433600</v>
      </c>
    </row>
    <row r="43" spans="1:37">
      <c r="AC43" s="154">
        <f>I36-AC36</f>
        <v>0</v>
      </c>
      <c r="AD43" s="154">
        <f>J36-AD36</f>
        <v>0</v>
      </c>
      <c r="AE43" s="154">
        <f>K36-AE36</f>
        <v>0</v>
      </c>
      <c r="AF43" s="146"/>
      <c r="AG43" s="154">
        <f>M36-AG36</f>
        <v>0</v>
      </c>
      <c r="AH43" s="146" t="s">
        <v>85</v>
      </c>
      <c r="AI43" s="146"/>
      <c r="AJ43" s="146"/>
      <c r="AK43" s="154">
        <f>Q36-AK36</f>
        <v>2048655</v>
      </c>
    </row>
    <row r="44" spans="1:37" ht="15.5">
      <c r="A44" s="435" t="s">
        <v>106</v>
      </c>
      <c r="B44" s="435"/>
      <c r="C44" s="435"/>
      <c r="D44" s="435"/>
      <c r="E44" s="435"/>
      <c r="F44" s="435"/>
      <c r="G44" s="435"/>
      <c r="H44" s="435"/>
      <c r="I44" s="435"/>
      <c r="J44" s="435"/>
      <c r="K44" s="435"/>
      <c r="L44" s="435"/>
      <c r="M44" s="435"/>
      <c r="N44" s="435"/>
      <c r="O44" s="435"/>
      <c r="P44" s="435"/>
      <c r="Q44" s="435"/>
      <c r="R44" s="435"/>
      <c r="S44" s="435"/>
      <c r="T44" s="435"/>
      <c r="U44" s="435"/>
      <c r="V44" s="435"/>
      <c r="W44" s="435"/>
      <c r="AC44" s="155" t="e">
        <f>AC43/Production!I32</f>
        <v>#DIV/0!</v>
      </c>
      <c r="AD44" s="155" t="e">
        <f>AD43/Production!J32</f>
        <v>#DIV/0!</v>
      </c>
      <c r="AE44" s="155" t="e">
        <f>AE43/Production!K32</f>
        <v>#DIV/0!</v>
      </c>
      <c r="AF44" s="146"/>
      <c r="AG44" s="155" t="e">
        <f>AG43/Production!M32</f>
        <v>#DIV/0!</v>
      </c>
      <c r="AH44" s="146" t="s">
        <v>87</v>
      </c>
      <c r="AI44" s="146"/>
      <c r="AJ44" s="146"/>
      <c r="AK44" s="155">
        <f>AK43/Production!Q32</f>
        <v>0.56705783598151116</v>
      </c>
    </row>
    <row r="45" spans="1:37">
      <c r="A45" s="1"/>
      <c r="B45" s="2" t="s">
        <v>2</v>
      </c>
      <c r="C45" s="2" t="s">
        <v>3</v>
      </c>
      <c r="D45" s="23" t="s">
        <v>4</v>
      </c>
      <c r="E45" s="3">
        <v>46023</v>
      </c>
      <c r="F45" s="3">
        <v>46054</v>
      </c>
      <c r="G45" s="3">
        <v>46082</v>
      </c>
      <c r="H45" s="3">
        <v>46113</v>
      </c>
      <c r="I45" s="3">
        <v>46143</v>
      </c>
      <c r="J45" s="3">
        <v>46174</v>
      </c>
      <c r="K45" s="3">
        <v>46204</v>
      </c>
      <c r="L45" s="3">
        <v>46235</v>
      </c>
      <c r="M45" s="3">
        <v>46266</v>
      </c>
      <c r="N45" s="3">
        <v>46296</v>
      </c>
      <c r="O45" s="3">
        <v>46327</v>
      </c>
      <c r="P45" s="3">
        <v>46357</v>
      </c>
      <c r="Q45" s="4" t="s">
        <v>55</v>
      </c>
      <c r="R45" s="5" t="s">
        <v>5</v>
      </c>
      <c r="S45" s="5" t="s">
        <v>6</v>
      </c>
      <c r="T45" s="5" t="s">
        <v>7</v>
      </c>
      <c r="U45" s="5" t="s">
        <v>8</v>
      </c>
      <c r="V45" s="5" t="s">
        <v>9</v>
      </c>
      <c r="W45" s="5" t="s">
        <v>10</v>
      </c>
    </row>
    <row r="46" spans="1:37">
      <c r="A46" s="425" t="s">
        <v>12</v>
      </c>
      <c r="B46" s="6" t="s">
        <v>13</v>
      </c>
      <c r="C46" s="6" t="s">
        <v>88</v>
      </c>
      <c r="D46" s="247">
        <v>0.17</v>
      </c>
      <c r="E46" s="11">
        <f>E3/Production!E3</f>
        <v>8.7920489296636085E-3</v>
      </c>
      <c r="F46" s="84">
        <f>F3/Production!F3</f>
        <v>7.1819569082585508E-2</v>
      </c>
      <c r="G46" s="84">
        <f>G3/Production!G3</f>
        <v>4.9717476484133299E-2</v>
      </c>
      <c r="H46" s="84">
        <f>H3/Production!H3</f>
        <v>7.5266569098891905E-3</v>
      </c>
      <c r="I46" s="84" t="e">
        <f>I3/Production!I3</f>
        <v>#DIV/0!</v>
      </c>
      <c r="J46" s="84" t="e">
        <f>J3/Production!J3</f>
        <v>#DIV/0!</v>
      </c>
      <c r="K46" s="84" t="e">
        <f>K3/Production!K3</f>
        <v>#DIV/0!</v>
      </c>
      <c r="L46" s="84" t="e">
        <f>L3/Production!L3</f>
        <v>#DIV/0!</v>
      </c>
      <c r="M46" s="84" t="e">
        <f>M3/Production!M3</f>
        <v>#DIV/0!</v>
      </c>
      <c r="N46" s="84" t="e">
        <f>N3/Production!N3</f>
        <v>#DIV/0!</v>
      </c>
      <c r="O46" s="84" t="e">
        <f>O3/Production!O3</f>
        <v>#DIV/0!</v>
      </c>
      <c r="P46" s="84" t="e">
        <f>P3/Production!P3</f>
        <v>#DIV/0!</v>
      </c>
      <c r="Q46" s="11">
        <f>Q3/Production!Q3</f>
        <v>3.3583270364701399E-2</v>
      </c>
      <c r="R46" s="24"/>
      <c r="S46" s="24"/>
      <c r="T46" s="24"/>
      <c r="U46" s="24"/>
      <c r="V46" s="24"/>
      <c r="W46" s="24"/>
      <c r="AH46" t="s">
        <v>107</v>
      </c>
    </row>
    <row r="47" spans="1:37">
      <c r="A47" s="426"/>
      <c r="B47" s="6" t="s">
        <v>15</v>
      </c>
      <c r="C47" s="6" t="s">
        <v>88</v>
      </c>
      <c r="D47" s="54">
        <v>0.11</v>
      </c>
      <c r="E47" s="11">
        <f>E4/Production!E4</f>
        <v>1.3318227615294703E-2</v>
      </c>
      <c r="F47" s="84">
        <f>F4/Production!F4</f>
        <v>2.5883400101261916E-2</v>
      </c>
      <c r="G47" s="84">
        <f>G4/Production!G4</f>
        <v>4.4196369462416812E-2</v>
      </c>
      <c r="H47" s="84">
        <f>H4/Production!H4</f>
        <v>0.1222948581208433</v>
      </c>
      <c r="I47" s="84" t="e">
        <f>I4/Production!I4</f>
        <v>#DIV/0!</v>
      </c>
      <c r="J47" s="84" t="e">
        <f>J4/Production!J4</f>
        <v>#DIV/0!</v>
      </c>
      <c r="K47" s="84" t="e">
        <f>K4/Production!K4</f>
        <v>#DIV/0!</v>
      </c>
      <c r="L47" s="84" t="e">
        <f>L4/Production!L4</f>
        <v>#DIV/0!</v>
      </c>
      <c r="M47" s="84" t="e">
        <f>M4/Production!M4</f>
        <v>#DIV/0!</v>
      </c>
      <c r="N47" s="84" t="e">
        <f>N4/Production!N4</f>
        <v>#DIV/0!</v>
      </c>
      <c r="O47" s="84" t="e">
        <f>O4/Production!O4</f>
        <v>#DIV/0!</v>
      </c>
      <c r="P47" s="84" t="e">
        <f>P4/Production!P4</f>
        <v>#DIV/0!</v>
      </c>
      <c r="Q47" s="11">
        <f>Q4/Production!Q4</f>
        <v>2.4735590455231091E-2</v>
      </c>
      <c r="R47" s="24"/>
      <c r="S47" s="24"/>
      <c r="T47" s="24"/>
      <c r="U47" s="24"/>
      <c r="V47" s="24"/>
      <c r="W47" s="24"/>
    </row>
    <row r="48" spans="1:37" ht="18.5">
      <c r="A48" s="426"/>
      <c r="B48" s="2" t="s">
        <v>16</v>
      </c>
      <c r="C48" s="7" t="s">
        <v>88</v>
      </c>
      <c r="D48" s="6">
        <v>0.15</v>
      </c>
      <c r="E48" s="11">
        <f>E5/Production!E5</f>
        <v>1.0617800390116739E-2</v>
      </c>
      <c r="F48" s="11">
        <f>F5/Production!F5</f>
        <v>5.3260450416537056E-2</v>
      </c>
      <c r="G48" s="11">
        <f>G5/Production!G5</f>
        <v>4.8702759682570845E-2</v>
      </c>
      <c r="H48" s="11">
        <f>H5/Production!H5</f>
        <v>1.0396166555867312E-2</v>
      </c>
      <c r="I48" s="11" t="e">
        <f>I5/Production!I5</f>
        <v>#DIV/0!</v>
      </c>
      <c r="J48" s="11" t="e">
        <f>J5/Production!J5</f>
        <v>#DIV/0!</v>
      </c>
      <c r="K48" s="11" t="e">
        <f>K5/Production!K5</f>
        <v>#DIV/0!</v>
      </c>
      <c r="L48" s="11" t="e">
        <f>L5/Production!L5</f>
        <v>#DIV/0!</v>
      </c>
      <c r="M48" s="11" t="e">
        <f>M5/Production!M5</f>
        <v>#DIV/0!</v>
      </c>
      <c r="N48" s="11" t="e">
        <f>N5/Production!N5</f>
        <v>#DIV/0!</v>
      </c>
      <c r="O48" s="11" t="e">
        <f>O5/Production!O5</f>
        <v>#DIV/0!</v>
      </c>
      <c r="P48" s="11" t="e">
        <f>P5/Production!P5</f>
        <v>#DIV/0!</v>
      </c>
      <c r="Q48" s="11">
        <f>Q5/Production!Q5</f>
        <v>3.1089346531301507E-2</v>
      </c>
      <c r="R48" s="26"/>
      <c r="S48" s="26"/>
      <c r="T48" s="26"/>
      <c r="U48" s="26"/>
      <c r="V48" s="26"/>
      <c r="W48" s="26"/>
      <c r="AH48" s="150" t="s">
        <v>89</v>
      </c>
      <c r="AI48" s="150"/>
      <c r="AJ48" s="150"/>
      <c r="AK48" s="151">
        <f>Q37-AK37</f>
        <v>1803290</v>
      </c>
    </row>
    <row r="49" spans="1:37" ht="18.5">
      <c r="A49" s="426"/>
      <c r="B49" s="2" t="s">
        <v>17</v>
      </c>
      <c r="C49" s="7" t="s">
        <v>88</v>
      </c>
      <c r="D49" s="6">
        <v>0.51</v>
      </c>
      <c r="E49" s="11">
        <f>E6/Production!E6</f>
        <v>0.23906373242961676</v>
      </c>
      <c r="F49" s="11">
        <f>F6/Production!F6</f>
        <v>0.37822685023888275</v>
      </c>
      <c r="G49" s="11">
        <f>G6/Production!G6</f>
        <v>0.27415123411134773</v>
      </c>
      <c r="H49" s="397">
        <f>H6/Production!H6</f>
        <v>0.27900611287961968</v>
      </c>
      <c r="I49" s="11" t="e">
        <f>I6/Production!I6</f>
        <v>#DIV/0!</v>
      </c>
      <c r="J49" s="11" t="e">
        <f>J6/Production!J6</f>
        <v>#DIV/0!</v>
      </c>
      <c r="K49" s="11" t="e">
        <f>K6/Production!K6</f>
        <v>#DIV/0!</v>
      </c>
      <c r="L49" s="11" t="e">
        <f>L6/Production!L6</f>
        <v>#DIV/0!</v>
      </c>
      <c r="M49" s="11" t="e">
        <f>M6/Production!M6</f>
        <v>#DIV/0!</v>
      </c>
      <c r="N49" s="11" t="e">
        <f>N6/Production!N6</f>
        <v>#DIV/0!</v>
      </c>
      <c r="O49" s="11" t="e">
        <f>O6/Production!O6</f>
        <v>#DIV/0!</v>
      </c>
      <c r="P49" s="11" t="e">
        <f>P6/Production!P6</f>
        <v>#DIV/0!</v>
      </c>
      <c r="Q49" s="11">
        <f>Q6/Production!Q6</f>
        <v>0.29104009602050462</v>
      </c>
      <c r="R49" s="26"/>
      <c r="S49" s="26"/>
      <c r="T49" s="26"/>
      <c r="U49" s="26"/>
      <c r="V49" s="26"/>
      <c r="W49" s="26"/>
      <c r="AH49" s="150"/>
      <c r="AI49" s="150"/>
      <c r="AJ49" s="150"/>
      <c r="AK49" s="157">
        <f>AK48/Production!Q33</f>
        <v>0.52167514580747143</v>
      </c>
    </row>
    <row r="50" spans="1:37">
      <c r="A50" s="426"/>
      <c r="B50" s="2" t="s">
        <v>18</v>
      </c>
      <c r="C50" s="7" t="s">
        <v>88</v>
      </c>
      <c r="D50" s="6">
        <v>0.3</v>
      </c>
      <c r="E50" s="11">
        <f>E7/Production!E7</f>
        <v>6.7715379522754096E-2</v>
      </c>
      <c r="F50" s="11">
        <f>F7/Production!F7</f>
        <v>8.3489545782263877E-2</v>
      </c>
      <c r="G50" s="11">
        <f>G7/Production!G7</f>
        <v>0.17259399181137394</v>
      </c>
      <c r="H50" s="11">
        <f>H7/Production!H7</f>
        <v>5.5885082516240969E-2</v>
      </c>
      <c r="I50" s="11" t="e">
        <f>I7/Production!I7</f>
        <v>#DIV/0!</v>
      </c>
      <c r="J50" s="11" t="e">
        <f>J7/Production!J7</f>
        <v>#DIV/0!</v>
      </c>
      <c r="K50" s="11" t="e">
        <f>K7/Production!K7</f>
        <v>#DIV/0!</v>
      </c>
      <c r="L50" s="11" t="e">
        <f>L7/Production!L7</f>
        <v>#DIV/0!</v>
      </c>
      <c r="M50" s="11" t="e">
        <f>M7/Production!M7</f>
        <v>#DIV/0!</v>
      </c>
      <c r="N50" s="11" t="e">
        <f>N7/Production!N7</f>
        <v>#DIV/0!</v>
      </c>
      <c r="O50" s="11" t="e">
        <f>O7/Production!O7</f>
        <v>#DIV/0!</v>
      </c>
      <c r="P50" s="11" t="e">
        <f>P7/Production!P7</f>
        <v>#DIV/0!</v>
      </c>
      <c r="Q50" s="11">
        <f>Q7/Production!Q7</f>
        <v>9.256122073554264E-2</v>
      </c>
      <c r="R50" s="26"/>
      <c r="S50" s="26"/>
      <c r="T50" s="26"/>
      <c r="U50" s="26"/>
      <c r="V50" s="26"/>
      <c r="W50" s="26"/>
    </row>
    <row r="51" spans="1:37">
      <c r="A51" s="426"/>
      <c r="B51" s="2" t="s">
        <v>19</v>
      </c>
      <c r="C51" s="7" t="s">
        <v>88</v>
      </c>
      <c r="D51" s="6">
        <v>6.2</v>
      </c>
      <c r="E51" s="11">
        <f>(E8+E10)/Production!E8</f>
        <v>8.9545337785769323</v>
      </c>
      <c r="F51" s="11">
        <f>(F8+F10)/Production!F8</f>
        <v>10.262319195881343</v>
      </c>
      <c r="G51" s="11">
        <f>(G8+G10)/Production!G8</f>
        <v>4.059348332040341</v>
      </c>
      <c r="H51" s="11">
        <f>(H8+H10)/Production!H8</f>
        <v>0.95970695970695974</v>
      </c>
      <c r="I51" s="11" t="e">
        <f>(I8+I10)/Production!I8</f>
        <v>#DIV/0!</v>
      </c>
      <c r="J51" s="11" t="e">
        <f>(J8+J10)/Production!J8</f>
        <v>#DIV/0!</v>
      </c>
      <c r="K51" s="11" t="e">
        <f>(K8+K10)/Production!K8</f>
        <v>#DIV/0!</v>
      </c>
      <c r="L51" s="11" t="e">
        <f>(L8+L10)/Production!L8</f>
        <v>#DIV/0!</v>
      </c>
      <c r="M51" s="11" t="e">
        <f>(M8+M10)/Production!M8</f>
        <v>#DIV/0!</v>
      </c>
      <c r="N51" s="11" t="e">
        <f>(N8+N10)/Production!N8</f>
        <v>#DIV/0!</v>
      </c>
      <c r="O51" s="11" t="e">
        <f>(O8+O10)/Production!O8</f>
        <v>#DIV/0!</v>
      </c>
      <c r="P51" s="11" t="e">
        <f>(P8+P10)/Production!P8</f>
        <v>#DIV/0!</v>
      </c>
      <c r="Q51" s="11">
        <f>(Q8+Q10)/Production!Q8</f>
        <v>5.8979271903849506</v>
      </c>
      <c r="R51" s="26"/>
      <c r="S51" s="26"/>
      <c r="T51" s="26"/>
      <c r="U51" s="26"/>
      <c r="V51" s="26"/>
      <c r="W51" s="26"/>
    </row>
    <row r="52" spans="1:37">
      <c r="A52" s="426"/>
      <c r="B52" s="2" t="s">
        <v>20</v>
      </c>
      <c r="C52" s="7" t="s">
        <v>88</v>
      </c>
      <c r="D52" s="6">
        <v>0.98</v>
      </c>
      <c r="E52" s="11">
        <f>E9/Production!E9</f>
        <v>0.66809561413404528</v>
      </c>
      <c r="F52" s="11">
        <f>F9/Production!F9</f>
        <v>0.70494807574832008</v>
      </c>
      <c r="G52" s="11">
        <f>G9/Production!G9</f>
        <v>0.7957941339236303</v>
      </c>
      <c r="H52" s="11">
        <f>H9/Production!H9</f>
        <v>0</v>
      </c>
      <c r="I52" s="11" t="e">
        <f>I9/Production!I9</f>
        <v>#DIV/0!</v>
      </c>
      <c r="J52" s="11" t="e">
        <f>J9/Production!J9</f>
        <v>#DIV/0!</v>
      </c>
      <c r="K52" s="11" t="e">
        <f>K9/Production!K9</f>
        <v>#DIV/0!</v>
      </c>
      <c r="L52" s="11" t="e">
        <f>L9/Production!L9</f>
        <v>#DIV/0!</v>
      </c>
      <c r="M52" s="11" t="e">
        <f>M9/Production!M9</f>
        <v>#DIV/0!</v>
      </c>
      <c r="N52" s="11" t="e">
        <f>N9/Production!N9</f>
        <v>#DIV/0!</v>
      </c>
      <c r="O52" s="11" t="e">
        <f>O9/Production!O9</f>
        <v>#DIV/0!</v>
      </c>
      <c r="P52" s="11" t="e">
        <f>P9/Production!P9</f>
        <v>#DIV/0!</v>
      </c>
      <c r="Q52" s="11">
        <f>Q9/Production!Q9</f>
        <v>0.57138572754054207</v>
      </c>
      <c r="R52" s="26"/>
      <c r="S52" s="26"/>
      <c r="T52" s="26"/>
      <c r="U52" s="26"/>
      <c r="V52" s="26"/>
      <c r="W52" s="26"/>
    </row>
    <row r="53" spans="1:37">
      <c r="A53" s="426"/>
      <c r="B53" s="2" t="s">
        <v>21</v>
      </c>
      <c r="C53" s="7" t="s">
        <v>88</v>
      </c>
      <c r="D53" s="6">
        <v>0.1</v>
      </c>
      <c r="E53" s="11">
        <f>E11/Production!E10</f>
        <v>0</v>
      </c>
      <c r="F53" s="11">
        <f>F11/Production!F10</f>
        <v>0</v>
      </c>
      <c r="G53" s="11">
        <f>G11/Production!G10</f>
        <v>0</v>
      </c>
      <c r="H53" s="11">
        <f>H11/Production!H10</f>
        <v>0</v>
      </c>
      <c r="I53" s="11" t="e">
        <f>I11/Production!I10</f>
        <v>#DIV/0!</v>
      </c>
      <c r="J53" s="11" t="e">
        <f>J11/Production!J10</f>
        <v>#DIV/0!</v>
      </c>
      <c r="K53" s="11" t="e">
        <f>K11/Production!K10</f>
        <v>#DIV/0!</v>
      </c>
      <c r="L53" s="11" t="e">
        <f>L11/Production!L10</f>
        <v>#DIV/0!</v>
      </c>
      <c r="M53" s="11" t="e">
        <f>M11/Production!M10</f>
        <v>#DIV/0!</v>
      </c>
      <c r="N53" s="11" t="e">
        <f>N11/Production!N10</f>
        <v>#DIV/0!</v>
      </c>
      <c r="O53" s="11" t="e">
        <f>O11/Production!O10</f>
        <v>#DIV/0!</v>
      </c>
      <c r="P53" s="11" t="e">
        <f>P11/Production!P10</f>
        <v>#DIV/0!</v>
      </c>
      <c r="Q53" s="11">
        <f>Q11/Production!Q10</f>
        <v>0</v>
      </c>
      <c r="R53" s="26"/>
      <c r="S53" s="26"/>
      <c r="T53" s="26"/>
      <c r="U53" s="26"/>
      <c r="V53" s="26"/>
      <c r="W53" s="26"/>
    </row>
    <row r="54" spans="1:37">
      <c r="A54" s="426"/>
      <c r="B54" s="2" t="s">
        <v>22</v>
      </c>
      <c r="C54" s="7" t="s">
        <v>88</v>
      </c>
      <c r="D54" s="32">
        <v>460</v>
      </c>
      <c r="E54" s="11">
        <f>E12/Production!E11</f>
        <v>0</v>
      </c>
      <c r="F54" s="11">
        <f>F12/Production!F11</f>
        <v>275.33433454909533</v>
      </c>
      <c r="G54" s="11">
        <f>G12/Production!G11</f>
        <v>0</v>
      </c>
      <c r="H54" s="11">
        <f>H12/Production!H11</f>
        <v>0</v>
      </c>
      <c r="I54" s="11" t="e">
        <f>I12/Production!I11</f>
        <v>#DIV/0!</v>
      </c>
      <c r="J54" s="11" t="e">
        <f>J12/Production!J11</f>
        <v>#DIV/0!</v>
      </c>
      <c r="K54" s="11" t="e">
        <f>K12/Production!K11</f>
        <v>#DIV/0!</v>
      </c>
      <c r="L54" s="11" t="e">
        <f>L12/Production!L11</f>
        <v>#DIV/0!</v>
      </c>
      <c r="M54" s="11" t="e">
        <f>M12/Production!M11</f>
        <v>#DIV/0!</v>
      </c>
      <c r="N54" s="11" t="e">
        <f>N12/Production!N11</f>
        <v>#DIV/0!</v>
      </c>
      <c r="O54" s="11" t="e">
        <f>O12/Production!O11</f>
        <v>#DIV/0!</v>
      </c>
      <c r="P54" s="11" t="e">
        <f>P12/Production!P11</f>
        <v>#DIV/0!</v>
      </c>
      <c r="Q54" s="11">
        <f>Q12/Production!Q11</f>
        <v>66.507321301816035</v>
      </c>
      <c r="R54" s="26"/>
      <c r="S54" s="26"/>
      <c r="T54" s="26"/>
      <c r="U54" s="26"/>
      <c r="V54" s="26"/>
      <c r="W54" s="26"/>
    </row>
    <row r="55" spans="1:37">
      <c r="A55" s="426"/>
      <c r="B55" s="245" t="s">
        <v>23</v>
      </c>
      <c r="C55" s="7" t="s">
        <v>88</v>
      </c>
      <c r="D55" s="32">
        <v>1.27</v>
      </c>
      <c r="E55" s="11">
        <f>E13/Production!E12</f>
        <v>0</v>
      </c>
      <c r="F55" s="11">
        <f>F13/Production!F12</f>
        <v>2.1768916548218149</v>
      </c>
      <c r="G55" s="11">
        <f>G13/Production!G12</f>
        <v>0.73806548116948933</v>
      </c>
      <c r="H55" s="11">
        <f>H13/Production!H12</f>
        <v>1.2221682518293351</v>
      </c>
      <c r="I55" s="11" t="e">
        <f>I13/Production!I12</f>
        <v>#DIV/0!</v>
      </c>
      <c r="J55" s="11" t="e">
        <f>J13/Production!J12</f>
        <v>#DIV/0!</v>
      </c>
      <c r="K55" s="11" t="e">
        <f>K13/Production!K12</f>
        <v>#DIV/0!</v>
      </c>
      <c r="L55" s="11" t="e">
        <f>L13/Production!L12</f>
        <v>#DIV/0!</v>
      </c>
      <c r="M55" s="11" t="e">
        <f>M13/Production!M12</f>
        <v>#DIV/0!</v>
      </c>
      <c r="N55" s="11" t="e">
        <f>N13/Production!N12</f>
        <v>#DIV/0!</v>
      </c>
      <c r="O55" s="11" t="e">
        <f>O13/Production!O12</f>
        <v>#DIV/0!</v>
      </c>
      <c r="P55" s="11" t="e">
        <f>P13/Production!P12</f>
        <v>#DIV/0!</v>
      </c>
      <c r="Q55" s="11">
        <f>Q13/Production!Q12</f>
        <v>1.0024230830901093</v>
      </c>
      <c r="R55" s="26"/>
      <c r="S55" s="26"/>
      <c r="T55" s="26"/>
      <c r="U55" s="26"/>
      <c r="V55" s="26"/>
      <c r="W55" s="26"/>
    </row>
    <row r="56" spans="1:37">
      <c r="A56" s="426"/>
      <c r="B56" s="2" t="s">
        <v>58</v>
      </c>
      <c r="C56" s="7" t="s">
        <v>14</v>
      </c>
      <c r="D56" s="222">
        <v>12.416666666666666</v>
      </c>
      <c r="E56" s="11">
        <f t="shared" ref="E56:Q56" si="40">E14</f>
        <v>0</v>
      </c>
      <c r="F56" s="11">
        <f t="shared" si="40"/>
        <v>4930</v>
      </c>
      <c r="G56" s="11">
        <f t="shared" si="40"/>
        <v>0</v>
      </c>
      <c r="H56" s="11">
        <f t="shared" si="40"/>
        <v>0</v>
      </c>
      <c r="I56" s="11">
        <f t="shared" si="40"/>
        <v>0</v>
      </c>
      <c r="J56" s="11">
        <f t="shared" si="40"/>
        <v>0</v>
      </c>
      <c r="K56" s="11">
        <f t="shared" si="40"/>
        <v>0</v>
      </c>
      <c r="L56" s="11">
        <f t="shared" si="40"/>
        <v>0</v>
      </c>
      <c r="M56" s="11">
        <f t="shared" si="40"/>
        <v>0</v>
      </c>
      <c r="N56" s="11">
        <f t="shared" si="40"/>
        <v>0</v>
      </c>
      <c r="O56" s="11">
        <f t="shared" si="40"/>
        <v>0</v>
      </c>
      <c r="P56" s="11">
        <f t="shared" si="40"/>
        <v>0</v>
      </c>
      <c r="Q56" s="11">
        <f t="shared" si="40"/>
        <v>4930</v>
      </c>
      <c r="R56" s="26"/>
      <c r="S56" s="26"/>
      <c r="T56" s="26"/>
      <c r="U56" s="26"/>
      <c r="V56" s="26"/>
      <c r="W56" s="26"/>
      <c r="X56">
        <f>149/12</f>
        <v>12.416666666666666</v>
      </c>
    </row>
    <row r="57" spans="1:37">
      <c r="A57" s="426"/>
      <c r="B57" s="2" t="s">
        <v>84</v>
      </c>
      <c r="C57" s="7" t="s">
        <v>88</v>
      </c>
      <c r="D57" s="32" t="s">
        <v>64</v>
      </c>
      <c r="E57" s="11">
        <f>E15/Production!E13</f>
        <v>0</v>
      </c>
      <c r="F57" s="11">
        <f>F15/Production!F13</f>
        <v>0</v>
      </c>
      <c r="G57" s="11">
        <f>G15/Production!G13</f>
        <v>0</v>
      </c>
      <c r="H57" s="11">
        <f>H15/Production!H13</f>
        <v>0</v>
      </c>
      <c r="I57" s="11" t="e">
        <f>I15/Production!I13</f>
        <v>#DIV/0!</v>
      </c>
      <c r="J57" s="11" t="e">
        <f>J15/Production!J13</f>
        <v>#DIV/0!</v>
      </c>
      <c r="K57" s="11" t="e">
        <f>K15/Production!K13</f>
        <v>#DIV/0!</v>
      </c>
      <c r="L57" s="11" t="e">
        <f>L15/Production!L13</f>
        <v>#DIV/0!</v>
      </c>
      <c r="M57" s="11" t="e">
        <f>M15/Production!M13</f>
        <v>#DIV/0!</v>
      </c>
      <c r="N57" s="11" t="e">
        <f>N15/Production!N13</f>
        <v>#DIV/0!</v>
      </c>
      <c r="O57" s="11" t="e">
        <f>O15/Production!O13</f>
        <v>#DIV/0!</v>
      </c>
      <c r="P57" s="11" t="e">
        <f>P15/Production!P13</f>
        <v>#DIV/0!</v>
      </c>
      <c r="Q57" s="11">
        <f>Q15/Production!Q13</f>
        <v>0</v>
      </c>
      <c r="R57" s="71"/>
      <c r="S57" s="71"/>
      <c r="T57" s="71"/>
      <c r="U57" s="71"/>
      <c r="V57" s="71"/>
      <c r="W57" s="71"/>
    </row>
    <row r="58" spans="1:37">
      <c r="A58" s="426"/>
      <c r="B58" s="7" t="s">
        <v>24</v>
      </c>
      <c r="C58" s="7" t="s">
        <v>88</v>
      </c>
      <c r="D58" s="6">
        <v>2.99</v>
      </c>
      <c r="E58" s="11">
        <f>E16/Production!E14</f>
        <v>2.2572042234905636</v>
      </c>
      <c r="F58" s="11">
        <f>F16/Production!F14</f>
        <v>3.6569358884855463</v>
      </c>
      <c r="G58" s="11">
        <f>G16/Production!G14</f>
        <v>2.251357291743791</v>
      </c>
      <c r="H58" s="11">
        <f>H16/Production!H14</f>
        <v>2.1160690114468026</v>
      </c>
      <c r="I58" s="11" t="e">
        <f>I16/Production!I14</f>
        <v>#DIV/0!</v>
      </c>
      <c r="J58" s="11" t="e">
        <f>J16/Production!J14</f>
        <v>#DIV/0!</v>
      </c>
      <c r="K58" s="11" t="e">
        <f>K16/Production!K14</f>
        <v>#DIV/0!</v>
      </c>
      <c r="L58" s="11" t="e">
        <f>L16/Production!L14</f>
        <v>#DIV/0!</v>
      </c>
      <c r="M58" s="11" t="e">
        <f>M16/Production!M14</f>
        <v>#DIV/0!</v>
      </c>
      <c r="N58" s="11" t="e">
        <f>N16/Production!N14</f>
        <v>#DIV/0!</v>
      </c>
      <c r="O58" s="11" t="e">
        <f>O16/Production!O14</f>
        <v>#DIV/0!</v>
      </c>
      <c r="P58" s="11" t="e">
        <f>P16/Production!P14</f>
        <v>#DIV/0!</v>
      </c>
      <c r="Q58" s="11">
        <f>Q16/Production!Q13</f>
        <v>1.2357029825931936</v>
      </c>
      <c r="R58" s="71"/>
      <c r="S58" s="71"/>
      <c r="T58" s="71"/>
      <c r="U58" s="71"/>
      <c r="V58" s="71"/>
      <c r="W58" s="71"/>
    </row>
    <row r="59" spans="1:37">
      <c r="A59" s="426"/>
      <c r="B59" s="7" t="s">
        <v>25</v>
      </c>
      <c r="C59" s="7" t="s">
        <v>88</v>
      </c>
      <c r="D59" s="6">
        <v>2.4500000000000002</v>
      </c>
      <c r="E59" s="11">
        <f>E17/Production!E14</f>
        <v>1.2065608123440528</v>
      </c>
      <c r="F59" s="11">
        <f>F17/Production!F14</f>
        <v>0.82533585626049266</v>
      </c>
      <c r="G59" s="11">
        <f>G17/Production!G14</f>
        <v>2.0836584245747933</v>
      </c>
      <c r="H59" s="11">
        <f>H17/Production!H14</f>
        <v>0</v>
      </c>
      <c r="I59" s="11" t="e">
        <f>I17/Production!I14</f>
        <v>#DIV/0!</v>
      </c>
      <c r="J59" s="11" t="e">
        <f>J17/Production!J14</f>
        <v>#DIV/0!</v>
      </c>
      <c r="K59" s="11" t="e">
        <f>K17/Production!K14</f>
        <v>#DIV/0!</v>
      </c>
      <c r="L59" s="11" t="e">
        <f>L17/Production!L14</f>
        <v>#DIV/0!</v>
      </c>
      <c r="M59" s="11" t="e">
        <f>M17/Production!M14</f>
        <v>#DIV/0!</v>
      </c>
      <c r="N59" s="11" t="e">
        <f>N17/Production!N14</f>
        <v>#DIV/0!</v>
      </c>
      <c r="O59" s="11" t="e">
        <f>O17/Production!O14</f>
        <v>#DIV/0!</v>
      </c>
      <c r="P59" s="11" t="e">
        <f>P17/Production!P14</f>
        <v>#DIV/0!</v>
      </c>
      <c r="Q59" s="11">
        <f>Q17/Production!Q14</f>
        <v>1.0448821727613076</v>
      </c>
      <c r="R59" s="71"/>
      <c r="S59" s="71"/>
      <c r="T59" s="71"/>
      <c r="U59" s="71"/>
      <c r="V59" s="71"/>
      <c r="W59" s="71"/>
    </row>
    <row r="60" spans="1:37">
      <c r="A60" s="426"/>
      <c r="B60" s="7" t="s">
        <v>26</v>
      </c>
      <c r="C60" s="7" t="s">
        <v>88</v>
      </c>
      <c r="D60" s="6">
        <v>0.28000000000000003</v>
      </c>
      <c r="E60" s="11">
        <f>E18/Production!E15</f>
        <v>0</v>
      </c>
      <c r="F60" s="11">
        <f>F18/Production!F15</f>
        <v>0</v>
      </c>
      <c r="G60" s="11">
        <f>G18/Production!G15</f>
        <v>0</v>
      </c>
      <c r="H60" s="11">
        <f>H18/Production!H15</f>
        <v>16.964574883175768</v>
      </c>
      <c r="I60" s="11" t="e">
        <f>I18/Production!I15</f>
        <v>#DIV/0!</v>
      </c>
      <c r="J60" s="11" t="e">
        <f>J18/Production!J15</f>
        <v>#DIV/0!</v>
      </c>
      <c r="K60" s="11" t="e">
        <f>K18/Production!K15</f>
        <v>#DIV/0!</v>
      </c>
      <c r="L60" s="11" t="e">
        <f>L18/Production!L15</f>
        <v>#DIV/0!</v>
      </c>
      <c r="M60" s="11" t="e">
        <f>M18/Production!M15</f>
        <v>#DIV/0!</v>
      </c>
      <c r="N60" s="11" t="e">
        <f>N18/Production!N15</f>
        <v>#DIV/0!</v>
      </c>
      <c r="O60" s="11" t="e">
        <f>O18/Production!O15</f>
        <v>#DIV/0!</v>
      </c>
      <c r="P60" s="11" t="e">
        <f>P18/Production!P15</f>
        <v>#DIV/0!</v>
      </c>
      <c r="Q60" s="11">
        <f>Q18/Production!Q15</f>
        <v>4.3228288592054636</v>
      </c>
      <c r="R60" s="71"/>
      <c r="S60" s="71"/>
      <c r="T60" s="71"/>
      <c r="U60" s="71"/>
      <c r="V60" s="71"/>
      <c r="W60" s="71"/>
    </row>
    <row r="61" spans="1:37">
      <c r="A61" s="426"/>
      <c r="B61" s="7" t="s">
        <v>27</v>
      </c>
      <c r="C61" s="7" t="s">
        <v>88</v>
      </c>
      <c r="D61" s="6">
        <v>21.68</v>
      </c>
      <c r="E61" s="11">
        <f>E19/Production!E16</f>
        <v>19.813904141994868</v>
      </c>
      <c r="F61" s="11">
        <f>F19/Production!F16</f>
        <v>5.8526092300815735</v>
      </c>
      <c r="G61" s="11">
        <f>G19/Production!G16</f>
        <v>14.395374273061943</v>
      </c>
      <c r="H61" s="11">
        <f>H19/Production!H16</f>
        <v>2.2747555812034062</v>
      </c>
      <c r="I61" s="11" t="e">
        <f>I19/Production!I16</f>
        <v>#DIV/0!</v>
      </c>
      <c r="J61" s="11" t="e">
        <f>J19/Production!J16</f>
        <v>#DIV/0!</v>
      </c>
      <c r="K61" s="11" t="e">
        <f>K19/Production!K16</f>
        <v>#DIV/0!</v>
      </c>
      <c r="L61" s="11" t="e">
        <f>L19/Production!L16</f>
        <v>#DIV/0!</v>
      </c>
      <c r="M61" s="11" t="e">
        <f>M19/Production!M16</f>
        <v>#DIV/0!</v>
      </c>
      <c r="N61" s="11" t="e">
        <f>N19/Production!N16</f>
        <v>#DIV/0!</v>
      </c>
      <c r="O61" s="11" t="e">
        <f>O19/Production!O16</f>
        <v>#DIV/0!</v>
      </c>
      <c r="P61" s="11" t="e">
        <f>P19/Production!P16</f>
        <v>#DIV/0!</v>
      </c>
      <c r="Q61" s="11">
        <f>Q19/Production!Q16</f>
        <v>10.48649280584816</v>
      </c>
      <c r="R61" s="26"/>
      <c r="S61" s="26"/>
      <c r="T61" s="26"/>
      <c r="U61" s="26"/>
      <c r="V61" s="26"/>
      <c r="W61" s="26"/>
    </row>
    <row r="62" spans="1:37">
      <c r="A62" s="439"/>
      <c r="B62" s="7" t="s">
        <v>59</v>
      </c>
      <c r="C62" s="7" t="s">
        <v>14</v>
      </c>
      <c r="D62" s="223">
        <v>3.8333333333333335</v>
      </c>
      <c r="E62" s="11">
        <f t="shared" ref="E62:Q62" si="41">E20</f>
        <v>0</v>
      </c>
      <c r="F62" s="11">
        <f t="shared" si="41"/>
        <v>0</v>
      </c>
      <c r="G62" s="11">
        <f t="shared" si="41"/>
        <v>0</v>
      </c>
      <c r="H62" s="11">
        <f t="shared" si="41"/>
        <v>0</v>
      </c>
      <c r="I62" s="11">
        <f t="shared" si="41"/>
        <v>0</v>
      </c>
      <c r="J62" s="11">
        <f t="shared" si="41"/>
        <v>0</v>
      </c>
      <c r="K62" s="11">
        <f t="shared" si="41"/>
        <v>0</v>
      </c>
      <c r="L62" s="11">
        <f t="shared" si="41"/>
        <v>0</v>
      </c>
      <c r="M62" s="11">
        <f t="shared" si="41"/>
        <v>0</v>
      </c>
      <c r="N62" s="11">
        <f t="shared" si="41"/>
        <v>0</v>
      </c>
      <c r="O62" s="11">
        <f t="shared" si="41"/>
        <v>0</v>
      </c>
      <c r="P62" s="11">
        <f t="shared" si="41"/>
        <v>0</v>
      </c>
      <c r="Q62" s="11">
        <f t="shared" si="41"/>
        <v>0</v>
      </c>
      <c r="R62" s="71"/>
      <c r="S62" s="71"/>
      <c r="T62" s="71"/>
      <c r="U62" s="71"/>
      <c r="V62" s="71"/>
      <c r="W62" s="71"/>
      <c r="X62">
        <f>46/12</f>
        <v>3.8333333333333335</v>
      </c>
    </row>
    <row r="63" spans="1:37">
      <c r="A63" s="425" t="s">
        <v>28</v>
      </c>
      <c r="B63" s="2" t="s">
        <v>29</v>
      </c>
      <c r="C63" s="7" t="s">
        <v>88</v>
      </c>
      <c r="D63" s="6">
        <v>0.85</v>
      </c>
      <c r="E63" s="11">
        <f>E21/Production!E17</f>
        <v>0.25608194622279129</v>
      </c>
      <c r="F63" s="11">
        <f>F21/Production!F17</f>
        <v>7.4968138541120014E-2</v>
      </c>
      <c r="G63" s="11">
        <f>G21/Production!G17</f>
        <v>9.6204415141292215E-2</v>
      </c>
      <c r="H63" s="11">
        <f>H21/Production!H17</f>
        <v>0</v>
      </c>
      <c r="I63" s="11" t="e">
        <f>I21/Production!I17</f>
        <v>#DIV/0!</v>
      </c>
      <c r="J63" s="11" t="e">
        <f>J21/Production!J17</f>
        <v>#DIV/0!</v>
      </c>
      <c r="K63" s="11" t="e">
        <f>K21/Production!K17</f>
        <v>#DIV/0!</v>
      </c>
      <c r="L63" s="11" t="e">
        <f>L21/Production!L17</f>
        <v>#DIV/0!</v>
      </c>
      <c r="M63" s="11" t="e">
        <f>M21/Production!M17</f>
        <v>#DIV/0!</v>
      </c>
      <c r="N63" s="11" t="e">
        <f>N21/Production!N17</f>
        <v>#DIV/0!</v>
      </c>
      <c r="O63" s="11" t="e">
        <f>O21/Production!O17</f>
        <v>#DIV/0!</v>
      </c>
      <c r="P63" s="11" t="e">
        <f>P21/Production!P17</f>
        <v>#DIV/0!</v>
      </c>
      <c r="Q63" s="11">
        <f>Q21/Production!Q17</f>
        <v>0.10421873519620239</v>
      </c>
      <c r="R63" s="71"/>
      <c r="S63" s="71"/>
      <c r="T63" s="71"/>
      <c r="U63" s="71"/>
      <c r="V63" s="71"/>
      <c r="W63" s="71"/>
    </row>
    <row r="64" spans="1:37">
      <c r="A64" s="426"/>
      <c r="B64" s="2" t="s">
        <v>30</v>
      </c>
      <c r="C64" s="7" t="s">
        <v>88</v>
      </c>
      <c r="D64" s="6">
        <v>0.18</v>
      </c>
      <c r="E64" s="11">
        <f>E22/Production!E18</f>
        <v>0</v>
      </c>
      <c r="F64" s="11">
        <f>F22/Production!F18</f>
        <v>0.70084647368786657</v>
      </c>
      <c r="G64" s="11">
        <f>G22/Production!G18</f>
        <v>0</v>
      </c>
      <c r="H64" s="11" t="e">
        <f>H22/Production!H18</f>
        <v>#DIV/0!</v>
      </c>
      <c r="I64" s="11" t="e">
        <f>I22/Production!I18</f>
        <v>#DIV/0!</v>
      </c>
      <c r="J64" s="11" t="e">
        <f>J22/Production!J18</f>
        <v>#DIV/0!</v>
      </c>
      <c r="K64" s="11" t="e">
        <f>K22/Production!K18</f>
        <v>#DIV/0!</v>
      </c>
      <c r="L64" s="11" t="e">
        <f>L22/Production!L18</f>
        <v>#DIV/0!</v>
      </c>
      <c r="M64" s="11" t="e">
        <f>M22/Production!M18</f>
        <v>#DIV/0!</v>
      </c>
      <c r="N64" s="11" t="e">
        <f>N22/Production!N18</f>
        <v>#DIV/0!</v>
      </c>
      <c r="O64" s="11" t="e">
        <f>O22/Production!O18</f>
        <v>#DIV/0!</v>
      </c>
      <c r="P64" s="11" t="e">
        <f>P22/Production!P18</f>
        <v>#DIV/0!</v>
      </c>
      <c r="Q64" s="11">
        <f>Q22/Production!Q18</f>
        <v>0.24820501646499823</v>
      </c>
      <c r="R64" s="71"/>
      <c r="S64" s="71"/>
      <c r="T64" s="71"/>
      <c r="U64" s="71"/>
      <c r="V64" s="71"/>
      <c r="W64" s="71"/>
    </row>
    <row r="65" spans="1:23">
      <c r="A65" s="426"/>
      <c r="B65" s="2" t="s">
        <v>31</v>
      </c>
      <c r="C65" s="7" t="s">
        <v>88</v>
      </c>
      <c r="D65" s="6">
        <v>0.28000000000000003</v>
      </c>
      <c r="E65" s="11">
        <f>E23/Production!E19</f>
        <v>0</v>
      </c>
      <c r="F65" s="11">
        <f>F23/Production!F19</f>
        <v>0</v>
      </c>
      <c r="G65" s="11">
        <f>G23/Production!G19</f>
        <v>0.53112901797502909</v>
      </c>
      <c r="H65" s="11">
        <f>H23/Production!H19</f>
        <v>0</v>
      </c>
      <c r="I65" s="11" t="e">
        <f>I23/Production!I19</f>
        <v>#DIV/0!</v>
      </c>
      <c r="J65" s="11" t="e">
        <f>J23/Production!J19</f>
        <v>#DIV/0!</v>
      </c>
      <c r="K65" s="11" t="e">
        <f>K23/Production!K19</f>
        <v>#DIV/0!</v>
      </c>
      <c r="L65" s="11" t="e">
        <f>L23/Production!L19</f>
        <v>#DIV/0!</v>
      </c>
      <c r="M65" s="11" t="e">
        <f>M23/Production!M19</f>
        <v>#DIV/0!</v>
      </c>
      <c r="N65" s="11" t="e">
        <f>N23/Production!N19</f>
        <v>#DIV/0!</v>
      </c>
      <c r="O65" s="11" t="e">
        <f>O23/Production!O19</f>
        <v>#DIV/0!</v>
      </c>
      <c r="P65" s="11" t="e">
        <f>P23/Production!P19</f>
        <v>#DIV/0!</v>
      </c>
      <c r="Q65" s="11">
        <f>Q23/Production!Q19</f>
        <v>0.12607241325161039</v>
      </c>
      <c r="R65" s="71"/>
      <c r="S65" s="71"/>
      <c r="T65" s="71"/>
      <c r="U65" s="71"/>
      <c r="V65" s="71"/>
      <c r="W65" s="71"/>
    </row>
    <row r="66" spans="1:23">
      <c r="A66" s="426"/>
      <c r="B66" s="2" t="s">
        <v>32</v>
      </c>
      <c r="C66" s="7" t="s">
        <v>88</v>
      </c>
      <c r="D66" s="6">
        <v>1</v>
      </c>
      <c r="E66" s="11">
        <f>E24/Production!E20</f>
        <v>0.53027892671545229</v>
      </c>
      <c r="F66" s="11">
        <f>F24/Production!F20</f>
        <v>1.3150233893473067</v>
      </c>
      <c r="G66" s="11">
        <f>G24/Production!G20</f>
        <v>0.63625772918720314</v>
      </c>
      <c r="H66" s="11">
        <f>H24/Production!H20</f>
        <v>0.88447513383505305</v>
      </c>
      <c r="I66" s="11" t="e">
        <f>I24/Production!I20</f>
        <v>#DIV/0!</v>
      </c>
      <c r="J66" s="11" t="e">
        <f>J24/Production!J20</f>
        <v>#DIV/0!</v>
      </c>
      <c r="K66" s="11" t="e">
        <f>K24/Production!K20</f>
        <v>#DIV/0!</v>
      </c>
      <c r="L66" s="11" t="e">
        <f>L24/Production!L20</f>
        <v>#DIV/0!</v>
      </c>
      <c r="M66" s="11" t="e">
        <f>M24/Production!M20</f>
        <v>#DIV/0!</v>
      </c>
      <c r="N66" s="11" t="e">
        <f>N24/Production!N20</f>
        <v>#DIV/0!</v>
      </c>
      <c r="O66" s="11" t="e">
        <f>O24/Production!O20</f>
        <v>#DIV/0!</v>
      </c>
      <c r="P66" s="11" t="e">
        <f>P24/Production!P20</f>
        <v>#DIV/0!</v>
      </c>
      <c r="Q66" s="11">
        <f>Q24/Production!Q20</f>
        <v>0.78686837734878312</v>
      </c>
      <c r="R66" s="71"/>
      <c r="S66" s="71"/>
      <c r="T66" s="71"/>
      <c r="U66" s="71"/>
      <c r="V66" s="71"/>
      <c r="W66" s="71"/>
    </row>
    <row r="67" spans="1:23">
      <c r="A67" s="426"/>
      <c r="B67" s="2" t="s">
        <v>33</v>
      </c>
      <c r="C67" s="7" t="s">
        <v>88</v>
      </c>
      <c r="D67" s="248">
        <v>0.61</v>
      </c>
      <c r="E67" s="11">
        <f>E25/Production!E21</f>
        <v>0.50313902849444037</v>
      </c>
      <c r="F67" s="11">
        <f>F25/Production!F21</f>
        <v>0.61298076923076927</v>
      </c>
      <c r="G67" s="11">
        <f>G25/Production!G21</f>
        <v>0.32549586393162672</v>
      </c>
      <c r="H67" s="11" t="e">
        <f>H25/Production!H21</f>
        <v>#DIV/0!</v>
      </c>
      <c r="I67" s="11" t="e">
        <f>I25/Production!I21</f>
        <v>#DIV/0!</v>
      </c>
      <c r="J67" s="11" t="e">
        <f>J25/Production!J21</f>
        <v>#DIV/0!</v>
      </c>
      <c r="K67" s="11" t="e">
        <f>K25/Production!K21</f>
        <v>#DIV/0!</v>
      </c>
      <c r="L67" s="11" t="e">
        <f>L25/Production!L21</f>
        <v>#DIV/0!</v>
      </c>
      <c r="M67" s="11" t="e">
        <f>M25/Production!M21</f>
        <v>#DIV/0!</v>
      </c>
      <c r="N67" s="11" t="e">
        <f>N25/Production!N21</f>
        <v>#DIV/0!</v>
      </c>
      <c r="O67" s="11" t="e">
        <f>O25/Production!O21</f>
        <v>#DIV/0!</v>
      </c>
      <c r="P67" s="11" t="e">
        <f>P25/Production!P21</f>
        <v>#DIV/0!</v>
      </c>
      <c r="Q67" s="11">
        <f>Q25/Production!Q21</f>
        <v>0.42795526375810505</v>
      </c>
      <c r="R67" s="71"/>
      <c r="S67" s="71"/>
      <c r="T67" s="71"/>
      <c r="U67" s="71"/>
      <c r="V67" s="71"/>
      <c r="W67" s="71"/>
    </row>
    <row r="68" spans="1:23">
      <c r="A68" s="426"/>
      <c r="B68" s="2" t="s">
        <v>34</v>
      </c>
      <c r="C68" s="7" t="s">
        <v>88</v>
      </c>
      <c r="D68" s="249">
        <v>0.34</v>
      </c>
      <c r="E68" s="11">
        <f>E26/Production!E22</f>
        <v>0</v>
      </c>
      <c r="F68" s="11">
        <f>F26/Production!F22</f>
        <v>0</v>
      </c>
      <c r="G68" s="11">
        <f>G26/Production!G22</f>
        <v>0</v>
      </c>
      <c r="H68" s="11">
        <f>H26/Production!H22</f>
        <v>0</v>
      </c>
      <c r="I68" s="11" t="e">
        <f>I26/Production!I22</f>
        <v>#DIV/0!</v>
      </c>
      <c r="J68" s="11" t="e">
        <f>J26/Production!J22</f>
        <v>#DIV/0!</v>
      </c>
      <c r="K68" s="11" t="e">
        <f>K26/Production!K22</f>
        <v>#DIV/0!</v>
      </c>
      <c r="L68" s="11" t="e">
        <f>L26/Production!L22</f>
        <v>#DIV/0!</v>
      </c>
      <c r="M68" s="11" t="e">
        <f>M26/Production!M22</f>
        <v>#DIV/0!</v>
      </c>
      <c r="N68" s="11" t="e">
        <f>N26/Production!N22</f>
        <v>#DIV/0!</v>
      </c>
      <c r="O68" s="11" t="e">
        <f>O26/Production!O22</f>
        <v>#DIV/0!</v>
      </c>
      <c r="P68" s="11" t="e">
        <f>P26/Production!P22</f>
        <v>#DIV/0!</v>
      </c>
      <c r="Q68" s="11">
        <f>Q26/Production!Q22</f>
        <v>0</v>
      </c>
      <c r="R68" s="1"/>
      <c r="S68" s="1"/>
      <c r="T68" s="1"/>
      <c r="U68" s="1"/>
      <c r="V68" s="1"/>
      <c r="W68" s="1"/>
    </row>
    <row r="69" spans="1:23">
      <c r="A69" s="426"/>
      <c r="B69" s="2" t="s">
        <v>35</v>
      </c>
      <c r="C69" s="7" t="s">
        <v>88</v>
      </c>
      <c r="D69" s="249">
        <v>0.27</v>
      </c>
      <c r="E69" s="11">
        <f>E27/Production!E23</f>
        <v>0</v>
      </c>
      <c r="F69" s="11">
        <f>F27/Production!F23</f>
        <v>0</v>
      </c>
      <c r="G69" s="11">
        <f>G27/Production!G23</f>
        <v>0</v>
      </c>
      <c r="H69" s="11">
        <f>H27/Production!H23</f>
        <v>0</v>
      </c>
      <c r="I69" s="11" t="e">
        <f>I27/Production!I23</f>
        <v>#DIV/0!</v>
      </c>
      <c r="J69" s="11" t="e">
        <f>J27/Production!J23</f>
        <v>#DIV/0!</v>
      </c>
      <c r="K69" s="11" t="e">
        <f>K27/Production!K23</f>
        <v>#DIV/0!</v>
      </c>
      <c r="L69" s="11" t="e">
        <f>L27/Production!L23</f>
        <v>#DIV/0!</v>
      </c>
      <c r="M69" s="11" t="e">
        <f>M27/Production!M23</f>
        <v>#DIV/0!</v>
      </c>
      <c r="N69" s="11" t="e">
        <f>N27/Production!N23</f>
        <v>#DIV/0!</v>
      </c>
      <c r="O69" s="11" t="e">
        <f>O27/Production!O23</f>
        <v>#DIV/0!</v>
      </c>
      <c r="P69" s="11" t="e">
        <f>P27/Production!P23</f>
        <v>#DIV/0!</v>
      </c>
      <c r="Q69" s="11">
        <f>Q27/Production!Q23</f>
        <v>0</v>
      </c>
      <c r="R69" s="1"/>
      <c r="S69" s="1"/>
      <c r="T69" s="1"/>
      <c r="U69" s="1"/>
      <c r="V69" s="1"/>
      <c r="W69" s="1"/>
    </row>
    <row r="70" spans="1:23">
      <c r="A70" s="426"/>
      <c r="B70" s="2" t="s">
        <v>36</v>
      </c>
      <c r="C70" s="7" t="s">
        <v>88</v>
      </c>
      <c r="D70" s="246">
        <v>0.18</v>
      </c>
      <c r="E70" s="11">
        <f>E28/Production!E24</f>
        <v>0</v>
      </c>
      <c r="F70" s="11">
        <f>F28/Production!F24</f>
        <v>0</v>
      </c>
      <c r="G70" s="11">
        <f>G28/Production!G24</f>
        <v>0</v>
      </c>
      <c r="H70" s="11">
        <f>H28/Production!H24</f>
        <v>0</v>
      </c>
      <c r="I70" s="11" t="e">
        <f>I28/Production!I24</f>
        <v>#DIV/0!</v>
      </c>
      <c r="J70" s="11" t="e">
        <f>J28/Production!J24</f>
        <v>#DIV/0!</v>
      </c>
      <c r="K70" s="11" t="e">
        <f>K28/Production!K24</f>
        <v>#DIV/0!</v>
      </c>
      <c r="L70" s="11" t="e">
        <f>L28/Production!L24</f>
        <v>#DIV/0!</v>
      </c>
      <c r="M70" s="11" t="e">
        <f>M28/Production!M24</f>
        <v>#DIV/0!</v>
      </c>
      <c r="N70" s="11" t="e">
        <f>N28/Production!N24</f>
        <v>#DIV/0!</v>
      </c>
      <c r="O70" s="11" t="e">
        <f>O28/Production!O24</f>
        <v>#DIV/0!</v>
      </c>
      <c r="P70" s="11" t="e">
        <f>P28/Production!P24</f>
        <v>#DIV/0!</v>
      </c>
      <c r="Q70" s="11">
        <f>Q28/Production!Q24</f>
        <v>0</v>
      </c>
      <c r="R70" s="1"/>
      <c r="S70" s="1"/>
      <c r="T70" s="1"/>
      <c r="U70" s="1"/>
      <c r="V70" s="1"/>
      <c r="W70" s="1"/>
    </row>
    <row r="71" spans="1:23">
      <c r="A71" s="426"/>
      <c r="B71" s="2" t="s">
        <v>37</v>
      </c>
      <c r="C71" s="7" t="s">
        <v>88</v>
      </c>
      <c r="D71" s="32">
        <v>95.69</v>
      </c>
      <c r="E71" s="11">
        <f>E29/Production!E25</f>
        <v>82.827938652545015</v>
      </c>
      <c r="F71" s="11">
        <f>F29/Production!F25</f>
        <v>133.06178719699085</v>
      </c>
      <c r="G71" s="11">
        <f>G29/Production!G25</f>
        <v>116.2602159655562</v>
      </c>
      <c r="H71" s="11">
        <f>H29/Production!H25</f>
        <v>91.217949176764748</v>
      </c>
      <c r="I71" s="11" t="e">
        <f>I29/Production!I25</f>
        <v>#DIV/0!</v>
      </c>
      <c r="J71" s="11" t="e">
        <f>J29/Production!J25</f>
        <v>#DIV/0!</v>
      </c>
      <c r="K71" s="11" t="e">
        <f>K29/Production!K25</f>
        <v>#DIV/0!</v>
      </c>
      <c r="L71" s="11" t="e">
        <f>L29/Production!L25</f>
        <v>#DIV/0!</v>
      </c>
      <c r="M71" s="11" t="e">
        <f>M29/Production!M25</f>
        <v>#DIV/0!</v>
      </c>
      <c r="N71" s="11" t="e">
        <f>N29/Production!N25</f>
        <v>#DIV/0!</v>
      </c>
      <c r="O71" s="11" t="e">
        <f>O29/Production!O25</f>
        <v>#DIV/0!</v>
      </c>
      <c r="P71" s="11" t="e">
        <f>P29/Production!P25</f>
        <v>#DIV/0!</v>
      </c>
      <c r="Q71" s="11">
        <f>Q29/Production!Q25</f>
        <v>106.3738635247033</v>
      </c>
      <c r="R71" s="1"/>
      <c r="S71" s="1"/>
      <c r="T71" s="1"/>
      <c r="U71" s="1"/>
      <c r="V71" s="1"/>
      <c r="W71" s="1"/>
    </row>
    <row r="72" spans="1:23">
      <c r="A72" s="426"/>
      <c r="B72" s="2" t="s">
        <v>38</v>
      </c>
      <c r="C72" s="7" t="s">
        <v>88</v>
      </c>
      <c r="D72" s="209" t="s">
        <v>64</v>
      </c>
      <c r="E72" s="11">
        <f>E30/Production!E26</f>
        <v>0.11412341293454951</v>
      </c>
      <c r="F72" s="11">
        <f>F30/Production!F26</f>
        <v>2.6736310368389644E-2</v>
      </c>
      <c r="G72" s="11">
        <f>G30/Production!G26</f>
        <v>4.8715074233836413E-3</v>
      </c>
      <c r="H72" s="11">
        <f>H30/Production!H26</f>
        <v>0</v>
      </c>
      <c r="I72" s="11" t="e">
        <f>I30/Production!I26</f>
        <v>#DIV/0!</v>
      </c>
      <c r="J72" s="11" t="e">
        <f>J30/Production!J26</f>
        <v>#DIV/0!</v>
      </c>
      <c r="K72" s="11" t="e">
        <f>K30/Production!K26</f>
        <v>#DIV/0!</v>
      </c>
      <c r="L72" s="11" t="e">
        <f>L30/Production!L26</f>
        <v>#DIV/0!</v>
      </c>
      <c r="M72" s="11" t="e">
        <f>M30/Production!M26</f>
        <v>#DIV/0!</v>
      </c>
      <c r="N72" s="11" t="e">
        <f>N30/Production!N26</f>
        <v>#DIV/0!</v>
      </c>
      <c r="O72" s="11" t="e">
        <f>O30/Production!O26</f>
        <v>#DIV/0!</v>
      </c>
      <c r="P72" s="11" t="e">
        <f>P30/Production!P26</f>
        <v>#DIV/0!</v>
      </c>
      <c r="Q72" s="11">
        <f>Q30/Production!Q26</f>
        <v>3.4280108457115134E-2</v>
      </c>
      <c r="R72" s="1"/>
      <c r="S72" s="1"/>
      <c r="T72" s="1"/>
      <c r="U72" s="1"/>
      <c r="V72" s="1"/>
      <c r="W72" s="1"/>
    </row>
    <row r="73" spans="1:23">
      <c r="A73" s="426"/>
      <c r="B73" s="2" t="s">
        <v>39</v>
      </c>
      <c r="C73" s="7" t="s">
        <v>88</v>
      </c>
      <c r="D73" s="209" t="s">
        <v>64</v>
      </c>
      <c r="E73" s="11">
        <f>E31/Production!E27</f>
        <v>0.61373184852443918</v>
      </c>
      <c r="F73" s="11">
        <f>F31/Production!F27</f>
        <v>0.56988884740404178</v>
      </c>
      <c r="G73" s="11">
        <f>G31/Production!G27</f>
        <v>1.0550397844567663</v>
      </c>
      <c r="H73" s="11">
        <f>H31/Production!H27</f>
        <v>0.85712022913971875</v>
      </c>
      <c r="I73" s="11" t="e">
        <f>I31/Production!I27</f>
        <v>#DIV/0!</v>
      </c>
      <c r="J73" s="11" t="e">
        <f>J31/Production!J27</f>
        <v>#DIV/0!</v>
      </c>
      <c r="K73" s="11" t="e">
        <f>K31/Production!K27</f>
        <v>#DIV/0!</v>
      </c>
      <c r="L73" s="11" t="e">
        <f>L31/Production!L27</f>
        <v>#DIV/0!</v>
      </c>
      <c r="M73" s="11" t="e">
        <f>M31/Production!M27</f>
        <v>#DIV/0!</v>
      </c>
      <c r="N73" s="11" t="e">
        <f>N31/Production!N27</f>
        <v>#DIV/0!</v>
      </c>
      <c r="O73" s="11" t="e">
        <f>O31/Production!O27</f>
        <v>#DIV/0!</v>
      </c>
      <c r="P73" s="11" t="e">
        <f>P31/Production!P27</f>
        <v>#DIV/0!</v>
      </c>
      <c r="Q73" s="11">
        <f>Q31/Production!Q27</f>
        <v>0.78822361273348418</v>
      </c>
      <c r="R73" s="1"/>
      <c r="S73" s="1"/>
      <c r="T73" s="1"/>
      <c r="U73" s="1"/>
      <c r="V73" s="1"/>
      <c r="W73" s="1"/>
    </row>
    <row r="74" spans="1:23">
      <c r="A74" s="426"/>
      <c r="B74" s="2" t="s">
        <v>40</v>
      </c>
      <c r="C74" s="7" t="s">
        <v>88</v>
      </c>
      <c r="D74" s="249">
        <v>0.25</v>
      </c>
      <c r="E74" s="11">
        <f>E32/Production!E28</f>
        <v>0.31455727817697149</v>
      </c>
      <c r="F74" s="11">
        <f>F32/Production!F28</f>
        <v>0.24394022381714014</v>
      </c>
      <c r="G74" s="397">
        <f>G32/Production!G28</f>
        <v>0.43153903619622996</v>
      </c>
      <c r="H74" s="11">
        <f>H32/Production!H28</f>
        <v>0.29187854953356074</v>
      </c>
      <c r="I74" s="11" t="e">
        <f>I32/Production!I28</f>
        <v>#DIV/0!</v>
      </c>
      <c r="J74" s="11" t="e">
        <f>J32/Production!J28</f>
        <v>#DIV/0!</v>
      </c>
      <c r="K74" s="11" t="e">
        <f>K32/Production!K28</f>
        <v>#DIV/0!</v>
      </c>
      <c r="L74" s="11" t="e">
        <f>L32/Production!L28</f>
        <v>#DIV/0!</v>
      </c>
      <c r="M74" s="11" t="e">
        <f>M32/Production!M28</f>
        <v>#DIV/0!</v>
      </c>
      <c r="N74" s="11" t="e">
        <f>N32/Production!N28</f>
        <v>#DIV/0!</v>
      </c>
      <c r="O74" s="11" t="e">
        <f>O32/Production!O28</f>
        <v>#DIV/0!</v>
      </c>
      <c r="P74" s="11" t="e">
        <f>P32/Production!P28</f>
        <v>#DIV/0!</v>
      </c>
      <c r="Q74" s="11">
        <f>Q32/Production!Q28</f>
        <v>0.32540390884602566</v>
      </c>
      <c r="R74" s="1"/>
      <c r="S74" s="1"/>
      <c r="T74" s="1"/>
      <c r="U74" s="1"/>
      <c r="V74" s="1"/>
      <c r="W74" s="1"/>
    </row>
    <row r="75" spans="1:23">
      <c r="A75" s="439"/>
      <c r="B75" s="2" t="s">
        <v>42</v>
      </c>
      <c r="C75" s="7" t="s">
        <v>88</v>
      </c>
      <c r="D75" s="32">
        <v>0.18</v>
      </c>
      <c r="E75" s="11">
        <f>E33/Production!E29</f>
        <v>0</v>
      </c>
      <c r="F75" s="11">
        <f>F33/Production!F29</f>
        <v>0</v>
      </c>
      <c r="G75" s="11">
        <f>G33/Production!G29</f>
        <v>0</v>
      </c>
      <c r="H75" s="11">
        <f>H33/Production!H29</f>
        <v>0</v>
      </c>
      <c r="I75" s="11" t="e">
        <f>I33/Production!I29</f>
        <v>#DIV/0!</v>
      </c>
      <c r="J75" s="11" t="e">
        <f>J33/Production!J29</f>
        <v>#DIV/0!</v>
      </c>
      <c r="K75" s="11" t="e">
        <f>K33/Production!K29</f>
        <v>#DIV/0!</v>
      </c>
      <c r="L75" s="11" t="e">
        <f>L33/Production!L29</f>
        <v>#DIV/0!</v>
      </c>
      <c r="M75" s="11" t="e">
        <f>M33/Production!M29</f>
        <v>#DIV/0!</v>
      </c>
      <c r="N75" s="11" t="e">
        <f>N33/Production!N29</f>
        <v>#DIV/0!</v>
      </c>
      <c r="O75" s="11" t="e">
        <f>O33/Production!O29</f>
        <v>#DIV/0!</v>
      </c>
      <c r="P75" s="11" t="e">
        <f>P33/Production!P29</f>
        <v>#DIV/0!</v>
      </c>
      <c r="Q75" s="11">
        <f>Q33/Production!Q29</f>
        <v>0</v>
      </c>
      <c r="R75" s="1"/>
      <c r="S75" s="1"/>
      <c r="T75" s="1"/>
      <c r="U75" s="1"/>
      <c r="V75" s="1"/>
      <c r="W75" s="1"/>
    </row>
    <row r="76" spans="1:23">
      <c r="A76" s="72"/>
      <c r="B76" s="2" t="s">
        <v>43</v>
      </c>
      <c r="C76" s="7" t="s">
        <v>88</v>
      </c>
      <c r="D76" s="32">
        <v>1.68</v>
      </c>
      <c r="E76" s="11">
        <f>E34/Production!E30</f>
        <v>2.0382968942574022</v>
      </c>
      <c r="F76" s="11">
        <f>F34/Production!F30</f>
        <v>2.9241906645282856</v>
      </c>
      <c r="G76" s="11">
        <f>G34/Production!G30</f>
        <v>1.164563677799467</v>
      </c>
      <c r="H76" s="11">
        <f>H34/Production!H30</f>
        <v>0.29992211183019496</v>
      </c>
      <c r="I76" s="11" t="e">
        <f>I34/Production!I30</f>
        <v>#DIV/0!</v>
      </c>
      <c r="J76" s="11" t="e">
        <f>J34/Production!J30</f>
        <v>#DIV/0!</v>
      </c>
      <c r="K76" s="11" t="e">
        <f>K34/Production!K30</f>
        <v>#DIV/0!</v>
      </c>
      <c r="L76" s="11" t="e">
        <f>L34/Production!L30</f>
        <v>#DIV/0!</v>
      </c>
      <c r="M76" s="11" t="e">
        <f>M34/Production!M30</f>
        <v>#DIV/0!</v>
      </c>
      <c r="N76" s="11" t="e">
        <f>N34/Production!N30</f>
        <v>#DIV/0!</v>
      </c>
      <c r="O76" s="11" t="e">
        <f>O34/Production!O30</f>
        <v>#DIV/0!</v>
      </c>
      <c r="P76" s="11" t="e">
        <f>P34/Production!P30</f>
        <v>#DIV/0!</v>
      </c>
      <c r="Q76" s="11">
        <f>Q34/Production!Q30</f>
        <v>1.6376019010664076</v>
      </c>
    </row>
    <row r="77" spans="1:23">
      <c r="A77" s="72"/>
      <c r="B77" s="83"/>
      <c r="H77" s="50"/>
    </row>
    <row r="78" spans="1:23" ht="15.5">
      <c r="A78" s="411" t="s">
        <v>44</v>
      </c>
      <c r="B78" s="411"/>
      <c r="C78" s="7" t="s">
        <v>88</v>
      </c>
      <c r="D78" s="6"/>
      <c r="E78" s="132">
        <f>E36/Production!E32</f>
        <v>0.38927962714594744</v>
      </c>
      <c r="F78" s="132">
        <f>F36/Production!F32</f>
        <v>0.6488593555848664</v>
      </c>
      <c r="G78" s="132">
        <f>G36/Production!G32</f>
        <v>0.70501751836895055</v>
      </c>
      <c r="H78" s="132">
        <f>H36/Production!H32</f>
        <v>0.54312830999868467</v>
      </c>
      <c r="I78" s="132" t="e">
        <f>I36/Production!I32</f>
        <v>#DIV/0!</v>
      </c>
      <c r="J78" s="132" t="e">
        <f>J36/Production!J32</f>
        <v>#DIV/0!</v>
      </c>
      <c r="K78" s="132" t="e">
        <f>K36/Production!K32</f>
        <v>#DIV/0!</v>
      </c>
      <c r="L78" s="132" t="e">
        <f>L36/Production!L32</f>
        <v>#DIV/0!</v>
      </c>
      <c r="M78" s="132" t="e">
        <f>M36/Production!M32</f>
        <v>#DIV/0!</v>
      </c>
      <c r="N78" s="132" t="e">
        <f>N36/Production!N32</f>
        <v>#DIV/0!</v>
      </c>
      <c r="O78" s="132" t="e">
        <f>O36/Production!O32</f>
        <v>#DIV/0!</v>
      </c>
      <c r="P78" s="132" t="e">
        <f>P36/Production!P32</f>
        <v>#DIV/0!</v>
      </c>
      <c r="Q78" s="132">
        <f>Q36/Production!Q32</f>
        <v>0.56705783598151116</v>
      </c>
      <c r="R78" s="132">
        <f>R36/Production!R32</f>
        <v>0.57381441455472748</v>
      </c>
      <c r="S78" s="132">
        <f>S36/Production!S32</f>
        <v>0.54018667140687848</v>
      </c>
      <c r="T78" s="132" t="e">
        <f>T36/Production!T32</f>
        <v>#DIV/0!</v>
      </c>
      <c r="U78" s="132" t="e">
        <f>U36/Production!U32</f>
        <v>#DIV/0!</v>
      </c>
      <c r="V78" s="132">
        <f>V36/Production!V32</f>
        <v>0.56705783598151116</v>
      </c>
      <c r="W78" s="132" t="e">
        <f>W36/Production!W32</f>
        <v>#DIV/0!</v>
      </c>
    </row>
    <row r="79" spans="1:23" ht="24">
      <c r="A79" s="440" t="s">
        <v>45</v>
      </c>
      <c r="B79" s="440"/>
      <c r="C79" s="326" t="s">
        <v>88</v>
      </c>
      <c r="D79" s="341">
        <v>0.72</v>
      </c>
      <c r="E79" s="329">
        <f>E37/Production!E33</f>
        <v>0.33236158204592681</v>
      </c>
      <c r="F79" s="329">
        <f>F37/Production!F33</f>
        <v>0.60609868197044081</v>
      </c>
      <c r="G79" s="329">
        <f>G37/Production!G33</f>
        <v>0.6512897919445596</v>
      </c>
      <c r="H79" s="329">
        <f>H37/Production!H33</f>
        <v>0.51940816951716673</v>
      </c>
      <c r="I79" s="329" t="e">
        <f>I37/Production!I33</f>
        <v>#DIV/0!</v>
      </c>
      <c r="J79" s="329" t="e">
        <f>J37/Production!J33</f>
        <v>#DIV/0!</v>
      </c>
      <c r="K79" s="329" t="e">
        <f>K37/Production!K33</f>
        <v>#DIV/0!</v>
      </c>
      <c r="L79" s="329" t="e">
        <f>L37/Production!L33</f>
        <v>#DIV/0!</v>
      </c>
      <c r="M79" s="329" t="e">
        <f>M37/Production!M33</f>
        <v>#DIV/0!</v>
      </c>
      <c r="N79" s="329" t="e">
        <f>N37/Production!N33</f>
        <v>#DIV/0!</v>
      </c>
      <c r="O79" s="329" t="e">
        <f>O37/Production!O33</f>
        <v>#DIV/0!</v>
      </c>
      <c r="P79" s="329" t="e">
        <f>P37/Production!P33</f>
        <v>#DIV/0!</v>
      </c>
      <c r="Q79" s="329">
        <f>Q37/Production!Q33</f>
        <v>0.52167514580747143</v>
      </c>
      <c r="R79" s="149">
        <f>R37/Production!R33</f>
        <v>0.52231223764011037</v>
      </c>
      <c r="S79" s="149">
        <f>S37/Production!S33</f>
        <v>0.51632245892481066</v>
      </c>
      <c r="T79" s="149" t="e">
        <f>T37/Production!T33</f>
        <v>#DIV/0!</v>
      </c>
      <c r="U79" s="149" t="e">
        <f>U37/Production!U33</f>
        <v>#DIV/0!</v>
      </c>
      <c r="V79" s="149">
        <f>V37/Production!V33</f>
        <v>0.52167514580747143</v>
      </c>
      <c r="W79" s="149" t="e">
        <f>W37/Production!W33</f>
        <v>#DIV/0!</v>
      </c>
    </row>
    <row r="80" spans="1:23">
      <c r="A80" s="50"/>
      <c r="Q80" s="58"/>
    </row>
    <row r="81" spans="1:18" ht="18.5">
      <c r="A81" s="441" t="s">
        <v>46</v>
      </c>
      <c r="B81" s="441"/>
      <c r="C81" s="340" t="s">
        <v>88</v>
      </c>
      <c r="D81" s="342">
        <v>0.3840594826531829</v>
      </c>
      <c r="E81" s="337">
        <f>E40/Production!E36</f>
        <v>0.11968366598142159</v>
      </c>
      <c r="F81" s="337">
        <f>F40/Production!F36</f>
        <v>0.27303624923262015</v>
      </c>
      <c r="G81" s="337">
        <f>G40/Production!G36</f>
        <v>0.17270415754553289</v>
      </c>
      <c r="H81" s="337">
        <f>H40/Production!H36</f>
        <v>8.5243987902216808E-2</v>
      </c>
      <c r="I81" s="337" t="e">
        <f>I40/Production!I36</f>
        <v>#DIV/0!</v>
      </c>
      <c r="J81" s="337" t="e">
        <f>J40/Production!J36</f>
        <v>#DIV/0!</v>
      </c>
      <c r="K81" s="337" t="e">
        <f>K40/Production!K36</f>
        <v>#DIV/0!</v>
      </c>
      <c r="L81" s="337" t="e">
        <f>L40/Production!L36</f>
        <v>#DIV/0!</v>
      </c>
      <c r="M81" s="337" t="e">
        <f>M40/Production!M36</f>
        <v>#DIV/0!</v>
      </c>
      <c r="N81" s="337" t="e">
        <f>N40/Production!N36</f>
        <v>#DIV/0!</v>
      </c>
      <c r="O81" s="337" t="e">
        <f>O40/Production!O36</f>
        <v>#DIV/0!</v>
      </c>
      <c r="P81" s="337" t="e">
        <f>P40/Production!P36</f>
        <v>#DIV/0!</v>
      </c>
      <c r="Q81" s="337">
        <f>Q40/Production!Q36</f>
        <v>0.16657870559426771</v>
      </c>
    </row>
    <row r="82" spans="1:18" ht="18.5">
      <c r="A82" s="441" t="s">
        <v>47</v>
      </c>
      <c r="B82" s="441"/>
      <c r="C82" s="340" t="s">
        <v>88</v>
      </c>
      <c r="D82" s="343">
        <v>1.3848914554950806</v>
      </c>
      <c r="E82" s="337">
        <f>E41/Production!E37</f>
        <v>0.77855703505580476</v>
      </c>
      <c r="F82" s="337">
        <f>F41/Production!F37</f>
        <v>1.3697507841007273</v>
      </c>
      <c r="G82" s="337">
        <f>G41/Production!G37</f>
        <v>1.3683053655060242</v>
      </c>
      <c r="H82" s="337">
        <f>H41/Production!H37</f>
        <v>1.1283176469288463</v>
      </c>
      <c r="I82" s="337" t="e">
        <f>I41/Production!I37</f>
        <v>#DIV/0!</v>
      </c>
      <c r="J82" s="337" t="e">
        <f>J41/Production!J37</f>
        <v>#DIV/0!</v>
      </c>
      <c r="K82" s="337" t="e">
        <f>K41/Production!K37</f>
        <v>#DIV/0!</v>
      </c>
      <c r="L82" s="337" t="e">
        <f>L41/Production!L37</f>
        <v>#DIV/0!</v>
      </c>
      <c r="M82" s="337" t="e">
        <f>M41/Production!M37</f>
        <v>#DIV/0!</v>
      </c>
      <c r="N82" s="337" t="e">
        <f>N41/Production!N37</f>
        <v>#DIV/0!</v>
      </c>
      <c r="O82" s="337" t="e">
        <f>O41/Production!O37</f>
        <v>#DIV/0!</v>
      </c>
      <c r="P82" s="337" t="e">
        <f>P41/Production!P37</f>
        <v>#DIV/0!</v>
      </c>
      <c r="Q82" s="337">
        <f>Q41/Production!Q37</f>
        <v>1.1585409659944155</v>
      </c>
    </row>
    <row r="83" spans="1:18">
      <c r="A83" s="50"/>
      <c r="Q83" s="58"/>
    </row>
    <row r="84" spans="1:18">
      <c r="A84" s="50"/>
      <c r="Q84" s="58"/>
    </row>
    <row r="85" spans="1:18">
      <c r="A85" s="50"/>
      <c r="Q85" s="58"/>
    </row>
    <row r="86" spans="1:18">
      <c r="A86" s="35" t="e">
        <f>Q36/A80</f>
        <v>#DIV/0!</v>
      </c>
      <c r="Q86" s="58"/>
    </row>
    <row r="87" spans="1:18">
      <c r="A87" s="36"/>
      <c r="B87" s="40">
        <f>'Non-hz waste gen'!B86</f>
        <v>2020</v>
      </c>
      <c r="C87" s="40">
        <f>'Non-hz waste gen'!C86</f>
        <v>2021</v>
      </c>
      <c r="D87" s="40">
        <f>'Non-hz waste gen'!D86</f>
        <v>2022</v>
      </c>
      <c r="E87" s="40">
        <f>'Non-hz waste gen'!E86</f>
        <v>2023</v>
      </c>
      <c r="F87" s="59">
        <f>'Non-hz waste gen'!F86</f>
        <v>46023</v>
      </c>
      <c r="G87" s="59">
        <f>'Non-hz waste gen'!G86</f>
        <v>46054</v>
      </c>
      <c r="H87" s="59">
        <f>'Non-hz waste gen'!H86</f>
        <v>46082</v>
      </c>
      <c r="I87" s="59">
        <f>'Non-hz waste gen'!I86</f>
        <v>46113</v>
      </c>
      <c r="J87" s="59">
        <f>'Non-hz waste gen'!J86</f>
        <v>46143</v>
      </c>
      <c r="K87" s="59">
        <f>'Non-hz waste gen'!K86</f>
        <v>46174</v>
      </c>
      <c r="L87" s="59">
        <f>'Non-hz waste gen'!L86</f>
        <v>46204</v>
      </c>
      <c r="M87" s="59">
        <f>'Non-hz waste gen'!M86</f>
        <v>46235</v>
      </c>
      <c r="N87" s="59">
        <f>'Non-hz waste gen'!N86</f>
        <v>46266</v>
      </c>
      <c r="O87" s="59">
        <f>'Non-hz waste gen'!O86</f>
        <v>46296</v>
      </c>
      <c r="P87" s="59">
        <f>'Non-hz waste gen'!P86</f>
        <v>46327</v>
      </c>
      <c r="Q87" s="59">
        <f>'Non-hz waste gen'!Q86</f>
        <v>46357</v>
      </c>
      <c r="R87" s="59" t="str">
        <f>'Non-hz waste gen'!R86</f>
        <v>YTD 2026</v>
      </c>
    </row>
    <row r="88" spans="1:18">
      <c r="A88" s="79" t="s">
        <v>4</v>
      </c>
      <c r="F88" s="80">
        <f>$D$78</f>
        <v>0</v>
      </c>
      <c r="G88" s="38">
        <f t="shared" ref="G88:R88" si="42">$D$78</f>
        <v>0</v>
      </c>
      <c r="H88" s="38">
        <f t="shared" si="42"/>
        <v>0</v>
      </c>
      <c r="I88" s="38">
        <f t="shared" si="42"/>
        <v>0</v>
      </c>
      <c r="J88" s="38">
        <f t="shared" si="42"/>
        <v>0</v>
      </c>
      <c r="K88" s="38">
        <f t="shared" si="42"/>
        <v>0</v>
      </c>
      <c r="L88" s="38">
        <f t="shared" si="42"/>
        <v>0</v>
      </c>
      <c r="M88" s="38">
        <f t="shared" si="42"/>
        <v>0</v>
      </c>
      <c r="N88" s="38">
        <f t="shared" si="42"/>
        <v>0</v>
      </c>
      <c r="O88" s="38">
        <f t="shared" si="42"/>
        <v>0</v>
      </c>
      <c r="P88" s="38">
        <f t="shared" si="42"/>
        <v>0</v>
      </c>
      <c r="Q88" s="38">
        <f t="shared" si="42"/>
        <v>0</v>
      </c>
      <c r="R88" s="38">
        <f t="shared" si="42"/>
        <v>0</v>
      </c>
    </row>
    <row r="89" spans="1:18">
      <c r="A89" s="79" t="s">
        <v>66</v>
      </c>
      <c r="B89" s="82">
        <f>E146</f>
        <v>1.3272270307983445</v>
      </c>
      <c r="C89" s="50">
        <f>F146</f>
        <v>0.64391855660856101</v>
      </c>
      <c r="D89" s="50">
        <f>G146</f>
        <v>0.69644023684470358</v>
      </c>
      <c r="E89" s="50">
        <f>'[3]Waste disposal'!$Q$93</f>
        <v>0.58324098401228264</v>
      </c>
      <c r="F89" s="80">
        <f t="shared" ref="F89:R89" si="43">E78</f>
        <v>0.38927962714594744</v>
      </c>
      <c r="G89" s="38">
        <f t="shared" si="43"/>
        <v>0.6488593555848664</v>
      </c>
      <c r="H89" s="38">
        <f t="shared" si="43"/>
        <v>0.70501751836895055</v>
      </c>
      <c r="I89" s="38">
        <f t="shared" si="43"/>
        <v>0.54312830999868467</v>
      </c>
      <c r="J89" s="38" t="e">
        <f t="shared" si="43"/>
        <v>#DIV/0!</v>
      </c>
      <c r="K89" s="38" t="e">
        <f t="shared" si="43"/>
        <v>#DIV/0!</v>
      </c>
      <c r="L89" s="38" t="e">
        <f t="shared" si="43"/>
        <v>#DIV/0!</v>
      </c>
      <c r="M89" s="38" t="e">
        <f t="shared" si="43"/>
        <v>#DIV/0!</v>
      </c>
      <c r="N89" s="38" t="e">
        <f t="shared" si="43"/>
        <v>#DIV/0!</v>
      </c>
      <c r="O89" s="38" t="e">
        <f t="shared" si="43"/>
        <v>#DIV/0!</v>
      </c>
      <c r="P89" s="38" t="e">
        <f t="shared" si="43"/>
        <v>#DIV/0!</v>
      </c>
      <c r="Q89" s="38" t="e">
        <f t="shared" si="43"/>
        <v>#DIV/0!</v>
      </c>
      <c r="R89" s="38">
        <f t="shared" si="43"/>
        <v>0.56705783598151116</v>
      </c>
    </row>
    <row r="90" spans="1:18">
      <c r="A90" s="79" t="s">
        <v>90</v>
      </c>
      <c r="B90" s="82"/>
      <c r="C90" s="50"/>
      <c r="D90" s="50"/>
      <c r="F90" s="80"/>
      <c r="G90" s="38"/>
      <c r="H90" s="38"/>
      <c r="I90" s="38"/>
      <c r="J90" s="38" t="e">
        <f>(I36-AC36)/Production!I32</f>
        <v>#DIV/0!</v>
      </c>
      <c r="K90" s="38" t="e">
        <f>(J36-AD36)/Production!J32</f>
        <v>#DIV/0!</v>
      </c>
      <c r="L90" s="38" t="e">
        <f>(K36-AE36)/Production!K32</f>
        <v>#DIV/0!</v>
      </c>
      <c r="M90" s="38"/>
      <c r="N90" s="38"/>
      <c r="O90" s="38"/>
      <c r="P90" s="38"/>
      <c r="Q90" s="38"/>
      <c r="R90" s="38">
        <f>(Q36-AK36)/Production!Q32</f>
        <v>0.56705783598151116</v>
      </c>
    </row>
    <row r="91" spans="1:18">
      <c r="A91" s="79" t="s">
        <v>67</v>
      </c>
      <c r="B91" s="82">
        <f>'Non-hz waste gen'!B90</f>
        <v>9.0561442384612807</v>
      </c>
      <c r="C91" s="50">
        <f>'Non-hz waste gen'!C90</f>
        <v>10.3315058334617</v>
      </c>
      <c r="D91" s="50">
        <f>'Non-hz waste gen'!D90</f>
        <v>8.0495006936000006</v>
      </c>
      <c r="E91" s="50">
        <f>'Non-hz waste gen'!E90</f>
        <v>8.2806149300000023</v>
      </c>
      <c r="F91" s="81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</row>
    <row r="145" spans="2:11">
      <c r="C145" s="36"/>
      <c r="D145" s="36"/>
      <c r="E145" s="40">
        <v>2020</v>
      </c>
      <c r="F145" s="40">
        <v>2021</v>
      </c>
      <c r="G145" s="40">
        <v>2022</v>
      </c>
      <c r="H145" s="40" t="s">
        <v>74</v>
      </c>
      <c r="I145" s="40" t="s">
        <v>75</v>
      </c>
      <c r="J145" s="40" t="s">
        <v>100</v>
      </c>
      <c r="K145" s="40" t="s">
        <v>101</v>
      </c>
    </row>
    <row r="146" spans="2:11">
      <c r="B146" s="417" t="s">
        <v>77</v>
      </c>
      <c r="C146" s="37" t="s">
        <v>102</v>
      </c>
      <c r="D146" s="37" t="s">
        <v>88</v>
      </c>
      <c r="E146" s="41">
        <f>'[2]Waste disposal'!C58</f>
        <v>1.3272270307983445</v>
      </c>
      <c r="F146" s="41">
        <f>'[2]Waste disposal'!D58</f>
        <v>0.64391855660856101</v>
      </c>
      <c r="G146" s="41">
        <f>'[2]Waste disposal'!E58</f>
        <v>0.69644023684470358</v>
      </c>
      <c r="H146" s="41">
        <v>0.6</v>
      </c>
      <c r="I146" s="42">
        <f>$Q$78</f>
        <v>0.56705783598151116</v>
      </c>
      <c r="J146" s="63" t="e">
        <f>$A$86</f>
        <v>#DIV/0!</v>
      </c>
      <c r="K146" s="1">
        <v>0.96</v>
      </c>
    </row>
    <row r="147" spans="2:11">
      <c r="B147" s="417"/>
      <c r="C147" s="37" t="s">
        <v>80</v>
      </c>
      <c r="D147" s="37" t="s">
        <v>88</v>
      </c>
      <c r="E147" s="41">
        <f>'[7]Waste direct to disposal'!I102</f>
        <v>0.29007378094127423</v>
      </c>
      <c r="F147" s="41">
        <f>'[7]Waste direct to disposal'!J102</f>
        <v>0.08</v>
      </c>
      <c r="G147" s="41">
        <f>'[7]Waste direct to disposal'!K102</f>
        <v>0.08</v>
      </c>
      <c r="H147" s="41">
        <f t="shared" ref="H147:I147" si="44">H146-H148</f>
        <v>8.0603002812112967E-2</v>
      </c>
      <c r="I147" s="41">
        <f t="shared" si="44"/>
        <v>0</v>
      </c>
      <c r="J147" s="74"/>
      <c r="K147" s="1"/>
    </row>
    <row r="148" spans="2:11">
      <c r="B148" s="417"/>
      <c r="C148" s="37" t="s">
        <v>103</v>
      </c>
      <c r="D148" s="37" t="s">
        <v>88</v>
      </c>
      <c r="E148" s="41">
        <f>'[2]Waste disposal'!U58</f>
        <v>1.0371532498570704</v>
      </c>
      <c r="F148" s="41">
        <f>'[2]Waste disposal'!V58</f>
        <v>0.64391855660856101</v>
      </c>
      <c r="G148" s="41">
        <f>'[2]Waste disposal'!W58</f>
        <v>0.69644023684470358</v>
      </c>
      <c r="H148" s="41">
        <f>'[7]Waste direct to disposal'!$L$68</f>
        <v>0.51939699718788701</v>
      </c>
      <c r="I148" s="42">
        <f>$AK$44</f>
        <v>0.56705783598151116</v>
      </c>
      <c r="J148" s="63"/>
      <c r="K148" s="1">
        <v>0.96</v>
      </c>
    </row>
    <row r="149" spans="2:11">
      <c r="C149" s="37" t="s">
        <v>67</v>
      </c>
      <c r="D149" s="37" t="s">
        <v>68</v>
      </c>
      <c r="E149" s="38">
        <f>'[3]Water withdrawal'!E101</f>
        <v>9.0561442384612842</v>
      </c>
      <c r="F149" s="38">
        <f>'[3]Water withdrawal'!F101</f>
        <v>10.344745617753649</v>
      </c>
      <c r="G149" s="38">
        <f>'[3]Water withdrawal'!G101</f>
        <v>8.5988598636000013</v>
      </c>
      <c r="H149" s="38">
        <f>'[3]Water withdrawal'!H101</f>
        <v>9.1984955120831806</v>
      </c>
      <c r="I149" s="39">
        <f>'[3]Water withdrawal'!I101</f>
        <v>8280614.9300000016</v>
      </c>
      <c r="J149" s="63"/>
      <c r="K149" s="26">
        <f>'[3]Non-hz waste gen'!$K$103</f>
        <v>8.5300867756288596</v>
      </c>
    </row>
    <row r="150" spans="2:11">
      <c r="B150" s="420" t="s">
        <v>78</v>
      </c>
      <c r="C150" s="64" t="s">
        <v>102</v>
      </c>
      <c r="D150" s="64" t="s">
        <v>88</v>
      </c>
      <c r="E150" s="65">
        <f>'[2]Waste disposal'!C59</f>
        <v>1.1539626144718642</v>
      </c>
      <c r="F150" s="65">
        <f>'[2]Waste disposal'!D59</f>
        <v>0.48961816609188996</v>
      </c>
      <c r="G150" s="65">
        <f>'[2]Waste disposal'!E59</f>
        <v>0.54858757997339114</v>
      </c>
      <c r="H150" s="66">
        <f t="shared" ref="H150:H152" si="45">H146</f>
        <v>0.6</v>
      </c>
      <c r="I150" s="65">
        <f>$Q$79</f>
        <v>0.52167514580747143</v>
      </c>
      <c r="J150" s="67"/>
      <c r="K150" s="1">
        <v>0.78</v>
      </c>
    </row>
    <row r="151" spans="2:11">
      <c r="B151" s="420"/>
      <c r="C151" s="64" t="s">
        <v>80</v>
      </c>
      <c r="D151" s="64" t="s">
        <v>88</v>
      </c>
      <c r="E151" s="75">
        <f>E150-E152</f>
        <v>0.30734105634614639</v>
      </c>
      <c r="F151" s="75">
        <f t="shared" ref="F151:G151" si="46">F147</f>
        <v>0.08</v>
      </c>
      <c r="G151" s="75">
        <f t="shared" si="46"/>
        <v>0.08</v>
      </c>
      <c r="H151" s="75">
        <f t="shared" si="45"/>
        <v>8.0603002812112967E-2</v>
      </c>
      <c r="I151" s="75">
        <f>I150-I152</f>
        <v>0</v>
      </c>
      <c r="J151" s="78"/>
      <c r="K151" s="1"/>
    </row>
    <row r="152" spans="2:11">
      <c r="B152" s="420"/>
      <c r="C152" s="64" t="s">
        <v>103</v>
      </c>
      <c r="D152" s="64" t="s">
        <v>88</v>
      </c>
      <c r="E152" s="65">
        <f>'[2]Waste disposal'!U59</f>
        <v>0.84662155812571782</v>
      </c>
      <c r="F152" s="65">
        <f>'[2]Waste disposal'!V59</f>
        <v>0.48961816609188996</v>
      </c>
      <c r="G152" s="65">
        <f>'[2]Waste disposal'!W59</f>
        <v>0.54858757997339103</v>
      </c>
      <c r="H152" s="69">
        <f t="shared" si="45"/>
        <v>0.51939699718788701</v>
      </c>
      <c r="I152" s="68">
        <f>$AK$49</f>
        <v>0.52167514580747143</v>
      </c>
      <c r="J152" s="67"/>
      <c r="K152" s="1">
        <v>0.78</v>
      </c>
    </row>
    <row r="153" spans="2:11">
      <c r="B153" s="420"/>
      <c r="C153" s="64" t="s">
        <v>67</v>
      </c>
      <c r="D153" s="64" t="s">
        <v>68</v>
      </c>
      <c r="E153" s="68">
        <f>'[3]Water withdrawal'!E103</f>
        <v>8.5473448657681743</v>
      </c>
      <c r="F153" s="68">
        <f>'[3]Water withdrawal'!F103</f>
        <v>9.7048037773794942</v>
      </c>
      <c r="G153" s="68">
        <f>'[3]Water withdrawal'!G103</f>
        <v>7.5174074896</v>
      </c>
      <c r="H153" s="68">
        <f>'[3]Water withdrawal'!H103</f>
        <v>8.6185785120831842</v>
      </c>
      <c r="I153" s="68">
        <f>'[3]Water withdrawal'!I103</f>
        <v>7.7716394509999995</v>
      </c>
      <c r="J153" s="67"/>
      <c r="K153" s="26">
        <f>'[3]Non-hz waste gen'!$K$107</f>
        <v>8.0037267756288593</v>
      </c>
    </row>
    <row r="154" spans="2:11">
      <c r="J154" s="44" t="e">
        <f>(E146-J146)/E146</f>
        <v>#DIV/0!</v>
      </c>
    </row>
    <row r="221" spans="3:11">
      <c r="E221" s="40">
        <v>2020</v>
      </c>
      <c r="F221" s="40">
        <v>2021</v>
      </c>
      <c r="G221" s="40">
        <v>2022</v>
      </c>
      <c r="H221" s="40">
        <v>2023</v>
      </c>
      <c r="I221" s="40" t="s">
        <v>101</v>
      </c>
    </row>
    <row r="222" spans="3:11">
      <c r="C222" s="2" t="s">
        <v>66</v>
      </c>
      <c r="D222" s="37" t="s">
        <v>63</v>
      </c>
      <c r="E222" s="26">
        <f t="shared" ref="E222:G222" si="47">E146</f>
        <v>1.3272270307983445</v>
      </c>
      <c r="F222" s="26">
        <f t="shared" si="47"/>
        <v>0.64391855660856101</v>
      </c>
      <c r="G222" s="26">
        <f t="shared" si="47"/>
        <v>0.69644023684470358</v>
      </c>
      <c r="H222" s="50" t="e">
        <f>H224-H223</f>
        <v>#DIV/0!</v>
      </c>
      <c r="I222" s="50">
        <f>I224-I223</f>
        <v>0.16824467620063155</v>
      </c>
      <c r="K222" s="50">
        <f>'[2]Waste disposal'!$G$27</f>
        <v>8190.5074162066376</v>
      </c>
    </row>
    <row r="223" spans="3:11">
      <c r="C223" s="2" t="s">
        <v>90</v>
      </c>
      <c r="D223" s="37" t="s">
        <v>63</v>
      </c>
      <c r="E223" s="1"/>
      <c r="F223" s="1"/>
      <c r="G223" s="1"/>
      <c r="H223" s="26" t="e">
        <f>$J$146</f>
        <v>#DIV/0!</v>
      </c>
      <c r="I223" s="50">
        <f>K222*1000/K223</f>
        <v>0.79175532379936842</v>
      </c>
      <c r="K223">
        <f>'[3]Non-hz waste gen'!$K$178</f>
        <v>10344745.617753649</v>
      </c>
    </row>
    <row r="224" spans="3:11">
      <c r="H224" s="50">
        <f>$Q$78</f>
        <v>0.56705783598151116</v>
      </c>
      <c r="I224">
        <v>0.96</v>
      </c>
    </row>
  </sheetData>
  <mergeCells count="17">
    <mergeCell ref="B150:B153"/>
    <mergeCell ref="A46:A62"/>
    <mergeCell ref="A63:A75"/>
    <mergeCell ref="A78:B78"/>
    <mergeCell ref="A79:B79"/>
    <mergeCell ref="A81:B81"/>
    <mergeCell ref="A82:B82"/>
    <mergeCell ref="A21:A33"/>
    <mergeCell ref="A1:W1"/>
    <mergeCell ref="A3:A20"/>
    <mergeCell ref="A44:W44"/>
    <mergeCell ref="B146:B148"/>
    <mergeCell ref="A36:B36"/>
    <mergeCell ref="A37:B37"/>
    <mergeCell ref="A38:B38"/>
    <mergeCell ref="A40:B40"/>
    <mergeCell ref="A41:B41"/>
  </mergeCells>
  <conditionalFormatting sqref="E46">
    <cfRule type="cellIs" dxfId="2216" priority="895" operator="greaterThan">
      <formula>$D46</formula>
    </cfRule>
    <cfRule type="cellIs" dxfId="2215" priority="896" operator="lessThanOrEqual">
      <formula>$D46</formula>
    </cfRule>
  </conditionalFormatting>
  <conditionalFormatting sqref="E47">
    <cfRule type="cellIs" dxfId="2214" priority="893" operator="greaterThan">
      <formula>$D47</formula>
    </cfRule>
    <cfRule type="cellIs" dxfId="2213" priority="894" operator="lessThanOrEqual">
      <formula>$D47</formula>
    </cfRule>
  </conditionalFormatting>
  <conditionalFormatting sqref="E48">
    <cfRule type="cellIs" dxfId="2212" priority="891" operator="greaterThan">
      <formula>$D48</formula>
    </cfRule>
    <cfRule type="cellIs" dxfId="2211" priority="892" operator="lessThanOrEqual">
      <formula>$D48</formula>
    </cfRule>
  </conditionalFormatting>
  <conditionalFormatting sqref="E49">
    <cfRule type="cellIs" dxfId="2210" priority="889" operator="greaterThan">
      <formula>$D49</formula>
    </cfRule>
    <cfRule type="cellIs" dxfId="2209" priority="890" operator="lessThanOrEqual">
      <formula>$D49</formula>
    </cfRule>
  </conditionalFormatting>
  <conditionalFormatting sqref="E50">
    <cfRule type="cellIs" dxfId="2208" priority="887" operator="greaterThan">
      <formula>$D50</formula>
    </cfRule>
    <cfRule type="cellIs" dxfId="2207" priority="888" operator="lessThanOrEqual">
      <formula>$D50</formula>
    </cfRule>
  </conditionalFormatting>
  <conditionalFormatting sqref="E51">
    <cfRule type="cellIs" dxfId="2206" priority="885" operator="greaterThan">
      <formula>$D51</formula>
    </cfRule>
    <cfRule type="cellIs" dxfId="2205" priority="886" operator="lessThanOrEqual">
      <formula>$D51</formula>
    </cfRule>
  </conditionalFormatting>
  <conditionalFormatting sqref="E52">
    <cfRule type="cellIs" dxfId="2204" priority="883" operator="greaterThan">
      <formula>$D52</formula>
    </cfRule>
    <cfRule type="cellIs" dxfId="2203" priority="884" operator="lessThanOrEqual">
      <formula>$D52</formula>
    </cfRule>
  </conditionalFormatting>
  <conditionalFormatting sqref="E53">
    <cfRule type="cellIs" dxfId="2202" priority="881" operator="greaterThan">
      <formula>$D53</formula>
    </cfRule>
    <cfRule type="cellIs" dxfId="2201" priority="882" operator="lessThanOrEqual">
      <formula>$D53</formula>
    </cfRule>
  </conditionalFormatting>
  <conditionalFormatting sqref="E56">
    <cfRule type="cellIs" dxfId="2200" priority="877" operator="greaterThan">
      <formula>$D56</formula>
    </cfRule>
    <cfRule type="cellIs" dxfId="2199" priority="878" operator="lessThanOrEqual">
      <formula>$D56</formula>
    </cfRule>
  </conditionalFormatting>
  <conditionalFormatting sqref="E57">
    <cfRule type="cellIs" dxfId="2198" priority="875" operator="greaterThan">
      <formula>$D57</formula>
    </cfRule>
    <cfRule type="cellIs" dxfId="2197" priority="876" operator="lessThanOrEqual">
      <formula>$D57</formula>
    </cfRule>
  </conditionalFormatting>
  <conditionalFormatting sqref="E58">
    <cfRule type="cellIs" dxfId="2196" priority="873" operator="greaterThan">
      <formula>$D58</formula>
    </cfRule>
    <cfRule type="cellIs" dxfId="2195" priority="874" operator="lessThanOrEqual">
      <formula>$D58</formula>
    </cfRule>
  </conditionalFormatting>
  <conditionalFormatting sqref="E59">
    <cfRule type="cellIs" dxfId="2194" priority="871" operator="greaterThan">
      <formula>$D59</formula>
    </cfRule>
    <cfRule type="cellIs" dxfId="2193" priority="872" operator="lessThanOrEqual">
      <formula>$D59</formula>
    </cfRule>
  </conditionalFormatting>
  <conditionalFormatting sqref="E60">
    <cfRule type="cellIs" dxfId="2192" priority="869" operator="greaterThan">
      <formula>$D60</formula>
    </cfRule>
    <cfRule type="cellIs" dxfId="2191" priority="870" operator="lessThanOrEqual">
      <formula>$D60</formula>
    </cfRule>
  </conditionalFormatting>
  <conditionalFormatting sqref="E61">
    <cfRule type="cellIs" dxfId="2190" priority="867" operator="greaterThan">
      <formula>$D61</formula>
    </cfRule>
    <cfRule type="cellIs" dxfId="2189" priority="868" operator="lessThanOrEqual">
      <formula>$D61</formula>
    </cfRule>
  </conditionalFormatting>
  <conditionalFormatting sqref="E62">
    <cfRule type="cellIs" dxfId="2188" priority="865" operator="greaterThan">
      <formula>$D62</formula>
    </cfRule>
    <cfRule type="cellIs" dxfId="2187" priority="866" operator="lessThanOrEqual">
      <formula>$D62</formula>
    </cfRule>
  </conditionalFormatting>
  <conditionalFormatting sqref="E63">
    <cfRule type="cellIs" dxfId="2186" priority="863" operator="greaterThan">
      <formula>$D63</formula>
    </cfRule>
    <cfRule type="cellIs" dxfId="2185" priority="864" operator="lessThanOrEqual">
      <formula>$D63</formula>
    </cfRule>
  </conditionalFormatting>
  <conditionalFormatting sqref="E64">
    <cfRule type="cellIs" dxfId="2184" priority="861" operator="greaterThan">
      <formula>$D64</formula>
    </cfRule>
    <cfRule type="cellIs" dxfId="2183" priority="862" operator="lessThanOrEqual">
      <formula>$D64</formula>
    </cfRule>
  </conditionalFormatting>
  <conditionalFormatting sqref="E65">
    <cfRule type="cellIs" dxfId="2182" priority="859" operator="greaterThan">
      <formula>$D65</formula>
    </cfRule>
    <cfRule type="cellIs" dxfId="2181" priority="860" operator="lessThanOrEqual">
      <formula>$D65</formula>
    </cfRule>
  </conditionalFormatting>
  <conditionalFormatting sqref="E66">
    <cfRule type="cellIs" dxfId="2180" priority="857" operator="greaterThan">
      <formula>$D66</formula>
    </cfRule>
    <cfRule type="cellIs" dxfId="2179" priority="858" operator="lessThanOrEqual">
      <formula>$D66</formula>
    </cfRule>
  </conditionalFormatting>
  <conditionalFormatting sqref="E67">
    <cfRule type="cellIs" dxfId="2178" priority="855" operator="greaterThan">
      <formula>$D67</formula>
    </cfRule>
    <cfRule type="cellIs" dxfId="2177" priority="856" operator="lessThanOrEqual">
      <formula>$D67</formula>
    </cfRule>
  </conditionalFormatting>
  <conditionalFormatting sqref="E68">
    <cfRule type="cellIs" dxfId="2176" priority="853" operator="greaterThan">
      <formula>$D68</formula>
    </cfRule>
    <cfRule type="cellIs" dxfId="2175" priority="854" operator="lessThanOrEqual">
      <formula>$D68</formula>
    </cfRule>
  </conditionalFormatting>
  <conditionalFormatting sqref="E69">
    <cfRule type="cellIs" dxfId="2174" priority="851" operator="greaterThan">
      <formula>$D69</formula>
    </cfRule>
    <cfRule type="cellIs" dxfId="2173" priority="852" operator="lessThanOrEqual">
      <formula>$D69</formula>
    </cfRule>
  </conditionalFormatting>
  <conditionalFormatting sqref="E70">
    <cfRule type="cellIs" dxfId="2172" priority="849" operator="greaterThan">
      <formula>$D70</formula>
    </cfRule>
    <cfRule type="cellIs" dxfId="2171" priority="850" operator="lessThanOrEqual">
      <formula>$D70</formula>
    </cfRule>
  </conditionalFormatting>
  <conditionalFormatting sqref="E71:F71">
    <cfRule type="cellIs" dxfId="2170" priority="847" operator="greaterThan">
      <formula>$D71</formula>
    </cfRule>
    <cfRule type="cellIs" dxfId="2169" priority="848" operator="lessThanOrEqual">
      <formula>$D71</formula>
    </cfRule>
  </conditionalFormatting>
  <conditionalFormatting sqref="E72">
    <cfRule type="cellIs" dxfId="2168" priority="845" operator="greaterThan">
      <formula>$D72</formula>
    </cfRule>
    <cfRule type="cellIs" dxfId="2167" priority="846" operator="lessThanOrEqual">
      <formula>$D72</formula>
    </cfRule>
  </conditionalFormatting>
  <conditionalFormatting sqref="E73:E74">
    <cfRule type="cellIs" dxfId="2166" priority="843" operator="greaterThan">
      <formula>$D73</formula>
    </cfRule>
    <cfRule type="cellIs" dxfId="2165" priority="844" operator="lessThanOrEqual">
      <formula>$D73</formula>
    </cfRule>
  </conditionalFormatting>
  <conditionalFormatting sqref="E75:E76 G76 I76 K76 M76 O76 Q76">
    <cfRule type="cellIs" dxfId="2164" priority="841" operator="greaterThan">
      <formula>$D75</formula>
    </cfRule>
    <cfRule type="cellIs" dxfId="2163" priority="842" operator="lessThanOrEqual">
      <formula>$D75</formula>
    </cfRule>
  </conditionalFormatting>
  <conditionalFormatting sqref="F46">
    <cfRule type="cellIs" dxfId="2162" priority="837" operator="greaterThan">
      <formula>$D46</formula>
    </cfRule>
    <cfRule type="cellIs" dxfId="2161" priority="838" operator="lessThanOrEqual">
      <formula>$D46</formula>
    </cfRule>
  </conditionalFormatting>
  <conditionalFormatting sqref="F47">
    <cfRule type="cellIs" dxfId="2160" priority="835" operator="greaterThan">
      <formula>$D47</formula>
    </cfRule>
    <cfRule type="cellIs" dxfId="2159" priority="836" operator="lessThanOrEqual">
      <formula>$D47</formula>
    </cfRule>
  </conditionalFormatting>
  <conditionalFormatting sqref="F48">
    <cfRule type="cellIs" dxfId="2158" priority="833" operator="greaterThan">
      <formula>$D48</formula>
    </cfRule>
    <cfRule type="cellIs" dxfId="2157" priority="834" operator="lessThanOrEqual">
      <formula>$D48</formula>
    </cfRule>
  </conditionalFormatting>
  <conditionalFormatting sqref="F49">
    <cfRule type="cellIs" dxfId="2156" priority="831" operator="greaterThan">
      <formula>$D49</formula>
    </cfRule>
    <cfRule type="cellIs" dxfId="2155" priority="832" operator="lessThanOrEqual">
      <formula>$D49</formula>
    </cfRule>
  </conditionalFormatting>
  <conditionalFormatting sqref="F50">
    <cfRule type="cellIs" dxfId="2154" priority="829" operator="greaterThan">
      <formula>$D50</formula>
    </cfRule>
    <cfRule type="cellIs" dxfId="2153" priority="830" operator="lessThanOrEqual">
      <formula>$D50</formula>
    </cfRule>
  </conditionalFormatting>
  <conditionalFormatting sqref="F51">
    <cfRule type="cellIs" dxfId="2152" priority="827" operator="greaterThan">
      <formula>$D51</formula>
    </cfRule>
    <cfRule type="cellIs" dxfId="2151" priority="828" operator="lessThanOrEqual">
      <formula>$D51</formula>
    </cfRule>
  </conditionalFormatting>
  <conditionalFormatting sqref="F52">
    <cfRule type="cellIs" dxfId="2150" priority="825" operator="greaterThan">
      <formula>$D52</formula>
    </cfRule>
    <cfRule type="cellIs" dxfId="2149" priority="826" operator="lessThanOrEqual">
      <formula>$D52</formula>
    </cfRule>
  </conditionalFormatting>
  <conditionalFormatting sqref="F53">
    <cfRule type="cellIs" dxfId="2148" priority="823" operator="greaterThan">
      <formula>$D53</formula>
    </cfRule>
    <cfRule type="cellIs" dxfId="2147" priority="824" operator="lessThanOrEqual">
      <formula>$D53</formula>
    </cfRule>
  </conditionalFormatting>
  <conditionalFormatting sqref="F56">
    <cfRule type="cellIs" dxfId="2146" priority="819" operator="greaterThan">
      <formula>$D56</formula>
    </cfRule>
    <cfRule type="cellIs" dxfId="2145" priority="820" operator="lessThanOrEqual">
      <formula>$D56</formula>
    </cfRule>
  </conditionalFormatting>
  <conditionalFormatting sqref="F57">
    <cfRule type="cellIs" dxfId="2144" priority="817" operator="greaterThan">
      <formula>$D57</formula>
    </cfRule>
    <cfRule type="cellIs" dxfId="2143" priority="818" operator="lessThanOrEqual">
      <formula>$D57</formula>
    </cfRule>
  </conditionalFormatting>
  <conditionalFormatting sqref="F58">
    <cfRule type="cellIs" dxfId="2142" priority="815" operator="greaterThan">
      <formula>$D58</formula>
    </cfRule>
    <cfRule type="cellIs" dxfId="2141" priority="816" operator="lessThanOrEqual">
      <formula>$D58</formula>
    </cfRule>
  </conditionalFormatting>
  <conditionalFormatting sqref="F59">
    <cfRule type="cellIs" dxfId="2140" priority="813" operator="greaterThan">
      <formula>$D59</formula>
    </cfRule>
    <cfRule type="cellIs" dxfId="2139" priority="814" operator="lessThanOrEqual">
      <formula>$D59</formula>
    </cfRule>
  </conditionalFormatting>
  <conditionalFormatting sqref="F60">
    <cfRule type="cellIs" dxfId="2138" priority="811" operator="greaterThan">
      <formula>$D60</formula>
    </cfRule>
    <cfRule type="cellIs" dxfId="2137" priority="812" operator="lessThanOrEqual">
      <formula>$D60</formula>
    </cfRule>
  </conditionalFormatting>
  <conditionalFormatting sqref="F61">
    <cfRule type="cellIs" dxfId="2136" priority="809" operator="greaterThan">
      <formula>$D61</formula>
    </cfRule>
    <cfRule type="cellIs" dxfId="2135" priority="810" operator="lessThanOrEqual">
      <formula>$D61</formula>
    </cfRule>
  </conditionalFormatting>
  <conditionalFormatting sqref="F62">
    <cfRule type="cellIs" dxfId="2134" priority="807" operator="greaterThan">
      <formula>$D62</formula>
    </cfRule>
    <cfRule type="cellIs" dxfId="2133" priority="808" operator="lessThanOrEqual">
      <formula>$D62</formula>
    </cfRule>
  </conditionalFormatting>
  <conditionalFormatting sqref="F63">
    <cfRule type="cellIs" dxfId="2132" priority="805" operator="greaterThan">
      <formula>$D63</formula>
    </cfRule>
    <cfRule type="cellIs" dxfId="2131" priority="806" operator="lessThanOrEqual">
      <formula>$D63</formula>
    </cfRule>
  </conditionalFormatting>
  <conditionalFormatting sqref="F64">
    <cfRule type="cellIs" dxfId="2130" priority="803" operator="greaterThan">
      <formula>$D64</formula>
    </cfRule>
    <cfRule type="cellIs" dxfId="2129" priority="804" operator="lessThanOrEqual">
      <formula>$D64</formula>
    </cfRule>
  </conditionalFormatting>
  <conditionalFormatting sqref="F65">
    <cfRule type="cellIs" dxfId="2128" priority="801" operator="greaterThan">
      <formula>$D65</formula>
    </cfRule>
    <cfRule type="cellIs" dxfId="2127" priority="802" operator="lessThanOrEqual">
      <formula>$D65</formula>
    </cfRule>
  </conditionalFormatting>
  <conditionalFormatting sqref="F66">
    <cfRule type="cellIs" dxfId="2126" priority="799" operator="greaterThan">
      <formula>$D66</formula>
    </cfRule>
    <cfRule type="cellIs" dxfId="2125" priority="800" operator="lessThanOrEqual">
      <formula>$D66</formula>
    </cfRule>
  </conditionalFormatting>
  <conditionalFormatting sqref="F67">
    <cfRule type="cellIs" dxfId="2124" priority="797" operator="greaterThan">
      <formula>$D67</formula>
    </cfRule>
    <cfRule type="cellIs" dxfId="2123" priority="798" operator="lessThanOrEqual">
      <formula>$D67</formula>
    </cfRule>
  </conditionalFormatting>
  <conditionalFormatting sqref="F68">
    <cfRule type="cellIs" dxfId="2122" priority="795" operator="greaterThan">
      <formula>$D68</formula>
    </cfRule>
    <cfRule type="cellIs" dxfId="2121" priority="796" operator="lessThanOrEqual">
      <formula>$D68</formula>
    </cfRule>
  </conditionalFormatting>
  <conditionalFormatting sqref="F69">
    <cfRule type="cellIs" dxfId="2120" priority="793" operator="greaterThan">
      <formula>$D69</formula>
    </cfRule>
    <cfRule type="cellIs" dxfId="2119" priority="794" operator="lessThanOrEqual">
      <formula>$D69</formula>
    </cfRule>
  </conditionalFormatting>
  <conditionalFormatting sqref="F70">
    <cfRule type="cellIs" dxfId="2118" priority="791" operator="greaterThan">
      <formula>$D70</formula>
    </cfRule>
    <cfRule type="cellIs" dxfId="2117" priority="792" operator="lessThanOrEqual">
      <formula>$D70</formula>
    </cfRule>
  </conditionalFormatting>
  <conditionalFormatting sqref="F72">
    <cfRule type="cellIs" dxfId="2116" priority="787" operator="greaterThan">
      <formula>$D72</formula>
    </cfRule>
    <cfRule type="cellIs" dxfId="2115" priority="788" operator="lessThanOrEqual">
      <formula>$D72</formula>
    </cfRule>
  </conditionalFormatting>
  <conditionalFormatting sqref="F73:F74">
    <cfRule type="cellIs" dxfId="2114" priority="785" operator="greaterThan">
      <formula>$D73</formula>
    </cfRule>
    <cfRule type="cellIs" dxfId="2113" priority="786" operator="lessThanOrEqual">
      <formula>$D73</formula>
    </cfRule>
  </conditionalFormatting>
  <conditionalFormatting sqref="F75:F76 H76 J76 L76 N76 P76">
    <cfRule type="cellIs" dxfId="2112" priority="783" operator="greaterThan">
      <formula>$D75</formula>
    </cfRule>
    <cfRule type="cellIs" dxfId="2111" priority="784" operator="lessThanOrEqual">
      <formula>$D75</formula>
    </cfRule>
  </conditionalFormatting>
  <conditionalFormatting sqref="G46">
    <cfRule type="cellIs" dxfId="2110" priority="781" operator="greaterThan">
      <formula>$D46</formula>
    </cfRule>
    <cfRule type="cellIs" dxfId="2109" priority="782" operator="lessThanOrEqual">
      <formula>$D46</formula>
    </cfRule>
  </conditionalFormatting>
  <conditionalFormatting sqref="G47">
    <cfRule type="cellIs" dxfId="2108" priority="779" operator="greaterThan">
      <formula>$D47</formula>
    </cfRule>
    <cfRule type="cellIs" dxfId="2107" priority="780" operator="lessThanOrEqual">
      <formula>$D47</formula>
    </cfRule>
  </conditionalFormatting>
  <conditionalFormatting sqref="G48">
    <cfRule type="cellIs" dxfId="2106" priority="777" operator="greaterThan">
      <formula>$D48</formula>
    </cfRule>
    <cfRule type="cellIs" dxfId="2105" priority="778" operator="lessThanOrEqual">
      <formula>$D48</formula>
    </cfRule>
  </conditionalFormatting>
  <conditionalFormatting sqref="G49">
    <cfRule type="cellIs" dxfId="2104" priority="775" operator="greaterThan">
      <formula>$D49</formula>
    </cfRule>
    <cfRule type="cellIs" dxfId="2103" priority="776" operator="lessThanOrEqual">
      <formula>$D49</formula>
    </cfRule>
  </conditionalFormatting>
  <conditionalFormatting sqref="G50">
    <cfRule type="cellIs" dxfId="2102" priority="773" operator="greaterThan">
      <formula>$D50</formula>
    </cfRule>
    <cfRule type="cellIs" dxfId="2101" priority="774" operator="lessThanOrEqual">
      <formula>$D50</formula>
    </cfRule>
  </conditionalFormatting>
  <conditionalFormatting sqref="G51">
    <cfRule type="cellIs" dxfId="2100" priority="771" operator="greaterThan">
      <formula>$D51</formula>
    </cfRule>
    <cfRule type="cellIs" dxfId="2099" priority="772" operator="lessThanOrEqual">
      <formula>$D51</formula>
    </cfRule>
  </conditionalFormatting>
  <conditionalFormatting sqref="G52">
    <cfRule type="cellIs" dxfId="2098" priority="769" operator="greaterThan">
      <formula>$D52</formula>
    </cfRule>
    <cfRule type="cellIs" dxfId="2097" priority="770" operator="lessThanOrEqual">
      <formula>$D52</formula>
    </cfRule>
  </conditionalFormatting>
  <conditionalFormatting sqref="G53">
    <cfRule type="cellIs" dxfId="2096" priority="767" operator="greaterThan">
      <formula>$D53</formula>
    </cfRule>
    <cfRule type="cellIs" dxfId="2095" priority="768" operator="lessThanOrEqual">
      <formula>$D53</formula>
    </cfRule>
  </conditionalFormatting>
  <conditionalFormatting sqref="G56">
    <cfRule type="cellIs" dxfId="2094" priority="763" operator="greaterThan">
      <formula>$D56</formula>
    </cfRule>
    <cfRule type="cellIs" dxfId="2093" priority="764" operator="lessThanOrEqual">
      <formula>$D56</formula>
    </cfRule>
  </conditionalFormatting>
  <conditionalFormatting sqref="G57">
    <cfRule type="cellIs" dxfId="2092" priority="761" operator="greaterThan">
      <formula>$D57</formula>
    </cfRule>
    <cfRule type="cellIs" dxfId="2091" priority="762" operator="lessThanOrEqual">
      <formula>$D57</formula>
    </cfRule>
  </conditionalFormatting>
  <conditionalFormatting sqref="G58">
    <cfRule type="cellIs" dxfId="2090" priority="759" operator="greaterThan">
      <formula>$D58</formula>
    </cfRule>
    <cfRule type="cellIs" dxfId="2089" priority="760" operator="lessThanOrEqual">
      <formula>$D58</formula>
    </cfRule>
  </conditionalFormatting>
  <conditionalFormatting sqref="G59">
    <cfRule type="cellIs" dxfId="2088" priority="757" operator="greaterThan">
      <formula>$D59</formula>
    </cfRule>
    <cfRule type="cellIs" dxfId="2087" priority="758" operator="lessThanOrEqual">
      <formula>$D59</formula>
    </cfRule>
  </conditionalFormatting>
  <conditionalFormatting sqref="G60">
    <cfRule type="cellIs" dxfId="2086" priority="755" operator="greaterThan">
      <formula>$D60</formula>
    </cfRule>
    <cfRule type="cellIs" dxfId="2085" priority="756" operator="lessThanOrEqual">
      <formula>$D60</formula>
    </cfRule>
  </conditionalFormatting>
  <conditionalFormatting sqref="G61">
    <cfRule type="cellIs" dxfId="2084" priority="753" operator="greaterThan">
      <formula>$D61</formula>
    </cfRule>
    <cfRule type="cellIs" dxfId="2083" priority="754" operator="lessThanOrEqual">
      <formula>$D61</formula>
    </cfRule>
  </conditionalFormatting>
  <conditionalFormatting sqref="G62">
    <cfRule type="cellIs" dxfId="2082" priority="751" operator="greaterThan">
      <formula>$D62</formula>
    </cfRule>
    <cfRule type="cellIs" dxfId="2081" priority="752" operator="lessThanOrEqual">
      <formula>$D62</formula>
    </cfRule>
  </conditionalFormatting>
  <conditionalFormatting sqref="G63">
    <cfRule type="cellIs" dxfId="2080" priority="749" operator="greaterThan">
      <formula>$D63</formula>
    </cfRule>
    <cfRule type="cellIs" dxfId="2079" priority="750" operator="lessThanOrEqual">
      <formula>$D63</formula>
    </cfRule>
  </conditionalFormatting>
  <conditionalFormatting sqref="G64">
    <cfRule type="cellIs" dxfId="2078" priority="747" operator="greaterThan">
      <formula>$D64</formula>
    </cfRule>
    <cfRule type="cellIs" dxfId="2077" priority="748" operator="lessThanOrEqual">
      <formula>$D64</formula>
    </cfRule>
  </conditionalFormatting>
  <conditionalFormatting sqref="G65">
    <cfRule type="cellIs" dxfId="2076" priority="745" operator="greaterThan">
      <formula>$D65</formula>
    </cfRule>
    <cfRule type="cellIs" dxfId="2075" priority="746" operator="lessThanOrEqual">
      <formula>$D65</formula>
    </cfRule>
  </conditionalFormatting>
  <conditionalFormatting sqref="G66">
    <cfRule type="cellIs" dxfId="2074" priority="743" operator="greaterThan">
      <formula>$D66</formula>
    </cfRule>
    <cfRule type="cellIs" dxfId="2073" priority="744" operator="lessThanOrEqual">
      <formula>$D66</formula>
    </cfRule>
  </conditionalFormatting>
  <conditionalFormatting sqref="G67">
    <cfRule type="cellIs" dxfId="2072" priority="741" operator="greaterThan">
      <formula>$D67</formula>
    </cfRule>
    <cfRule type="cellIs" dxfId="2071" priority="742" operator="lessThanOrEqual">
      <formula>$D67</formula>
    </cfRule>
  </conditionalFormatting>
  <conditionalFormatting sqref="G68">
    <cfRule type="cellIs" dxfId="2070" priority="739" operator="greaterThan">
      <formula>$D68</formula>
    </cfRule>
    <cfRule type="cellIs" dxfId="2069" priority="740" operator="lessThanOrEqual">
      <formula>$D68</formula>
    </cfRule>
  </conditionalFormatting>
  <conditionalFormatting sqref="G69">
    <cfRule type="cellIs" dxfId="2068" priority="737" operator="greaterThan">
      <formula>$D69</formula>
    </cfRule>
    <cfRule type="cellIs" dxfId="2067" priority="738" operator="lessThanOrEqual">
      <formula>$D69</formula>
    </cfRule>
  </conditionalFormatting>
  <conditionalFormatting sqref="G70">
    <cfRule type="cellIs" dxfId="2066" priority="735" operator="greaterThan">
      <formula>$D70</formula>
    </cfRule>
    <cfRule type="cellIs" dxfId="2065" priority="736" operator="lessThanOrEqual">
      <formula>$D70</formula>
    </cfRule>
  </conditionalFormatting>
  <conditionalFormatting sqref="G71">
    <cfRule type="cellIs" dxfId="2064" priority="733" operator="greaterThan">
      <formula>$D71</formula>
    </cfRule>
    <cfRule type="cellIs" dxfId="2063" priority="734" operator="lessThanOrEqual">
      <formula>$D71</formula>
    </cfRule>
  </conditionalFormatting>
  <conditionalFormatting sqref="G72">
    <cfRule type="cellIs" dxfId="2062" priority="731" operator="greaterThan">
      <formula>$D72</formula>
    </cfRule>
    <cfRule type="cellIs" dxfId="2061" priority="732" operator="lessThanOrEqual">
      <formula>$D72</formula>
    </cfRule>
  </conditionalFormatting>
  <conditionalFormatting sqref="G73:G74">
    <cfRule type="cellIs" dxfId="2060" priority="729" operator="greaterThan">
      <formula>$D73</formula>
    </cfRule>
    <cfRule type="cellIs" dxfId="2059" priority="730" operator="lessThanOrEqual">
      <formula>$D73</formula>
    </cfRule>
  </conditionalFormatting>
  <conditionalFormatting sqref="G75">
    <cfRule type="cellIs" dxfId="2058" priority="727" operator="greaterThan">
      <formula>$D75</formula>
    </cfRule>
    <cfRule type="cellIs" dxfId="2057" priority="728" operator="lessThanOrEqual">
      <formula>$D75</formula>
    </cfRule>
  </conditionalFormatting>
  <conditionalFormatting sqref="H46">
    <cfRule type="cellIs" dxfId="2056" priority="725" operator="greaterThan">
      <formula>$D46</formula>
    </cfRule>
    <cfRule type="cellIs" dxfId="2055" priority="726" operator="lessThanOrEqual">
      <formula>$D46</formula>
    </cfRule>
  </conditionalFormatting>
  <conditionalFormatting sqref="H47">
    <cfRule type="cellIs" dxfId="2054" priority="723" operator="greaterThan">
      <formula>$D47</formula>
    </cfRule>
    <cfRule type="cellIs" dxfId="2053" priority="724" operator="lessThanOrEqual">
      <formula>$D47</formula>
    </cfRule>
  </conditionalFormatting>
  <conditionalFormatting sqref="H48">
    <cfRule type="cellIs" dxfId="2052" priority="721" operator="greaterThan">
      <formula>$D48</formula>
    </cfRule>
    <cfRule type="cellIs" dxfId="2051" priority="722" operator="lessThanOrEqual">
      <formula>$D48</formula>
    </cfRule>
  </conditionalFormatting>
  <conditionalFormatting sqref="H49">
    <cfRule type="cellIs" dxfId="2050" priority="719" operator="greaterThan">
      <formula>$D49</formula>
    </cfRule>
    <cfRule type="cellIs" dxfId="2049" priority="720" operator="lessThanOrEqual">
      <formula>$D49</formula>
    </cfRule>
  </conditionalFormatting>
  <conditionalFormatting sqref="H50">
    <cfRule type="cellIs" dxfId="2048" priority="717" operator="greaterThan">
      <formula>$D50</formula>
    </cfRule>
    <cfRule type="cellIs" dxfId="2047" priority="718" operator="lessThanOrEqual">
      <formula>$D50</formula>
    </cfRule>
  </conditionalFormatting>
  <conditionalFormatting sqref="H51">
    <cfRule type="cellIs" dxfId="2046" priority="715" operator="greaterThan">
      <formula>$D51</formula>
    </cfRule>
    <cfRule type="cellIs" dxfId="2045" priority="716" operator="lessThanOrEqual">
      <formula>$D51</formula>
    </cfRule>
  </conditionalFormatting>
  <conditionalFormatting sqref="H52">
    <cfRule type="cellIs" dxfId="2044" priority="713" operator="greaterThan">
      <formula>$D52</formula>
    </cfRule>
    <cfRule type="cellIs" dxfId="2043" priority="714" operator="lessThanOrEqual">
      <formula>$D52</formula>
    </cfRule>
  </conditionalFormatting>
  <conditionalFormatting sqref="H53">
    <cfRule type="cellIs" dxfId="2042" priority="711" operator="greaterThan">
      <formula>$D53</formula>
    </cfRule>
    <cfRule type="cellIs" dxfId="2041" priority="712" operator="lessThanOrEqual">
      <formula>$D53</formula>
    </cfRule>
  </conditionalFormatting>
  <conditionalFormatting sqref="H56">
    <cfRule type="cellIs" dxfId="2040" priority="707" operator="greaterThan">
      <formula>$D56</formula>
    </cfRule>
    <cfRule type="cellIs" dxfId="2039" priority="708" operator="lessThanOrEqual">
      <formula>$D56</formula>
    </cfRule>
  </conditionalFormatting>
  <conditionalFormatting sqref="H57">
    <cfRule type="cellIs" dxfId="2038" priority="705" operator="greaterThan">
      <formula>$D57</formula>
    </cfRule>
    <cfRule type="cellIs" dxfId="2037" priority="706" operator="lessThanOrEqual">
      <formula>$D57</formula>
    </cfRule>
  </conditionalFormatting>
  <conditionalFormatting sqref="H58">
    <cfRule type="cellIs" dxfId="2036" priority="703" operator="greaterThan">
      <formula>$D58</formula>
    </cfRule>
    <cfRule type="cellIs" dxfId="2035" priority="704" operator="lessThanOrEqual">
      <formula>$D58</formula>
    </cfRule>
  </conditionalFormatting>
  <conditionalFormatting sqref="H59">
    <cfRule type="cellIs" dxfId="2034" priority="701" operator="greaterThan">
      <formula>$D59</formula>
    </cfRule>
    <cfRule type="cellIs" dxfId="2033" priority="702" operator="lessThanOrEqual">
      <formula>$D59</formula>
    </cfRule>
  </conditionalFormatting>
  <conditionalFormatting sqref="H60">
    <cfRule type="cellIs" dxfId="2032" priority="699" operator="greaterThan">
      <formula>$D60</formula>
    </cfRule>
    <cfRule type="cellIs" dxfId="2031" priority="700" operator="lessThanOrEqual">
      <formula>$D60</formula>
    </cfRule>
  </conditionalFormatting>
  <conditionalFormatting sqref="H61">
    <cfRule type="cellIs" dxfId="2030" priority="697" operator="greaterThan">
      <formula>$D61</formula>
    </cfRule>
    <cfRule type="cellIs" dxfId="2029" priority="698" operator="lessThanOrEqual">
      <formula>$D61</formula>
    </cfRule>
  </conditionalFormatting>
  <conditionalFormatting sqref="H62">
    <cfRule type="cellIs" dxfId="2028" priority="695" operator="greaterThan">
      <formula>$D62</formula>
    </cfRule>
    <cfRule type="cellIs" dxfId="2027" priority="696" operator="lessThanOrEqual">
      <formula>$D62</formula>
    </cfRule>
  </conditionalFormatting>
  <conditionalFormatting sqref="H63">
    <cfRule type="cellIs" dxfId="2026" priority="693" operator="greaterThan">
      <formula>$D63</formula>
    </cfRule>
    <cfRule type="cellIs" dxfId="2025" priority="694" operator="lessThanOrEqual">
      <formula>$D63</formula>
    </cfRule>
  </conditionalFormatting>
  <conditionalFormatting sqref="H64">
    <cfRule type="cellIs" dxfId="2024" priority="691" operator="greaterThan">
      <formula>$D64</formula>
    </cfRule>
    <cfRule type="cellIs" dxfId="2023" priority="692" operator="lessThanOrEqual">
      <formula>$D64</formula>
    </cfRule>
  </conditionalFormatting>
  <conditionalFormatting sqref="H65">
    <cfRule type="cellIs" dxfId="2022" priority="689" operator="greaterThan">
      <formula>$D65</formula>
    </cfRule>
    <cfRule type="cellIs" dxfId="2021" priority="690" operator="lessThanOrEqual">
      <formula>$D65</formula>
    </cfRule>
  </conditionalFormatting>
  <conditionalFormatting sqref="H66">
    <cfRule type="cellIs" dxfId="2020" priority="687" operator="greaterThan">
      <formula>$D66</formula>
    </cfRule>
    <cfRule type="cellIs" dxfId="2019" priority="688" operator="lessThanOrEqual">
      <formula>$D66</formula>
    </cfRule>
  </conditionalFormatting>
  <conditionalFormatting sqref="H67">
    <cfRule type="cellIs" dxfId="2018" priority="685" operator="greaterThan">
      <formula>$D67</formula>
    </cfRule>
    <cfRule type="cellIs" dxfId="2017" priority="686" operator="lessThanOrEqual">
      <formula>$D67</formula>
    </cfRule>
  </conditionalFormatting>
  <conditionalFormatting sqref="H68">
    <cfRule type="cellIs" dxfId="2016" priority="683" operator="greaterThan">
      <formula>$D68</formula>
    </cfRule>
    <cfRule type="cellIs" dxfId="2015" priority="684" operator="lessThanOrEqual">
      <formula>$D68</formula>
    </cfRule>
  </conditionalFormatting>
  <conditionalFormatting sqref="H69">
    <cfRule type="cellIs" dxfId="2014" priority="681" operator="greaterThan">
      <formula>$D69</formula>
    </cfRule>
    <cfRule type="cellIs" dxfId="2013" priority="682" operator="lessThanOrEqual">
      <formula>$D69</formula>
    </cfRule>
  </conditionalFormatting>
  <conditionalFormatting sqref="H70">
    <cfRule type="cellIs" dxfId="2012" priority="679" operator="greaterThan">
      <formula>$D70</formula>
    </cfRule>
    <cfRule type="cellIs" dxfId="2011" priority="680" operator="lessThanOrEqual">
      <formula>$D70</formula>
    </cfRule>
  </conditionalFormatting>
  <conditionalFormatting sqref="H71">
    <cfRule type="cellIs" dxfId="2010" priority="677" operator="greaterThan">
      <formula>$D71</formula>
    </cfRule>
    <cfRule type="cellIs" dxfId="2009" priority="678" operator="lessThanOrEqual">
      <formula>$D71</formula>
    </cfRule>
  </conditionalFormatting>
  <conditionalFormatting sqref="H72">
    <cfRule type="cellIs" dxfId="2008" priority="675" operator="greaterThan">
      <formula>$D72</formula>
    </cfRule>
    <cfRule type="cellIs" dxfId="2007" priority="676" operator="lessThanOrEqual">
      <formula>$D72</formula>
    </cfRule>
  </conditionalFormatting>
  <conditionalFormatting sqref="H73:H74">
    <cfRule type="cellIs" dxfId="2006" priority="673" operator="greaterThan">
      <formula>$D73</formula>
    </cfRule>
    <cfRule type="cellIs" dxfId="2005" priority="674" operator="lessThanOrEqual">
      <formula>$D73</formula>
    </cfRule>
  </conditionalFormatting>
  <conditionalFormatting sqref="H75">
    <cfRule type="cellIs" dxfId="2004" priority="671" operator="greaterThan">
      <formula>$D75</formula>
    </cfRule>
    <cfRule type="cellIs" dxfId="2003" priority="672" operator="lessThanOrEqual">
      <formula>$D75</formula>
    </cfRule>
  </conditionalFormatting>
  <conditionalFormatting sqref="I46">
    <cfRule type="cellIs" dxfId="2002" priority="669" operator="greaterThan">
      <formula>$D46</formula>
    </cfRule>
    <cfRule type="cellIs" dxfId="2001" priority="670" operator="lessThanOrEqual">
      <formula>$D46</formula>
    </cfRule>
  </conditionalFormatting>
  <conditionalFormatting sqref="I47">
    <cfRule type="cellIs" dxfId="2000" priority="667" operator="greaterThan">
      <formula>$D47</formula>
    </cfRule>
    <cfRule type="cellIs" dxfId="1999" priority="668" operator="lessThanOrEqual">
      <formula>$D47</formula>
    </cfRule>
  </conditionalFormatting>
  <conditionalFormatting sqref="I48">
    <cfRule type="cellIs" dxfId="1998" priority="665" operator="greaterThan">
      <formula>$D48</formula>
    </cfRule>
    <cfRule type="cellIs" dxfId="1997" priority="666" operator="lessThanOrEqual">
      <formula>$D48</formula>
    </cfRule>
  </conditionalFormatting>
  <conditionalFormatting sqref="I49">
    <cfRule type="cellIs" dxfId="1996" priority="663" operator="greaterThan">
      <formula>$D49</formula>
    </cfRule>
    <cfRule type="cellIs" dxfId="1995" priority="664" operator="lessThanOrEqual">
      <formula>$D49</formula>
    </cfRule>
  </conditionalFormatting>
  <conditionalFormatting sqref="I50">
    <cfRule type="cellIs" dxfId="1994" priority="661" operator="greaterThan">
      <formula>$D50</formula>
    </cfRule>
    <cfRule type="cellIs" dxfId="1993" priority="662" operator="lessThanOrEqual">
      <formula>$D50</formula>
    </cfRule>
  </conditionalFormatting>
  <conditionalFormatting sqref="I51">
    <cfRule type="cellIs" dxfId="1992" priority="659" operator="greaterThan">
      <formula>$D51</formula>
    </cfRule>
    <cfRule type="cellIs" dxfId="1991" priority="660" operator="lessThanOrEqual">
      <formula>$D51</formula>
    </cfRule>
  </conditionalFormatting>
  <conditionalFormatting sqref="I52">
    <cfRule type="cellIs" dxfId="1990" priority="657" operator="greaterThan">
      <formula>$D52</formula>
    </cfRule>
    <cfRule type="cellIs" dxfId="1989" priority="658" operator="lessThanOrEqual">
      <formula>$D52</formula>
    </cfRule>
  </conditionalFormatting>
  <conditionalFormatting sqref="I53">
    <cfRule type="cellIs" dxfId="1988" priority="655" operator="greaterThan">
      <formula>$D53</formula>
    </cfRule>
    <cfRule type="cellIs" dxfId="1987" priority="656" operator="lessThanOrEqual">
      <formula>$D53</formula>
    </cfRule>
  </conditionalFormatting>
  <conditionalFormatting sqref="I56">
    <cfRule type="cellIs" dxfId="1986" priority="651" operator="greaterThan">
      <formula>$D56</formula>
    </cfRule>
    <cfRule type="cellIs" dxfId="1985" priority="652" operator="lessThanOrEqual">
      <formula>$D56</formula>
    </cfRule>
  </conditionalFormatting>
  <conditionalFormatting sqref="I57">
    <cfRule type="cellIs" dxfId="1984" priority="649" operator="greaterThan">
      <formula>$D57</formula>
    </cfRule>
    <cfRule type="cellIs" dxfId="1983" priority="650" operator="lessThanOrEqual">
      <formula>$D57</formula>
    </cfRule>
  </conditionalFormatting>
  <conditionalFormatting sqref="I58">
    <cfRule type="cellIs" dxfId="1982" priority="647" operator="greaterThan">
      <formula>$D58</formula>
    </cfRule>
    <cfRule type="cellIs" dxfId="1981" priority="648" operator="lessThanOrEqual">
      <formula>$D58</formula>
    </cfRule>
  </conditionalFormatting>
  <conditionalFormatting sqref="I59">
    <cfRule type="cellIs" dxfId="1980" priority="645" operator="greaterThan">
      <formula>$D59</formula>
    </cfRule>
    <cfRule type="cellIs" dxfId="1979" priority="646" operator="lessThanOrEqual">
      <formula>$D59</formula>
    </cfRule>
  </conditionalFormatting>
  <conditionalFormatting sqref="I60">
    <cfRule type="cellIs" dxfId="1978" priority="643" operator="greaterThan">
      <formula>$D60</formula>
    </cfRule>
    <cfRule type="cellIs" dxfId="1977" priority="644" operator="lessThanOrEqual">
      <formula>$D60</formula>
    </cfRule>
  </conditionalFormatting>
  <conditionalFormatting sqref="I61">
    <cfRule type="cellIs" dxfId="1976" priority="641" operator="greaterThan">
      <formula>$D61</formula>
    </cfRule>
    <cfRule type="cellIs" dxfId="1975" priority="642" operator="lessThanOrEqual">
      <formula>$D61</formula>
    </cfRule>
  </conditionalFormatting>
  <conditionalFormatting sqref="I62">
    <cfRule type="cellIs" dxfId="1974" priority="639" operator="greaterThan">
      <formula>$D62</formula>
    </cfRule>
    <cfRule type="cellIs" dxfId="1973" priority="640" operator="lessThanOrEqual">
      <formula>$D62</formula>
    </cfRule>
  </conditionalFormatting>
  <conditionalFormatting sqref="I63">
    <cfRule type="cellIs" dxfId="1972" priority="637" operator="greaterThan">
      <formula>$D63</formula>
    </cfRule>
    <cfRule type="cellIs" dxfId="1971" priority="638" operator="lessThanOrEqual">
      <formula>$D63</formula>
    </cfRule>
  </conditionalFormatting>
  <conditionalFormatting sqref="I64">
    <cfRule type="cellIs" dxfId="1970" priority="635" operator="greaterThan">
      <formula>$D64</formula>
    </cfRule>
    <cfRule type="cellIs" dxfId="1969" priority="636" operator="lessThanOrEqual">
      <formula>$D64</formula>
    </cfRule>
  </conditionalFormatting>
  <conditionalFormatting sqref="I65">
    <cfRule type="cellIs" dxfId="1968" priority="633" operator="greaterThan">
      <formula>$D65</formula>
    </cfRule>
    <cfRule type="cellIs" dxfId="1967" priority="634" operator="lessThanOrEqual">
      <formula>$D65</formula>
    </cfRule>
  </conditionalFormatting>
  <conditionalFormatting sqref="I66">
    <cfRule type="cellIs" dxfId="1966" priority="631" operator="greaterThan">
      <formula>$D66</formula>
    </cfRule>
    <cfRule type="cellIs" dxfId="1965" priority="632" operator="lessThanOrEqual">
      <formula>$D66</formula>
    </cfRule>
  </conditionalFormatting>
  <conditionalFormatting sqref="I67">
    <cfRule type="cellIs" dxfId="1964" priority="629" operator="greaterThan">
      <formula>$D67</formula>
    </cfRule>
    <cfRule type="cellIs" dxfId="1963" priority="630" operator="lessThanOrEqual">
      <formula>$D67</formula>
    </cfRule>
  </conditionalFormatting>
  <conditionalFormatting sqref="I68">
    <cfRule type="cellIs" dxfId="1962" priority="627" operator="greaterThan">
      <formula>$D68</formula>
    </cfRule>
    <cfRule type="cellIs" dxfId="1961" priority="628" operator="lessThanOrEqual">
      <formula>$D68</formula>
    </cfRule>
  </conditionalFormatting>
  <conditionalFormatting sqref="I69">
    <cfRule type="cellIs" dxfId="1960" priority="625" operator="greaterThan">
      <formula>$D69</formula>
    </cfRule>
    <cfRule type="cellIs" dxfId="1959" priority="626" operator="lessThanOrEqual">
      <formula>$D69</formula>
    </cfRule>
  </conditionalFormatting>
  <conditionalFormatting sqref="I70">
    <cfRule type="cellIs" dxfId="1958" priority="623" operator="greaterThan">
      <formula>$D70</formula>
    </cfRule>
    <cfRule type="cellIs" dxfId="1957" priority="624" operator="lessThanOrEqual">
      <formula>$D70</formula>
    </cfRule>
  </conditionalFormatting>
  <conditionalFormatting sqref="I71">
    <cfRule type="cellIs" dxfId="1956" priority="621" operator="greaterThan">
      <formula>$D71</formula>
    </cfRule>
    <cfRule type="cellIs" dxfId="1955" priority="622" operator="lessThanOrEqual">
      <formula>$D71</formula>
    </cfRule>
  </conditionalFormatting>
  <conditionalFormatting sqref="I72">
    <cfRule type="cellIs" dxfId="1954" priority="619" operator="greaterThan">
      <formula>$D72</formula>
    </cfRule>
    <cfRule type="cellIs" dxfId="1953" priority="620" operator="lessThanOrEqual">
      <formula>$D72</formula>
    </cfRule>
  </conditionalFormatting>
  <conditionalFormatting sqref="I73:I74">
    <cfRule type="cellIs" dxfId="1952" priority="617" operator="greaterThan">
      <formula>$D73</formula>
    </cfRule>
    <cfRule type="cellIs" dxfId="1951" priority="618" operator="lessThanOrEqual">
      <formula>$D73</formula>
    </cfRule>
  </conditionalFormatting>
  <conditionalFormatting sqref="I75">
    <cfRule type="cellIs" dxfId="1950" priority="615" operator="greaterThan">
      <formula>$D75</formula>
    </cfRule>
    <cfRule type="cellIs" dxfId="1949" priority="616" operator="lessThanOrEqual">
      <formula>$D75</formula>
    </cfRule>
  </conditionalFormatting>
  <conditionalFormatting sqref="J46">
    <cfRule type="cellIs" dxfId="1948" priority="613" operator="greaterThan">
      <formula>$D46</formula>
    </cfRule>
    <cfRule type="cellIs" dxfId="1947" priority="614" operator="lessThanOrEqual">
      <formula>$D46</formula>
    </cfRule>
  </conditionalFormatting>
  <conditionalFormatting sqref="J47">
    <cfRule type="cellIs" dxfId="1946" priority="611" operator="greaterThan">
      <formula>$D47</formula>
    </cfRule>
    <cfRule type="cellIs" dxfId="1945" priority="612" operator="lessThanOrEqual">
      <formula>$D47</formula>
    </cfRule>
  </conditionalFormatting>
  <conditionalFormatting sqref="J48">
    <cfRule type="cellIs" dxfId="1944" priority="609" operator="greaterThan">
      <formula>$D48</formula>
    </cfRule>
    <cfRule type="cellIs" dxfId="1943" priority="610" operator="lessThanOrEqual">
      <formula>$D48</formula>
    </cfRule>
  </conditionalFormatting>
  <conditionalFormatting sqref="J49">
    <cfRule type="cellIs" dxfId="1942" priority="607" operator="greaterThan">
      <formula>$D49</formula>
    </cfRule>
    <cfRule type="cellIs" dxfId="1941" priority="608" operator="lessThanOrEqual">
      <formula>$D49</formula>
    </cfRule>
  </conditionalFormatting>
  <conditionalFormatting sqref="J50">
    <cfRule type="cellIs" dxfId="1940" priority="605" operator="greaterThan">
      <formula>$D50</formula>
    </cfRule>
    <cfRule type="cellIs" dxfId="1939" priority="606" operator="lessThanOrEqual">
      <formula>$D50</formula>
    </cfRule>
  </conditionalFormatting>
  <conditionalFormatting sqref="J51">
    <cfRule type="cellIs" dxfId="1938" priority="603" operator="greaterThan">
      <formula>$D51</formula>
    </cfRule>
    <cfRule type="cellIs" dxfId="1937" priority="604" operator="lessThanOrEqual">
      <formula>$D51</formula>
    </cfRule>
  </conditionalFormatting>
  <conditionalFormatting sqref="J52">
    <cfRule type="cellIs" dxfId="1936" priority="601" operator="greaterThan">
      <formula>$D52</formula>
    </cfRule>
    <cfRule type="cellIs" dxfId="1935" priority="602" operator="lessThanOrEqual">
      <formula>$D52</formula>
    </cfRule>
  </conditionalFormatting>
  <conditionalFormatting sqref="J53">
    <cfRule type="cellIs" dxfId="1934" priority="599" operator="greaterThan">
      <formula>$D53</formula>
    </cfRule>
    <cfRule type="cellIs" dxfId="1933" priority="600" operator="lessThanOrEqual">
      <formula>$D53</formula>
    </cfRule>
  </conditionalFormatting>
  <conditionalFormatting sqref="J56">
    <cfRule type="cellIs" dxfId="1932" priority="595" operator="greaterThan">
      <formula>$D56</formula>
    </cfRule>
    <cfRule type="cellIs" dxfId="1931" priority="596" operator="lessThanOrEqual">
      <formula>$D56</formula>
    </cfRule>
  </conditionalFormatting>
  <conditionalFormatting sqref="J57">
    <cfRule type="cellIs" dxfId="1930" priority="593" operator="greaterThan">
      <formula>$D57</formula>
    </cfRule>
    <cfRule type="cellIs" dxfId="1929" priority="594" operator="lessThanOrEqual">
      <formula>$D57</formula>
    </cfRule>
  </conditionalFormatting>
  <conditionalFormatting sqref="J58">
    <cfRule type="cellIs" dxfId="1928" priority="591" operator="greaterThan">
      <formula>$D58</formula>
    </cfRule>
    <cfRule type="cellIs" dxfId="1927" priority="592" operator="lessThanOrEqual">
      <formula>$D58</formula>
    </cfRule>
  </conditionalFormatting>
  <conditionalFormatting sqref="J59">
    <cfRule type="cellIs" dxfId="1926" priority="589" operator="greaterThan">
      <formula>$D59</formula>
    </cfRule>
    <cfRule type="cellIs" dxfId="1925" priority="590" operator="lessThanOrEqual">
      <formula>$D59</formula>
    </cfRule>
  </conditionalFormatting>
  <conditionalFormatting sqref="J60">
    <cfRule type="cellIs" dxfId="1924" priority="587" operator="greaterThan">
      <formula>$D60</formula>
    </cfRule>
    <cfRule type="cellIs" dxfId="1923" priority="588" operator="lessThanOrEqual">
      <formula>$D60</formula>
    </cfRule>
  </conditionalFormatting>
  <conditionalFormatting sqref="J61">
    <cfRule type="cellIs" dxfId="1922" priority="585" operator="greaterThan">
      <formula>$D61</formula>
    </cfRule>
    <cfRule type="cellIs" dxfId="1921" priority="586" operator="lessThanOrEqual">
      <formula>$D61</formula>
    </cfRule>
  </conditionalFormatting>
  <conditionalFormatting sqref="J62">
    <cfRule type="cellIs" dxfId="1920" priority="583" operator="greaterThan">
      <formula>$D62</formula>
    </cfRule>
    <cfRule type="cellIs" dxfId="1919" priority="584" operator="lessThanOrEqual">
      <formula>$D62</formula>
    </cfRule>
  </conditionalFormatting>
  <conditionalFormatting sqref="J63">
    <cfRule type="cellIs" dxfId="1918" priority="581" operator="greaterThan">
      <formula>$D63</formula>
    </cfRule>
    <cfRule type="cellIs" dxfId="1917" priority="582" operator="lessThanOrEqual">
      <formula>$D63</formula>
    </cfRule>
  </conditionalFormatting>
  <conditionalFormatting sqref="J64">
    <cfRule type="cellIs" dxfId="1916" priority="579" operator="greaterThan">
      <formula>$D64</formula>
    </cfRule>
    <cfRule type="cellIs" dxfId="1915" priority="580" operator="lessThanOrEqual">
      <formula>$D64</formula>
    </cfRule>
  </conditionalFormatting>
  <conditionalFormatting sqref="J65">
    <cfRule type="cellIs" dxfId="1914" priority="577" operator="greaterThan">
      <formula>$D65</formula>
    </cfRule>
    <cfRule type="cellIs" dxfId="1913" priority="578" operator="lessThanOrEqual">
      <formula>$D65</formula>
    </cfRule>
  </conditionalFormatting>
  <conditionalFormatting sqref="J66">
    <cfRule type="cellIs" dxfId="1912" priority="575" operator="greaterThan">
      <formula>$D66</formula>
    </cfRule>
    <cfRule type="cellIs" dxfId="1911" priority="576" operator="lessThanOrEqual">
      <formula>$D66</formula>
    </cfRule>
  </conditionalFormatting>
  <conditionalFormatting sqref="J67">
    <cfRule type="cellIs" dxfId="1910" priority="573" operator="greaterThan">
      <formula>$D67</formula>
    </cfRule>
    <cfRule type="cellIs" dxfId="1909" priority="574" operator="lessThanOrEqual">
      <formula>$D67</formula>
    </cfRule>
  </conditionalFormatting>
  <conditionalFormatting sqref="J68">
    <cfRule type="cellIs" dxfId="1908" priority="571" operator="greaterThan">
      <formula>$D68</formula>
    </cfRule>
    <cfRule type="cellIs" dxfId="1907" priority="572" operator="lessThanOrEqual">
      <formula>$D68</formula>
    </cfRule>
  </conditionalFormatting>
  <conditionalFormatting sqref="J69">
    <cfRule type="cellIs" dxfId="1906" priority="569" operator="greaterThan">
      <formula>$D69</formula>
    </cfRule>
    <cfRule type="cellIs" dxfId="1905" priority="570" operator="lessThanOrEqual">
      <formula>$D69</formula>
    </cfRule>
  </conditionalFormatting>
  <conditionalFormatting sqref="J70">
    <cfRule type="cellIs" dxfId="1904" priority="567" operator="greaterThan">
      <formula>$D70</formula>
    </cfRule>
    <cfRule type="cellIs" dxfId="1903" priority="568" operator="lessThanOrEqual">
      <formula>$D70</formula>
    </cfRule>
  </conditionalFormatting>
  <conditionalFormatting sqref="J71">
    <cfRule type="cellIs" dxfId="1902" priority="565" operator="greaterThan">
      <formula>$D71</formula>
    </cfRule>
    <cfRule type="cellIs" dxfId="1901" priority="566" operator="lessThanOrEqual">
      <formula>$D71</formula>
    </cfRule>
  </conditionalFormatting>
  <conditionalFormatting sqref="J72">
    <cfRule type="cellIs" dxfId="1900" priority="563" operator="greaterThan">
      <formula>$D72</formula>
    </cfRule>
    <cfRule type="cellIs" dxfId="1899" priority="564" operator="lessThanOrEqual">
      <formula>$D72</formula>
    </cfRule>
  </conditionalFormatting>
  <conditionalFormatting sqref="J73:J74">
    <cfRule type="cellIs" dxfId="1898" priority="561" operator="greaterThan">
      <formula>$D73</formula>
    </cfRule>
    <cfRule type="cellIs" dxfId="1897" priority="562" operator="lessThanOrEqual">
      <formula>$D73</formula>
    </cfRule>
  </conditionalFormatting>
  <conditionalFormatting sqref="J75">
    <cfRule type="cellIs" dxfId="1896" priority="559" operator="greaterThan">
      <formula>$D75</formula>
    </cfRule>
    <cfRule type="cellIs" dxfId="1895" priority="560" operator="lessThanOrEqual">
      <formula>$D75</formula>
    </cfRule>
  </conditionalFormatting>
  <conditionalFormatting sqref="K46">
    <cfRule type="cellIs" dxfId="1894" priority="557" operator="greaterThan">
      <formula>$D46</formula>
    </cfRule>
    <cfRule type="cellIs" dxfId="1893" priority="558" operator="lessThanOrEqual">
      <formula>$D46</formula>
    </cfRule>
  </conditionalFormatting>
  <conditionalFormatting sqref="K47">
    <cfRule type="cellIs" dxfId="1892" priority="555" operator="greaterThan">
      <formula>$D47</formula>
    </cfRule>
    <cfRule type="cellIs" dxfId="1891" priority="556" operator="lessThanOrEqual">
      <formula>$D47</formula>
    </cfRule>
  </conditionalFormatting>
  <conditionalFormatting sqref="K48">
    <cfRule type="cellIs" dxfId="1890" priority="553" operator="greaterThan">
      <formula>$D48</formula>
    </cfRule>
    <cfRule type="cellIs" dxfId="1889" priority="554" operator="lessThanOrEqual">
      <formula>$D48</formula>
    </cfRule>
  </conditionalFormatting>
  <conditionalFormatting sqref="K49">
    <cfRule type="cellIs" dxfId="1888" priority="551" operator="greaterThan">
      <formula>$D49</formula>
    </cfRule>
    <cfRule type="cellIs" dxfId="1887" priority="552" operator="lessThanOrEqual">
      <formula>$D49</formula>
    </cfRule>
  </conditionalFormatting>
  <conditionalFormatting sqref="K50">
    <cfRule type="cellIs" dxfId="1886" priority="549" operator="greaterThan">
      <formula>$D50</formula>
    </cfRule>
    <cfRule type="cellIs" dxfId="1885" priority="550" operator="lessThanOrEqual">
      <formula>$D50</formula>
    </cfRule>
  </conditionalFormatting>
  <conditionalFormatting sqref="K51">
    <cfRule type="cellIs" dxfId="1884" priority="547" operator="greaterThan">
      <formula>$D51</formula>
    </cfRule>
    <cfRule type="cellIs" dxfId="1883" priority="548" operator="lessThanOrEqual">
      <formula>$D51</formula>
    </cfRule>
  </conditionalFormatting>
  <conditionalFormatting sqref="K52">
    <cfRule type="cellIs" dxfId="1882" priority="545" operator="greaterThan">
      <formula>$D52</formula>
    </cfRule>
    <cfRule type="cellIs" dxfId="1881" priority="546" operator="lessThanOrEqual">
      <formula>$D52</formula>
    </cfRule>
  </conditionalFormatting>
  <conditionalFormatting sqref="K53">
    <cfRule type="cellIs" dxfId="1880" priority="543" operator="greaterThan">
      <formula>$D53</formula>
    </cfRule>
    <cfRule type="cellIs" dxfId="1879" priority="544" operator="lessThanOrEqual">
      <formula>$D53</formula>
    </cfRule>
  </conditionalFormatting>
  <conditionalFormatting sqref="K56">
    <cfRule type="cellIs" dxfId="1878" priority="539" operator="greaterThan">
      <formula>$D56</formula>
    </cfRule>
    <cfRule type="cellIs" dxfId="1877" priority="540" operator="lessThanOrEqual">
      <formula>$D56</formula>
    </cfRule>
  </conditionalFormatting>
  <conditionalFormatting sqref="K57">
    <cfRule type="cellIs" dxfId="1876" priority="537" operator="greaterThan">
      <formula>$D57</formula>
    </cfRule>
    <cfRule type="cellIs" dxfId="1875" priority="538" operator="lessThanOrEqual">
      <formula>$D57</formula>
    </cfRule>
  </conditionalFormatting>
  <conditionalFormatting sqref="K58">
    <cfRule type="cellIs" dxfId="1874" priority="535" operator="greaterThan">
      <formula>$D58</formula>
    </cfRule>
    <cfRule type="cellIs" dxfId="1873" priority="536" operator="lessThanOrEqual">
      <formula>$D58</formula>
    </cfRule>
  </conditionalFormatting>
  <conditionalFormatting sqref="K59">
    <cfRule type="cellIs" dxfId="1872" priority="533" operator="greaterThan">
      <formula>$D59</formula>
    </cfRule>
    <cfRule type="cellIs" dxfId="1871" priority="534" operator="lessThanOrEqual">
      <formula>$D59</formula>
    </cfRule>
  </conditionalFormatting>
  <conditionalFormatting sqref="K60">
    <cfRule type="cellIs" dxfId="1870" priority="531" operator="greaterThan">
      <formula>$D60</formula>
    </cfRule>
    <cfRule type="cellIs" dxfId="1869" priority="532" operator="lessThanOrEqual">
      <formula>$D60</formula>
    </cfRule>
  </conditionalFormatting>
  <conditionalFormatting sqref="K61">
    <cfRule type="cellIs" dxfId="1868" priority="529" operator="greaterThan">
      <formula>$D61</formula>
    </cfRule>
    <cfRule type="cellIs" dxfId="1867" priority="530" operator="lessThanOrEqual">
      <formula>$D61</formula>
    </cfRule>
  </conditionalFormatting>
  <conditionalFormatting sqref="K62">
    <cfRule type="cellIs" dxfId="1866" priority="527" operator="greaterThan">
      <formula>$D62</formula>
    </cfRule>
    <cfRule type="cellIs" dxfId="1865" priority="528" operator="lessThanOrEqual">
      <formula>$D62</formula>
    </cfRule>
  </conditionalFormatting>
  <conditionalFormatting sqref="K63">
    <cfRule type="cellIs" dxfId="1864" priority="525" operator="greaterThan">
      <formula>$D63</formula>
    </cfRule>
    <cfRule type="cellIs" dxfId="1863" priority="526" operator="lessThanOrEqual">
      <formula>$D63</formula>
    </cfRule>
  </conditionalFormatting>
  <conditionalFormatting sqref="K64">
    <cfRule type="cellIs" dxfId="1862" priority="523" operator="greaterThan">
      <formula>$D64</formula>
    </cfRule>
    <cfRule type="cellIs" dxfId="1861" priority="524" operator="lessThanOrEqual">
      <formula>$D64</formula>
    </cfRule>
  </conditionalFormatting>
  <conditionalFormatting sqref="K65">
    <cfRule type="cellIs" dxfId="1860" priority="521" operator="greaterThan">
      <formula>$D65</formula>
    </cfRule>
    <cfRule type="cellIs" dxfId="1859" priority="522" operator="lessThanOrEqual">
      <formula>$D65</formula>
    </cfRule>
  </conditionalFormatting>
  <conditionalFormatting sqref="K66">
    <cfRule type="cellIs" dxfId="1858" priority="519" operator="greaterThan">
      <formula>$D66</formula>
    </cfRule>
    <cfRule type="cellIs" dxfId="1857" priority="520" operator="lessThanOrEqual">
      <formula>$D66</formula>
    </cfRule>
  </conditionalFormatting>
  <conditionalFormatting sqref="K67">
    <cfRule type="cellIs" dxfId="1856" priority="517" operator="greaterThan">
      <formula>$D67</formula>
    </cfRule>
    <cfRule type="cellIs" dxfId="1855" priority="518" operator="lessThanOrEqual">
      <formula>$D67</formula>
    </cfRule>
  </conditionalFormatting>
  <conditionalFormatting sqref="K68">
    <cfRule type="cellIs" dxfId="1854" priority="515" operator="greaterThan">
      <formula>$D68</formula>
    </cfRule>
    <cfRule type="cellIs" dxfId="1853" priority="516" operator="lessThanOrEqual">
      <formula>$D68</formula>
    </cfRule>
  </conditionalFormatting>
  <conditionalFormatting sqref="K69">
    <cfRule type="cellIs" dxfId="1852" priority="513" operator="greaterThan">
      <formula>$D69</formula>
    </cfRule>
    <cfRule type="cellIs" dxfId="1851" priority="514" operator="lessThanOrEqual">
      <formula>$D69</formula>
    </cfRule>
  </conditionalFormatting>
  <conditionalFormatting sqref="K70">
    <cfRule type="cellIs" dxfId="1850" priority="511" operator="greaterThan">
      <formula>$D70</formula>
    </cfRule>
    <cfRule type="cellIs" dxfId="1849" priority="512" operator="lessThanOrEqual">
      <formula>$D70</formula>
    </cfRule>
  </conditionalFormatting>
  <conditionalFormatting sqref="K71">
    <cfRule type="cellIs" dxfId="1848" priority="509" operator="greaterThan">
      <formula>$D71</formula>
    </cfRule>
    <cfRule type="cellIs" dxfId="1847" priority="510" operator="lessThanOrEqual">
      <formula>$D71</formula>
    </cfRule>
  </conditionalFormatting>
  <conditionalFormatting sqref="K72">
    <cfRule type="cellIs" dxfId="1846" priority="507" operator="greaterThan">
      <formula>$D72</formula>
    </cfRule>
    <cfRule type="cellIs" dxfId="1845" priority="508" operator="lessThanOrEqual">
      <formula>$D72</formula>
    </cfRule>
  </conditionalFormatting>
  <conditionalFormatting sqref="K73:K74">
    <cfRule type="cellIs" dxfId="1844" priority="505" operator="greaterThan">
      <formula>$D73</formula>
    </cfRule>
    <cfRule type="cellIs" dxfId="1843" priority="506" operator="lessThanOrEqual">
      <formula>$D73</formula>
    </cfRule>
  </conditionalFormatting>
  <conditionalFormatting sqref="K75">
    <cfRule type="cellIs" dxfId="1842" priority="503" operator="greaterThan">
      <formula>$D75</formula>
    </cfRule>
    <cfRule type="cellIs" dxfId="1841" priority="504" operator="lessThanOrEqual">
      <formula>$D75</formula>
    </cfRule>
  </conditionalFormatting>
  <conditionalFormatting sqref="L46">
    <cfRule type="cellIs" dxfId="1840" priority="501" operator="greaterThan">
      <formula>$D46</formula>
    </cfRule>
    <cfRule type="cellIs" dxfId="1839" priority="502" operator="lessThanOrEqual">
      <formula>$D46</formula>
    </cfRule>
  </conditionalFormatting>
  <conditionalFormatting sqref="L47">
    <cfRule type="cellIs" dxfId="1838" priority="499" operator="greaterThan">
      <formula>$D47</formula>
    </cfRule>
    <cfRule type="cellIs" dxfId="1837" priority="500" operator="lessThanOrEqual">
      <formula>$D47</formula>
    </cfRule>
  </conditionalFormatting>
  <conditionalFormatting sqref="L48">
    <cfRule type="cellIs" dxfId="1836" priority="497" operator="greaterThan">
      <formula>$D48</formula>
    </cfRule>
    <cfRule type="cellIs" dxfId="1835" priority="498" operator="lessThanOrEqual">
      <formula>$D48</formula>
    </cfRule>
  </conditionalFormatting>
  <conditionalFormatting sqref="L49">
    <cfRule type="cellIs" dxfId="1834" priority="495" operator="greaterThan">
      <formula>$D49</formula>
    </cfRule>
    <cfRule type="cellIs" dxfId="1833" priority="496" operator="lessThanOrEqual">
      <formula>$D49</formula>
    </cfRule>
  </conditionalFormatting>
  <conditionalFormatting sqref="L50">
    <cfRule type="cellIs" dxfId="1832" priority="493" operator="greaterThan">
      <formula>$D50</formula>
    </cfRule>
    <cfRule type="cellIs" dxfId="1831" priority="494" operator="lessThanOrEqual">
      <formula>$D50</formula>
    </cfRule>
  </conditionalFormatting>
  <conditionalFormatting sqref="L51">
    <cfRule type="cellIs" dxfId="1830" priority="491" operator="greaterThan">
      <formula>$D51</formula>
    </cfRule>
    <cfRule type="cellIs" dxfId="1829" priority="492" operator="lessThanOrEqual">
      <formula>$D51</formula>
    </cfRule>
  </conditionalFormatting>
  <conditionalFormatting sqref="L52">
    <cfRule type="cellIs" dxfId="1828" priority="489" operator="greaterThan">
      <formula>$D52</formula>
    </cfRule>
    <cfRule type="cellIs" dxfId="1827" priority="490" operator="lessThanOrEqual">
      <formula>$D52</formula>
    </cfRule>
  </conditionalFormatting>
  <conditionalFormatting sqref="L53">
    <cfRule type="cellIs" dxfId="1826" priority="487" operator="greaterThan">
      <formula>$D53</formula>
    </cfRule>
    <cfRule type="cellIs" dxfId="1825" priority="488" operator="lessThanOrEqual">
      <formula>$D53</formula>
    </cfRule>
  </conditionalFormatting>
  <conditionalFormatting sqref="L56">
    <cfRule type="cellIs" dxfId="1824" priority="483" operator="greaterThan">
      <formula>$D56</formula>
    </cfRule>
    <cfRule type="cellIs" dxfId="1823" priority="484" operator="lessThanOrEqual">
      <formula>$D56</formula>
    </cfRule>
  </conditionalFormatting>
  <conditionalFormatting sqref="L57">
    <cfRule type="cellIs" dxfId="1822" priority="481" operator="greaterThan">
      <formula>$D57</formula>
    </cfRule>
    <cfRule type="cellIs" dxfId="1821" priority="482" operator="lessThanOrEqual">
      <formula>$D57</formula>
    </cfRule>
  </conditionalFormatting>
  <conditionalFormatting sqref="L58">
    <cfRule type="cellIs" dxfId="1820" priority="479" operator="greaterThan">
      <formula>$D58</formula>
    </cfRule>
    <cfRule type="cellIs" dxfId="1819" priority="480" operator="lessThanOrEqual">
      <formula>$D58</formula>
    </cfRule>
  </conditionalFormatting>
  <conditionalFormatting sqref="L59">
    <cfRule type="cellIs" dxfId="1818" priority="477" operator="greaterThan">
      <formula>$D59</formula>
    </cfRule>
    <cfRule type="cellIs" dxfId="1817" priority="478" operator="lessThanOrEqual">
      <formula>$D59</formula>
    </cfRule>
  </conditionalFormatting>
  <conditionalFormatting sqref="L60">
    <cfRule type="cellIs" dxfId="1816" priority="475" operator="greaterThan">
      <formula>$D60</formula>
    </cfRule>
    <cfRule type="cellIs" dxfId="1815" priority="476" operator="lessThanOrEqual">
      <formula>$D60</formula>
    </cfRule>
  </conditionalFormatting>
  <conditionalFormatting sqref="L61">
    <cfRule type="cellIs" dxfId="1814" priority="473" operator="greaterThan">
      <formula>$D61</formula>
    </cfRule>
    <cfRule type="cellIs" dxfId="1813" priority="474" operator="lessThanOrEqual">
      <formula>$D61</formula>
    </cfRule>
  </conditionalFormatting>
  <conditionalFormatting sqref="L62">
    <cfRule type="cellIs" dxfId="1812" priority="471" operator="greaterThan">
      <formula>$D62</formula>
    </cfRule>
    <cfRule type="cellIs" dxfId="1811" priority="472" operator="lessThanOrEqual">
      <formula>$D62</formula>
    </cfRule>
  </conditionalFormatting>
  <conditionalFormatting sqref="L63">
    <cfRule type="cellIs" dxfId="1810" priority="469" operator="greaterThan">
      <formula>$D63</formula>
    </cfRule>
    <cfRule type="cellIs" dxfId="1809" priority="470" operator="lessThanOrEqual">
      <formula>$D63</formula>
    </cfRule>
  </conditionalFormatting>
  <conditionalFormatting sqref="L64">
    <cfRule type="cellIs" dxfId="1808" priority="467" operator="greaterThan">
      <formula>$D64</formula>
    </cfRule>
    <cfRule type="cellIs" dxfId="1807" priority="468" operator="lessThanOrEqual">
      <formula>$D64</formula>
    </cfRule>
  </conditionalFormatting>
  <conditionalFormatting sqref="L65">
    <cfRule type="cellIs" dxfId="1806" priority="465" operator="greaterThan">
      <formula>$D65</formula>
    </cfRule>
    <cfRule type="cellIs" dxfId="1805" priority="466" operator="lessThanOrEqual">
      <formula>$D65</formula>
    </cfRule>
  </conditionalFormatting>
  <conditionalFormatting sqref="L66">
    <cfRule type="cellIs" dxfId="1804" priority="463" operator="greaterThan">
      <formula>$D66</formula>
    </cfRule>
    <cfRule type="cellIs" dxfId="1803" priority="464" operator="lessThanOrEqual">
      <formula>$D66</formula>
    </cfRule>
  </conditionalFormatting>
  <conditionalFormatting sqref="L67">
    <cfRule type="cellIs" dxfId="1802" priority="461" operator="greaterThan">
      <formula>$D67</formula>
    </cfRule>
    <cfRule type="cellIs" dxfId="1801" priority="462" operator="lessThanOrEqual">
      <formula>$D67</formula>
    </cfRule>
  </conditionalFormatting>
  <conditionalFormatting sqref="L68">
    <cfRule type="cellIs" dxfId="1800" priority="459" operator="greaterThan">
      <formula>$D68</formula>
    </cfRule>
    <cfRule type="cellIs" dxfId="1799" priority="460" operator="lessThanOrEqual">
      <formula>$D68</formula>
    </cfRule>
  </conditionalFormatting>
  <conditionalFormatting sqref="L69">
    <cfRule type="cellIs" dxfId="1798" priority="457" operator="greaterThan">
      <formula>$D69</formula>
    </cfRule>
    <cfRule type="cellIs" dxfId="1797" priority="458" operator="lessThanOrEqual">
      <formula>$D69</formula>
    </cfRule>
  </conditionalFormatting>
  <conditionalFormatting sqref="L70">
    <cfRule type="cellIs" dxfId="1796" priority="455" operator="greaterThan">
      <formula>$D70</formula>
    </cfRule>
    <cfRule type="cellIs" dxfId="1795" priority="456" operator="lessThanOrEqual">
      <formula>$D70</formula>
    </cfRule>
  </conditionalFormatting>
  <conditionalFormatting sqref="L71">
    <cfRule type="cellIs" dxfId="1794" priority="453" operator="greaterThan">
      <formula>$D71</formula>
    </cfRule>
    <cfRule type="cellIs" dxfId="1793" priority="454" operator="lessThanOrEqual">
      <formula>$D71</formula>
    </cfRule>
  </conditionalFormatting>
  <conditionalFormatting sqref="L72">
    <cfRule type="cellIs" dxfId="1792" priority="451" operator="greaterThan">
      <formula>$D72</formula>
    </cfRule>
    <cfRule type="cellIs" dxfId="1791" priority="452" operator="lessThanOrEqual">
      <formula>$D72</formula>
    </cfRule>
  </conditionalFormatting>
  <conditionalFormatting sqref="L73:L74">
    <cfRule type="cellIs" dxfId="1790" priority="449" operator="greaterThan">
      <formula>$D73</formula>
    </cfRule>
    <cfRule type="cellIs" dxfId="1789" priority="450" operator="lessThanOrEqual">
      <formula>$D73</formula>
    </cfRule>
  </conditionalFormatting>
  <conditionalFormatting sqref="L75">
    <cfRule type="cellIs" dxfId="1788" priority="447" operator="greaterThan">
      <formula>$D75</formula>
    </cfRule>
    <cfRule type="cellIs" dxfId="1787" priority="448" operator="lessThanOrEqual">
      <formula>$D75</formula>
    </cfRule>
  </conditionalFormatting>
  <conditionalFormatting sqref="M46">
    <cfRule type="cellIs" dxfId="1786" priority="445" operator="greaterThan">
      <formula>$D46</formula>
    </cfRule>
    <cfRule type="cellIs" dxfId="1785" priority="446" operator="lessThanOrEqual">
      <formula>$D46</formula>
    </cfRule>
  </conditionalFormatting>
  <conditionalFormatting sqref="M47">
    <cfRule type="cellIs" dxfId="1784" priority="443" operator="greaterThan">
      <formula>$D47</formula>
    </cfRule>
    <cfRule type="cellIs" dxfId="1783" priority="444" operator="lessThanOrEqual">
      <formula>$D47</formula>
    </cfRule>
  </conditionalFormatting>
  <conditionalFormatting sqref="M48">
    <cfRule type="cellIs" dxfId="1782" priority="441" operator="greaterThan">
      <formula>$D48</formula>
    </cfRule>
    <cfRule type="cellIs" dxfId="1781" priority="442" operator="lessThanOrEqual">
      <formula>$D48</formula>
    </cfRule>
  </conditionalFormatting>
  <conditionalFormatting sqref="M49">
    <cfRule type="cellIs" dxfId="1780" priority="439" operator="greaterThan">
      <formula>$D49</formula>
    </cfRule>
    <cfRule type="cellIs" dxfId="1779" priority="440" operator="lessThanOrEqual">
      <formula>$D49</formula>
    </cfRule>
  </conditionalFormatting>
  <conditionalFormatting sqref="M50">
    <cfRule type="cellIs" dxfId="1778" priority="437" operator="greaterThan">
      <formula>$D50</formula>
    </cfRule>
    <cfRule type="cellIs" dxfId="1777" priority="438" operator="lessThanOrEqual">
      <formula>$D50</formula>
    </cfRule>
  </conditionalFormatting>
  <conditionalFormatting sqref="M51">
    <cfRule type="cellIs" dxfId="1776" priority="435" operator="greaterThan">
      <formula>$D51</formula>
    </cfRule>
    <cfRule type="cellIs" dxfId="1775" priority="436" operator="lessThanOrEqual">
      <formula>$D51</formula>
    </cfRule>
  </conditionalFormatting>
  <conditionalFormatting sqref="M52">
    <cfRule type="cellIs" dxfId="1774" priority="433" operator="greaterThan">
      <formula>$D52</formula>
    </cfRule>
    <cfRule type="cellIs" dxfId="1773" priority="434" operator="lessThanOrEqual">
      <formula>$D52</formula>
    </cfRule>
  </conditionalFormatting>
  <conditionalFormatting sqref="M53">
    <cfRule type="cellIs" dxfId="1772" priority="431" operator="greaterThan">
      <formula>$D53</formula>
    </cfRule>
    <cfRule type="cellIs" dxfId="1771" priority="432" operator="lessThanOrEqual">
      <formula>$D53</formula>
    </cfRule>
  </conditionalFormatting>
  <conditionalFormatting sqref="M56">
    <cfRule type="cellIs" dxfId="1770" priority="427" operator="greaterThan">
      <formula>$D56</formula>
    </cfRule>
    <cfRule type="cellIs" dxfId="1769" priority="428" operator="lessThanOrEqual">
      <formula>$D56</formula>
    </cfRule>
  </conditionalFormatting>
  <conditionalFormatting sqref="M57">
    <cfRule type="cellIs" dxfId="1768" priority="425" operator="greaterThan">
      <formula>$D57</formula>
    </cfRule>
    <cfRule type="cellIs" dxfId="1767" priority="426" operator="lessThanOrEqual">
      <formula>$D57</formula>
    </cfRule>
  </conditionalFormatting>
  <conditionalFormatting sqref="M58">
    <cfRule type="cellIs" dxfId="1766" priority="423" operator="greaterThan">
      <formula>$D58</formula>
    </cfRule>
    <cfRule type="cellIs" dxfId="1765" priority="424" operator="lessThanOrEqual">
      <formula>$D58</formula>
    </cfRule>
  </conditionalFormatting>
  <conditionalFormatting sqref="M59">
    <cfRule type="cellIs" dxfId="1764" priority="421" operator="greaterThan">
      <formula>$D59</formula>
    </cfRule>
    <cfRule type="cellIs" dxfId="1763" priority="422" operator="lessThanOrEqual">
      <formula>$D59</formula>
    </cfRule>
  </conditionalFormatting>
  <conditionalFormatting sqref="M60">
    <cfRule type="cellIs" dxfId="1762" priority="419" operator="greaterThan">
      <formula>$D60</formula>
    </cfRule>
    <cfRule type="cellIs" dxfId="1761" priority="420" operator="lessThanOrEqual">
      <formula>$D60</formula>
    </cfRule>
  </conditionalFormatting>
  <conditionalFormatting sqref="M61">
    <cfRule type="cellIs" dxfId="1760" priority="417" operator="greaterThan">
      <formula>$D61</formula>
    </cfRule>
    <cfRule type="cellIs" dxfId="1759" priority="418" operator="lessThanOrEqual">
      <formula>$D61</formula>
    </cfRule>
  </conditionalFormatting>
  <conditionalFormatting sqref="M62">
    <cfRule type="cellIs" dxfId="1758" priority="415" operator="greaterThan">
      <formula>$D62</formula>
    </cfRule>
    <cfRule type="cellIs" dxfId="1757" priority="416" operator="lessThanOrEqual">
      <formula>$D62</formula>
    </cfRule>
  </conditionalFormatting>
  <conditionalFormatting sqref="M63">
    <cfRule type="cellIs" dxfId="1756" priority="413" operator="greaterThan">
      <formula>$D63</formula>
    </cfRule>
    <cfRule type="cellIs" dxfId="1755" priority="414" operator="lessThanOrEqual">
      <formula>$D63</formula>
    </cfRule>
  </conditionalFormatting>
  <conditionalFormatting sqref="M64">
    <cfRule type="cellIs" dxfId="1754" priority="411" operator="greaterThan">
      <formula>$D64</formula>
    </cfRule>
    <cfRule type="cellIs" dxfId="1753" priority="412" operator="lessThanOrEqual">
      <formula>$D64</formula>
    </cfRule>
  </conditionalFormatting>
  <conditionalFormatting sqref="M65">
    <cfRule type="cellIs" dxfId="1752" priority="409" operator="greaterThan">
      <formula>$D65</formula>
    </cfRule>
    <cfRule type="cellIs" dxfId="1751" priority="410" operator="lessThanOrEqual">
      <formula>$D65</formula>
    </cfRule>
  </conditionalFormatting>
  <conditionalFormatting sqref="M66">
    <cfRule type="cellIs" dxfId="1750" priority="407" operator="greaterThan">
      <formula>$D66</formula>
    </cfRule>
    <cfRule type="cellIs" dxfId="1749" priority="408" operator="lessThanOrEqual">
      <formula>$D66</formula>
    </cfRule>
  </conditionalFormatting>
  <conditionalFormatting sqref="M67">
    <cfRule type="cellIs" dxfId="1748" priority="405" operator="greaterThan">
      <formula>$D67</formula>
    </cfRule>
    <cfRule type="cellIs" dxfId="1747" priority="406" operator="lessThanOrEqual">
      <formula>$D67</formula>
    </cfRule>
  </conditionalFormatting>
  <conditionalFormatting sqref="M68">
    <cfRule type="cellIs" dxfId="1746" priority="403" operator="greaterThan">
      <formula>$D68</formula>
    </cfRule>
    <cfRule type="cellIs" dxfId="1745" priority="404" operator="lessThanOrEqual">
      <formula>$D68</formula>
    </cfRule>
  </conditionalFormatting>
  <conditionalFormatting sqref="M69">
    <cfRule type="cellIs" dxfId="1744" priority="401" operator="greaterThan">
      <formula>$D69</formula>
    </cfRule>
    <cfRule type="cellIs" dxfId="1743" priority="402" operator="lessThanOrEqual">
      <formula>$D69</formula>
    </cfRule>
  </conditionalFormatting>
  <conditionalFormatting sqref="M70">
    <cfRule type="cellIs" dxfId="1742" priority="399" operator="greaterThan">
      <formula>$D70</formula>
    </cfRule>
    <cfRule type="cellIs" dxfId="1741" priority="400" operator="lessThanOrEqual">
      <formula>$D70</formula>
    </cfRule>
  </conditionalFormatting>
  <conditionalFormatting sqref="M71">
    <cfRule type="cellIs" dxfId="1740" priority="397" operator="greaterThan">
      <formula>$D71</formula>
    </cfRule>
    <cfRule type="cellIs" dxfId="1739" priority="398" operator="lessThanOrEqual">
      <formula>$D71</formula>
    </cfRule>
  </conditionalFormatting>
  <conditionalFormatting sqref="M72">
    <cfRule type="cellIs" dxfId="1738" priority="395" operator="greaterThan">
      <formula>$D72</formula>
    </cfRule>
    <cfRule type="cellIs" dxfId="1737" priority="396" operator="lessThanOrEqual">
      <formula>$D72</formula>
    </cfRule>
  </conditionalFormatting>
  <conditionalFormatting sqref="M73:M74">
    <cfRule type="cellIs" dxfId="1736" priority="393" operator="greaterThan">
      <formula>$D73</formula>
    </cfRule>
    <cfRule type="cellIs" dxfId="1735" priority="394" operator="lessThanOrEqual">
      <formula>$D73</formula>
    </cfRule>
  </conditionalFormatting>
  <conditionalFormatting sqref="M75">
    <cfRule type="cellIs" dxfId="1734" priority="391" operator="greaterThan">
      <formula>$D75</formula>
    </cfRule>
    <cfRule type="cellIs" dxfId="1733" priority="392" operator="lessThanOrEqual">
      <formula>$D75</formula>
    </cfRule>
  </conditionalFormatting>
  <conditionalFormatting sqref="N46">
    <cfRule type="cellIs" dxfId="1732" priority="389" operator="greaterThan">
      <formula>$D46</formula>
    </cfRule>
    <cfRule type="cellIs" dxfId="1731" priority="390" operator="lessThanOrEqual">
      <formula>$D46</formula>
    </cfRule>
  </conditionalFormatting>
  <conditionalFormatting sqref="N47">
    <cfRule type="cellIs" dxfId="1730" priority="387" operator="greaterThan">
      <formula>$D47</formula>
    </cfRule>
    <cfRule type="cellIs" dxfId="1729" priority="388" operator="lessThanOrEqual">
      <formula>$D47</formula>
    </cfRule>
  </conditionalFormatting>
  <conditionalFormatting sqref="N48">
    <cfRule type="cellIs" dxfId="1728" priority="385" operator="greaterThan">
      <formula>$D48</formula>
    </cfRule>
    <cfRule type="cellIs" dxfId="1727" priority="386" operator="lessThanOrEqual">
      <formula>$D48</formula>
    </cfRule>
  </conditionalFormatting>
  <conditionalFormatting sqref="N49">
    <cfRule type="cellIs" dxfId="1726" priority="383" operator="greaterThan">
      <formula>$D49</formula>
    </cfRule>
    <cfRule type="cellIs" dxfId="1725" priority="384" operator="lessThanOrEqual">
      <formula>$D49</formula>
    </cfRule>
  </conditionalFormatting>
  <conditionalFormatting sqref="N50">
    <cfRule type="cellIs" dxfId="1724" priority="381" operator="greaterThan">
      <formula>$D50</formula>
    </cfRule>
    <cfRule type="cellIs" dxfId="1723" priority="382" operator="lessThanOrEqual">
      <formula>$D50</formula>
    </cfRule>
  </conditionalFormatting>
  <conditionalFormatting sqref="N51">
    <cfRule type="cellIs" dxfId="1722" priority="379" operator="greaterThan">
      <formula>$D51</formula>
    </cfRule>
    <cfRule type="cellIs" dxfId="1721" priority="380" operator="lessThanOrEqual">
      <formula>$D51</formula>
    </cfRule>
  </conditionalFormatting>
  <conditionalFormatting sqref="N52">
    <cfRule type="cellIs" dxfId="1720" priority="377" operator="greaterThan">
      <formula>$D52</formula>
    </cfRule>
    <cfRule type="cellIs" dxfId="1719" priority="378" operator="lessThanOrEqual">
      <formula>$D52</formula>
    </cfRule>
  </conditionalFormatting>
  <conditionalFormatting sqref="N53">
    <cfRule type="cellIs" dxfId="1718" priority="375" operator="greaterThan">
      <formula>$D53</formula>
    </cfRule>
    <cfRule type="cellIs" dxfId="1717" priority="376" operator="lessThanOrEqual">
      <formula>$D53</formula>
    </cfRule>
  </conditionalFormatting>
  <conditionalFormatting sqref="N56">
    <cfRule type="cellIs" dxfId="1716" priority="371" operator="greaterThan">
      <formula>$D56</formula>
    </cfRule>
    <cfRule type="cellIs" dxfId="1715" priority="372" operator="lessThanOrEqual">
      <formula>$D56</formula>
    </cfRule>
  </conditionalFormatting>
  <conditionalFormatting sqref="N57">
    <cfRule type="cellIs" dxfId="1714" priority="369" operator="greaterThan">
      <formula>$D57</formula>
    </cfRule>
    <cfRule type="cellIs" dxfId="1713" priority="370" operator="lessThanOrEqual">
      <formula>$D57</formula>
    </cfRule>
  </conditionalFormatting>
  <conditionalFormatting sqref="N58">
    <cfRule type="cellIs" dxfId="1712" priority="367" operator="greaterThan">
      <formula>$D58</formula>
    </cfRule>
    <cfRule type="cellIs" dxfId="1711" priority="368" operator="lessThanOrEqual">
      <formula>$D58</formula>
    </cfRule>
  </conditionalFormatting>
  <conditionalFormatting sqref="N59">
    <cfRule type="cellIs" dxfId="1710" priority="365" operator="greaterThan">
      <formula>$D59</formula>
    </cfRule>
    <cfRule type="cellIs" dxfId="1709" priority="366" operator="lessThanOrEqual">
      <formula>$D59</formula>
    </cfRule>
  </conditionalFormatting>
  <conditionalFormatting sqref="N60">
    <cfRule type="cellIs" dxfId="1708" priority="363" operator="greaterThan">
      <formula>$D60</formula>
    </cfRule>
    <cfRule type="cellIs" dxfId="1707" priority="364" operator="lessThanOrEqual">
      <formula>$D60</formula>
    </cfRule>
  </conditionalFormatting>
  <conditionalFormatting sqref="N61">
    <cfRule type="cellIs" dxfId="1706" priority="361" operator="greaterThan">
      <formula>$D61</formula>
    </cfRule>
    <cfRule type="cellIs" dxfId="1705" priority="362" operator="lessThanOrEqual">
      <formula>$D61</formula>
    </cfRule>
  </conditionalFormatting>
  <conditionalFormatting sqref="N62">
    <cfRule type="cellIs" dxfId="1704" priority="359" operator="greaterThan">
      <formula>$D62</formula>
    </cfRule>
    <cfRule type="cellIs" dxfId="1703" priority="360" operator="lessThanOrEqual">
      <formula>$D62</formula>
    </cfRule>
  </conditionalFormatting>
  <conditionalFormatting sqref="N63">
    <cfRule type="cellIs" dxfId="1702" priority="357" operator="greaterThan">
      <formula>$D63</formula>
    </cfRule>
    <cfRule type="cellIs" dxfId="1701" priority="358" operator="lessThanOrEqual">
      <formula>$D63</formula>
    </cfRule>
  </conditionalFormatting>
  <conditionalFormatting sqref="N64">
    <cfRule type="cellIs" dxfId="1700" priority="355" operator="greaterThan">
      <formula>$D64</formula>
    </cfRule>
    <cfRule type="cellIs" dxfId="1699" priority="356" operator="lessThanOrEqual">
      <formula>$D64</formula>
    </cfRule>
  </conditionalFormatting>
  <conditionalFormatting sqref="N65">
    <cfRule type="cellIs" dxfId="1698" priority="353" operator="greaterThan">
      <formula>$D65</formula>
    </cfRule>
    <cfRule type="cellIs" dxfId="1697" priority="354" operator="lessThanOrEqual">
      <formula>$D65</formula>
    </cfRule>
  </conditionalFormatting>
  <conditionalFormatting sqref="N66">
    <cfRule type="cellIs" dxfId="1696" priority="351" operator="greaterThan">
      <formula>$D66</formula>
    </cfRule>
    <cfRule type="cellIs" dxfId="1695" priority="352" operator="lessThanOrEqual">
      <formula>$D66</formula>
    </cfRule>
  </conditionalFormatting>
  <conditionalFormatting sqref="N67">
    <cfRule type="cellIs" dxfId="1694" priority="349" operator="greaterThan">
      <formula>$D67</formula>
    </cfRule>
    <cfRule type="cellIs" dxfId="1693" priority="350" operator="lessThanOrEqual">
      <formula>$D67</formula>
    </cfRule>
  </conditionalFormatting>
  <conditionalFormatting sqref="N68">
    <cfRule type="cellIs" dxfId="1692" priority="347" operator="greaterThan">
      <formula>$D68</formula>
    </cfRule>
    <cfRule type="cellIs" dxfId="1691" priority="348" operator="lessThanOrEqual">
      <formula>$D68</formula>
    </cfRule>
  </conditionalFormatting>
  <conditionalFormatting sqref="N69">
    <cfRule type="cellIs" dxfId="1690" priority="345" operator="greaterThan">
      <formula>$D69</formula>
    </cfRule>
    <cfRule type="cellIs" dxfId="1689" priority="346" operator="lessThanOrEqual">
      <formula>$D69</formula>
    </cfRule>
  </conditionalFormatting>
  <conditionalFormatting sqref="N70">
    <cfRule type="cellIs" dxfId="1688" priority="343" operator="greaterThan">
      <formula>$D70</formula>
    </cfRule>
    <cfRule type="cellIs" dxfId="1687" priority="344" operator="lessThanOrEqual">
      <formula>$D70</formula>
    </cfRule>
  </conditionalFormatting>
  <conditionalFormatting sqref="N71">
    <cfRule type="cellIs" dxfId="1686" priority="341" operator="greaterThan">
      <formula>$D71</formula>
    </cfRule>
    <cfRule type="cellIs" dxfId="1685" priority="342" operator="lessThanOrEqual">
      <formula>$D71</formula>
    </cfRule>
  </conditionalFormatting>
  <conditionalFormatting sqref="N72">
    <cfRule type="cellIs" dxfId="1684" priority="339" operator="greaterThan">
      <formula>$D72</formula>
    </cfRule>
    <cfRule type="cellIs" dxfId="1683" priority="340" operator="lessThanOrEqual">
      <formula>$D72</formula>
    </cfRule>
  </conditionalFormatting>
  <conditionalFormatting sqref="N73:N74">
    <cfRule type="cellIs" dxfId="1682" priority="337" operator="greaterThan">
      <formula>$D73</formula>
    </cfRule>
    <cfRule type="cellIs" dxfId="1681" priority="338" operator="lessThanOrEqual">
      <formula>$D73</formula>
    </cfRule>
  </conditionalFormatting>
  <conditionalFormatting sqref="N75">
    <cfRule type="cellIs" dxfId="1680" priority="335" operator="greaterThan">
      <formula>$D75</formula>
    </cfRule>
    <cfRule type="cellIs" dxfId="1679" priority="336" operator="lessThanOrEqual">
      <formula>$D75</formula>
    </cfRule>
  </conditionalFormatting>
  <conditionalFormatting sqref="O46">
    <cfRule type="cellIs" dxfId="1678" priority="333" operator="greaterThan">
      <formula>$D46</formula>
    </cfRule>
    <cfRule type="cellIs" dxfId="1677" priority="334" operator="lessThanOrEqual">
      <formula>$D46</formula>
    </cfRule>
  </conditionalFormatting>
  <conditionalFormatting sqref="O47">
    <cfRule type="cellIs" dxfId="1676" priority="331" operator="greaterThan">
      <formula>$D47</formula>
    </cfRule>
    <cfRule type="cellIs" dxfId="1675" priority="332" operator="lessThanOrEqual">
      <formula>$D47</formula>
    </cfRule>
  </conditionalFormatting>
  <conditionalFormatting sqref="O48">
    <cfRule type="cellIs" dxfId="1674" priority="329" operator="greaterThan">
      <formula>$D48</formula>
    </cfRule>
    <cfRule type="cellIs" dxfId="1673" priority="330" operator="lessThanOrEqual">
      <formula>$D48</formula>
    </cfRule>
  </conditionalFormatting>
  <conditionalFormatting sqref="O49">
    <cfRule type="cellIs" dxfId="1672" priority="327" operator="greaterThan">
      <formula>$D49</formula>
    </cfRule>
    <cfRule type="cellIs" dxfId="1671" priority="328" operator="lessThanOrEqual">
      <formula>$D49</formula>
    </cfRule>
  </conditionalFormatting>
  <conditionalFormatting sqref="O50">
    <cfRule type="cellIs" dxfId="1670" priority="325" operator="greaterThan">
      <formula>$D50</formula>
    </cfRule>
    <cfRule type="cellIs" dxfId="1669" priority="326" operator="lessThanOrEqual">
      <formula>$D50</formula>
    </cfRule>
  </conditionalFormatting>
  <conditionalFormatting sqref="O51">
    <cfRule type="cellIs" dxfId="1668" priority="323" operator="greaterThan">
      <formula>$D51</formula>
    </cfRule>
    <cfRule type="cellIs" dxfId="1667" priority="324" operator="lessThanOrEqual">
      <formula>$D51</formula>
    </cfRule>
  </conditionalFormatting>
  <conditionalFormatting sqref="O52">
    <cfRule type="cellIs" dxfId="1666" priority="321" operator="greaterThan">
      <formula>$D52</formula>
    </cfRule>
    <cfRule type="cellIs" dxfId="1665" priority="322" operator="lessThanOrEqual">
      <formula>$D52</formula>
    </cfRule>
  </conditionalFormatting>
  <conditionalFormatting sqref="O53">
    <cfRule type="cellIs" dxfId="1664" priority="319" operator="greaterThan">
      <formula>$D53</formula>
    </cfRule>
    <cfRule type="cellIs" dxfId="1663" priority="320" operator="lessThanOrEqual">
      <formula>$D53</formula>
    </cfRule>
  </conditionalFormatting>
  <conditionalFormatting sqref="O56">
    <cfRule type="cellIs" dxfId="1662" priority="315" operator="greaterThan">
      <formula>$D56</formula>
    </cfRule>
    <cfRule type="cellIs" dxfId="1661" priority="316" operator="lessThanOrEqual">
      <formula>$D56</formula>
    </cfRule>
  </conditionalFormatting>
  <conditionalFormatting sqref="O57">
    <cfRule type="cellIs" dxfId="1660" priority="313" operator="greaterThan">
      <formula>$D57</formula>
    </cfRule>
    <cfRule type="cellIs" dxfId="1659" priority="314" operator="lessThanOrEqual">
      <formula>$D57</formula>
    </cfRule>
  </conditionalFormatting>
  <conditionalFormatting sqref="O58">
    <cfRule type="cellIs" dxfId="1658" priority="311" operator="greaterThan">
      <formula>$D58</formula>
    </cfRule>
    <cfRule type="cellIs" dxfId="1657" priority="312" operator="lessThanOrEqual">
      <formula>$D58</formula>
    </cfRule>
  </conditionalFormatting>
  <conditionalFormatting sqref="O59">
    <cfRule type="cellIs" dxfId="1656" priority="309" operator="greaterThan">
      <formula>$D59</formula>
    </cfRule>
    <cfRule type="cellIs" dxfId="1655" priority="310" operator="lessThanOrEqual">
      <formula>$D59</formula>
    </cfRule>
  </conditionalFormatting>
  <conditionalFormatting sqref="O60">
    <cfRule type="cellIs" dxfId="1654" priority="307" operator="greaterThan">
      <formula>$D60</formula>
    </cfRule>
    <cfRule type="cellIs" dxfId="1653" priority="308" operator="lessThanOrEqual">
      <formula>$D60</formula>
    </cfRule>
  </conditionalFormatting>
  <conditionalFormatting sqref="O61">
    <cfRule type="cellIs" dxfId="1652" priority="305" operator="greaterThan">
      <formula>$D61</formula>
    </cfRule>
    <cfRule type="cellIs" dxfId="1651" priority="306" operator="lessThanOrEqual">
      <formula>$D61</formula>
    </cfRule>
  </conditionalFormatting>
  <conditionalFormatting sqref="O62">
    <cfRule type="cellIs" dxfId="1650" priority="303" operator="greaterThan">
      <formula>$D62</formula>
    </cfRule>
    <cfRule type="cellIs" dxfId="1649" priority="304" operator="lessThanOrEqual">
      <formula>$D62</formula>
    </cfRule>
  </conditionalFormatting>
  <conditionalFormatting sqref="O63">
    <cfRule type="cellIs" dxfId="1648" priority="301" operator="greaterThan">
      <formula>$D63</formula>
    </cfRule>
    <cfRule type="cellIs" dxfId="1647" priority="302" operator="lessThanOrEqual">
      <formula>$D63</formula>
    </cfRule>
  </conditionalFormatting>
  <conditionalFormatting sqref="O64">
    <cfRule type="cellIs" dxfId="1646" priority="299" operator="greaterThan">
      <formula>$D64</formula>
    </cfRule>
    <cfRule type="cellIs" dxfId="1645" priority="300" operator="lessThanOrEqual">
      <formula>$D64</formula>
    </cfRule>
  </conditionalFormatting>
  <conditionalFormatting sqref="O65">
    <cfRule type="cellIs" dxfId="1644" priority="297" operator="greaterThan">
      <formula>$D65</formula>
    </cfRule>
    <cfRule type="cellIs" dxfId="1643" priority="298" operator="lessThanOrEqual">
      <formula>$D65</formula>
    </cfRule>
  </conditionalFormatting>
  <conditionalFormatting sqref="O66">
    <cfRule type="cellIs" dxfId="1642" priority="295" operator="greaterThan">
      <formula>$D66</formula>
    </cfRule>
    <cfRule type="cellIs" dxfId="1641" priority="296" operator="lessThanOrEqual">
      <formula>$D66</formula>
    </cfRule>
  </conditionalFormatting>
  <conditionalFormatting sqref="O67">
    <cfRule type="cellIs" dxfId="1640" priority="293" operator="greaterThan">
      <formula>$D67</formula>
    </cfRule>
    <cfRule type="cellIs" dxfId="1639" priority="294" operator="lessThanOrEqual">
      <formula>$D67</formula>
    </cfRule>
  </conditionalFormatting>
  <conditionalFormatting sqref="O68">
    <cfRule type="cellIs" dxfId="1638" priority="291" operator="greaterThan">
      <formula>$D68</formula>
    </cfRule>
    <cfRule type="cellIs" dxfId="1637" priority="292" operator="lessThanOrEqual">
      <formula>$D68</formula>
    </cfRule>
  </conditionalFormatting>
  <conditionalFormatting sqref="O69">
    <cfRule type="cellIs" dxfId="1636" priority="289" operator="greaterThan">
      <formula>$D69</formula>
    </cfRule>
    <cfRule type="cellIs" dxfId="1635" priority="290" operator="lessThanOrEqual">
      <formula>$D69</formula>
    </cfRule>
  </conditionalFormatting>
  <conditionalFormatting sqref="O70">
    <cfRule type="cellIs" dxfId="1634" priority="287" operator="greaterThan">
      <formula>$D70</formula>
    </cfRule>
    <cfRule type="cellIs" dxfId="1633" priority="288" operator="lessThanOrEqual">
      <formula>$D70</formula>
    </cfRule>
  </conditionalFormatting>
  <conditionalFormatting sqref="O71">
    <cfRule type="cellIs" dxfId="1632" priority="285" operator="greaterThan">
      <formula>$D71</formula>
    </cfRule>
    <cfRule type="cellIs" dxfId="1631" priority="286" operator="lessThanOrEqual">
      <formula>$D71</formula>
    </cfRule>
  </conditionalFormatting>
  <conditionalFormatting sqref="O72">
    <cfRule type="cellIs" dxfId="1630" priority="283" operator="greaterThan">
      <formula>$D72</formula>
    </cfRule>
    <cfRule type="cellIs" dxfId="1629" priority="284" operator="lessThanOrEqual">
      <formula>$D72</formula>
    </cfRule>
  </conditionalFormatting>
  <conditionalFormatting sqref="O73:O74">
    <cfRule type="cellIs" dxfId="1628" priority="281" operator="greaterThan">
      <formula>$D73</formula>
    </cfRule>
    <cfRule type="cellIs" dxfId="1627" priority="282" operator="lessThanOrEqual">
      <formula>$D73</formula>
    </cfRule>
  </conditionalFormatting>
  <conditionalFormatting sqref="O75">
    <cfRule type="cellIs" dxfId="1626" priority="279" operator="greaterThan">
      <formula>$D75</formula>
    </cfRule>
    <cfRule type="cellIs" dxfId="1625" priority="280" operator="lessThanOrEqual">
      <formula>$D75</formula>
    </cfRule>
  </conditionalFormatting>
  <conditionalFormatting sqref="P46">
    <cfRule type="cellIs" dxfId="1624" priority="277" operator="greaterThan">
      <formula>$D46</formula>
    </cfRule>
    <cfRule type="cellIs" dxfId="1623" priority="278" operator="lessThanOrEqual">
      <formula>$D46</formula>
    </cfRule>
  </conditionalFormatting>
  <conditionalFormatting sqref="P47">
    <cfRule type="cellIs" dxfId="1622" priority="275" operator="greaterThan">
      <formula>$D47</formula>
    </cfRule>
    <cfRule type="cellIs" dxfId="1621" priority="276" operator="lessThanOrEqual">
      <formula>$D47</formula>
    </cfRule>
  </conditionalFormatting>
  <conditionalFormatting sqref="P48">
    <cfRule type="cellIs" dxfId="1620" priority="273" operator="greaterThan">
      <formula>$D48</formula>
    </cfRule>
    <cfRule type="cellIs" dxfId="1619" priority="274" operator="lessThanOrEqual">
      <formula>$D48</formula>
    </cfRule>
  </conditionalFormatting>
  <conditionalFormatting sqref="P49">
    <cfRule type="cellIs" dxfId="1618" priority="271" operator="greaterThan">
      <formula>$D49</formula>
    </cfRule>
    <cfRule type="cellIs" dxfId="1617" priority="272" operator="lessThanOrEqual">
      <formula>$D49</formula>
    </cfRule>
  </conditionalFormatting>
  <conditionalFormatting sqref="P50">
    <cfRule type="cellIs" dxfId="1616" priority="269" operator="greaterThan">
      <formula>$D50</formula>
    </cfRule>
    <cfRule type="cellIs" dxfId="1615" priority="270" operator="lessThanOrEqual">
      <formula>$D50</formula>
    </cfRule>
  </conditionalFormatting>
  <conditionalFormatting sqref="P51">
    <cfRule type="cellIs" dxfId="1614" priority="267" operator="greaterThan">
      <formula>$D51</formula>
    </cfRule>
    <cfRule type="cellIs" dxfId="1613" priority="268" operator="lessThanOrEqual">
      <formula>$D51</formula>
    </cfRule>
  </conditionalFormatting>
  <conditionalFormatting sqref="P52">
    <cfRule type="cellIs" dxfId="1612" priority="265" operator="greaterThan">
      <formula>$D52</formula>
    </cfRule>
    <cfRule type="cellIs" dxfId="1611" priority="266" operator="lessThanOrEqual">
      <formula>$D52</formula>
    </cfRule>
  </conditionalFormatting>
  <conditionalFormatting sqref="P53">
    <cfRule type="cellIs" dxfId="1610" priority="263" operator="greaterThan">
      <formula>$D53</formula>
    </cfRule>
    <cfRule type="cellIs" dxfId="1609" priority="264" operator="lessThanOrEqual">
      <formula>$D53</formula>
    </cfRule>
  </conditionalFormatting>
  <conditionalFormatting sqref="P56">
    <cfRule type="cellIs" dxfId="1608" priority="259" operator="greaterThan">
      <formula>$D56</formula>
    </cfRule>
    <cfRule type="cellIs" dxfId="1607" priority="260" operator="lessThanOrEqual">
      <formula>$D56</formula>
    </cfRule>
  </conditionalFormatting>
  <conditionalFormatting sqref="P57">
    <cfRule type="cellIs" dxfId="1606" priority="257" operator="greaterThan">
      <formula>$D57</formula>
    </cfRule>
    <cfRule type="cellIs" dxfId="1605" priority="258" operator="lessThanOrEqual">
      <formula>$D57</formula>
    </cfRule>
  </conditionalFormatting>
  <conditionalFormatting sqref="P58">
    <cfRule type="cellIs" dxfId="1604" priority="255" operator="greaterThan">
      <formula>$D58</formula>
    </cfRule>
    <cfRule type="cellIs" dxfId="1603" priority="256" operator="lessThanOrEqual">
      <formula>$D58</formula>
    </cfRule>
  </conditionalFormatting>
  <conditionalFormatting sqref="P59">
    <cfRule type="cellIs" dxfId="1602" priority="253" operator="greaterThan">
      <formula>$D59</formula>
    </cfRule>
    <cfRule type="cellIs" dxfId="1601" priority="254" operator="lessThanOrEqual">
      <formula>$D59</formula>
    </cfRule>
  </conditionalFormatting>
  <conditionalFormatting sqref="P60">
    <cfRule type="cellIs" dxfId="1600" priority="251" operator="greaterThan">
      <formula>$D60</formula>
    </cfRule>
    <cfRule type="cellIs" dxfId="1599" priority="252" operator="lessThanOrEqual">
      <formula>$D60</formula>
    </cfRule>
  </conditionalFormatting>
  <conditionalFormatting sqref="P61">
    <cfRule type="cellIs" dxfId="1598" priority="249" operator="greaterThan">
      <formula>$D61</formula>
    </cfRule>
    <cfRule type="cellIs" dxfId="1597" priority="250" operator="lessThanOrEqual">
      <formula>$D61</formula>
    </cfRule>
  </conditionalFormatting>
  <conditionalFormatting sqref="P62">
    <cfRule type="cellIs" dxfId="1596" priority="247" operator="greaterThan">
      <formula>$D62</formula>
    </cfRule>
    <cfRule type="cellIs" dxfId="1595" priority="248" operator="lessThanOrEqual">
      <formula>$D62</formula>
    </cfRule>
  </conditionalFormatting>
  <conditionalFormatting sqref="P63">
    <cfRule type="cellIs" dxfId="1594" priority="245" operator="greaterThan">
      <formula>$D63</formula>
    </cfRule>
    <cfRule type="cellIs" dxfId="1593" priority="246" operator="lessThanOrEqual">
      <formula>$D63</formula>
    </cfRule>
  </conditionalFormatting>
  <conditionalFormatting sqref="P64">
    <cfRule type="cellIs" dxfId="1592" priority="243" operator="greaterThan">
      <formula>$D64</formula>
    </cfRule>
    <cfRule type="cellIs" dxfId="1591" priority="244" operator="lessThanOrEqual">
      <formula>$D64</formula>
    </cfRule>
  </conditionalFormatting>
  <conditionalFormatting sqref="P65">
    <cfRule type="cellIs" dxfId="1590" priority="241" operator="greaterThan">
      <formula>$D65</formula>
    </cfRule>
    <cfRule type="cellIs" dxfId="1589" priority="242" operator="lessThanOrEqual">
      <formula>$D65</formula>
    </cfRule>
  </conditionalFormatting>
  <conditionalFormatting sqref="P66">
    <cfRule type="cellIs" dxfId="1588" priority="239" operator="greaterThan">
      <formula>$D66</formula>
    </cfRule>
    <cfRule type="cellIs" dxfId="1587" priority="240" operator="lessThanOrEqual">
      <formula>$D66</formula>
    </cfRule>
  </conditionalFormatting>
  <conditionalFormatting sqref="P67">
    <cfRule type="cellIs" dxfId="1586" priority="237" operator="greaterThan">
      <formula>$D67</formula>
    </cfRule>
    <cfRule type="cellIs" dxfId="1585" priority="238" operator="lessThanOrEqual">
      <formula>$D67</formula>
    </cfRule>
  </conditionalFormatting>
  <conditionalFormatting sqref="P68">
    <cfRule type="cellIs" dxfId="1584" priority="235" operator="greaterThan">
      <formula>$D68</formula>
    </cfRule>
    <cfRule type="cellIs" dxfId="1583" priority="236" operator="lessThanOrEqual">
      <formula>$D68</formula>
    </cfRule>
  </conditionalFormatting>
  <conditionalFormatting sqref="P69">
    <cfRule type="cellIs" dxfId="1582" priority="233" operator="greaterThan">
      <formula>$D69</formula>
    </cfRule>
    <cfRule type="cellIs" dxfId="1581" priority="234" operator="lessThanOrEqual">
      <formula>$D69</formula>
    </cfRule>
  </conditionalFormatting>
  <conditionalFormatting sqref="P70">
    <cfRule type="cellIs" dxfId="1580" priority="231" operator="greaterThan">
      <formula>$D70</formula>
    </cfRule>
    <cfRule type="cellIs" dxfId="1579" priority="232" operator="lessThanOrEqual">
      <formula>$D70</formula>
    </cfRule>
  </conditionalFormatting>
  <conditionalFormatting sqref="P71">
    <cfRule type="cellIs" dxfId="1578" priority="229" operator="greaterThan">
      <formula>$D71</formula>
    </cfRule>
    <cfRule type="cellIs" dxfId="1577" priority="230" operator="lessThanOrEqual">
      <formula>$D71</formula>
    </cfRule>
  </conditionalFormatting>
  <conditionalFormatting sqref="P72">
    <cfRule type="cellIs" dxfId="1576" priority="227" operator="greaterThan">
      <formula>$D72</formula>
    </cfRule>
    <cfRule type="cellIs" dxfId="1575" priority="228" operator="lessThanOrEqual">
      <formula>$D72</formula>
    </cfRule>
  </conditionalFormatting>
  <conditionalFormatting sqref="P73:P74">
    <cfRule type="cellIs" dxfId="1574" priority="225" operator="greaterThan">
      <formula>$D73</formula>
    </cfRule>
    <cfRule type="cellIs" dxfId="1573" priority="226" operator="lessThanOrEqual">
      <formula>$D73</formula>
    </cfRule>
  </conditionalFormatting>
  <conditionalFormatting sqref="P75">
    <cfRule type="cellIs" dxfId="1572" priority="223" operator="greaterThan">
      <formula>$D75</formula>
    </cfRule>
    <cfRule type="cellIs" dxfId="1571" priority="224" operator="lessThanOrEqual">
      <formula>$D75</formula>
    </cfRule>
  </conditionalFormatting>
  <conditionalFormatting sqref="Q46">
    <cfRule type="cellIs" dxfId="1570" priority="221" operator="greaterThan">
      <formula>$D46</formula>
    </cfRule>
    <cfRule type="cellIs" dxfId="1569" priority="222" operator="lessThanOrEqual">
      <formula>$D46</formula>
    </cfRule>
  </conditionalFormatting>
  <conditionalFormatting sqref="Q47">
    <cfRule type="cellIs" dxfId="1568" priority="219" operator="greaterThan">
      <formula>$D47</formula>
    </cfRule>
    <cfRule type="cellIs" dxfId="1567" priority="220" operator="lessThanOrEqual">
      <formula>$D47</formula>
    </cfRule>
  </conditionalFormatting>
  <conditionalFormatting sqref="Q48">
    <cfRule type="cellIs" dxfId="1566" priority="217" operator="greaterThan">
      <formula>$D48</formula>
    </cfRule>
    <cfRule type="cellIs" dxfId="1565" priority="218" operator="lessThanOrEqual">
      <formula>$D48</formula>
    </cfRule>
  </conditionalFormatting>
  <conditionalFormatting sqref="Q49">
    <cfRule type="cellIs" dxfId="1564" priority="215" operator="greaterThan">
      <formula>$D49</formula>
    </cfRule>
    <cfRule type="cellIs" dxfId="1563" priority="216" operator="lessThanOrEqual">
      <formula>$D49</formula>
    </cfRule>
  </conditionalFormatting>
  <conditionalFormatting sqref="Q50">
    <cfRule type="cellIs" dxfId="1562" priority="213" operator="greaterThan">
      <formula>$D50</formula>
    </cfRule>
    <cfRule type="cellIs" dxfId="1561" priority="214" operator="lessThanOrEqual">
      <formula>$D50</formula>
    </cfRule>
  </conditionalFormatting>
  <conditionalFormatting sqref="Q51">
    <cfRule type="cellIs" dxfId="1560" priority="211" operator="greaterThan">
      <formula>$D51</formula>
    </cfRule>
    <cfRule type="cellIs" dxfId="1559" priority="212" operator="lessThanOrEqual">
      <formula>$D51</formula>
    </cfRule>
  </conditionalFormatting>
  <conditionalFormatting sqref="Q52">
    <cfRule type="cellIs" dxfId="1558" priority="209" operator="greaterThan">
      <formula>$D52</formula>
    </cfRule>
    <cfRule type="cellIs" dxfId="1557" priority="210" operator="lessThanOrEqual">
      <formula>$D52</formula>
    </cfRule>
  </conditionalFormatting>
  <conditionalFormatting sqref="Q53">
    <cfRule type="cellIs" dxfId="1556" priority="207" operator="greaterThan">
      <formula>$D53</formula>
    </cfRule>
    <cfRule type="cellIs" dxfId="1555" priority="208" operator="lessThanOrEqual">
      <formula>$D53</formula>
    </cfRule>
  </conditionalFormatting>
  <conditionalFormatting sqref="Q56">
    <cfRule type="cellIs" dxfId="1554" priority="203" operator="greaterThan">
      <formula>$X$56</formula>
    </cfRule>
    <cfRule type="cellIs" dxfId="1553" priority="204" operator="lessThanOrEqual">
      <formula>$X$56</formula>
    </cfRule>
  </conditionalFormatting>
  <conditionalFormatting sqref="Q57">
    <cfRule type="cellIs" dxfId="1552" priority="201" operator="greaterThan">
      <formula>$D57</formula>
    </cfRule>
    <cfRule type="cellIs" dxfId="1551" priority="202" operator="lessThanOrEqual">
      <formula>$D57</formula>
    </cfRule>
  </conditionalFormatting>
  <conditionalFormatting sqref="Q58">
    <cfRule type="cellIs" dxfId="1550" priority="199" operator="greaterThan">
      <formula>$D58</formula>
    </cfRule>
    <cfRule type="cellIs" dxfId="1549" priority="200" operator="lessThanOrEqual">
      <formula>$D58</formula>
    </cfRule>
  </conditionalFormatting>
  <conditionalFormatting sqref="Q59">
    <cfRule type="cellIs" dxfId="1548" priority="197" operator="greaterThan">
      <formula>$D59</formula>
    </cfRule>
    <cfRule type="cellIs" dxfId="1547" priority="198" operator="lessThanOrEqual">
      <formula>$D59</formula>
    </cfRule>
  </conditionalFormatting>
  <conditionalFormatting sqref="Q60">
    <cfRule type="cellIs" dxfId="1546" priority="195" operator="greaterThan">
      <formula>$D60</formula>
    </cfRule>
    <cfRule type="cellIs" dxfId="1545" priority="196" operator="lessThanOrEqual">
      <formula>$D60</formula>
    </cfRule>
  </conditionalFormatting>
  <conditionalFormatting sqref="Q61">
    <cfRule type="cellIs" dxfId="1544" priority="193" operator="greaterThan">
      <formula>$D61</formula>
    </cfRule>
    <cfRule type="cellIs" dxfId="1543" priority="194" operator="lessThanOrEqual">
      <formula>$D61</formula>
    </cfRule>
  </conditionalFormatting>
  <conditionalFormatting sqref="Q62">
    <cfRule type="cellIs" dxfId="1542" priority="191" operator="greaterThan">
      <formula>$D62</formula>
    </cfRule>
    <cfRule type="cellIs" dxfId="1541" priority="192" operator="lessThanOrEqual">
      <formula>$D62</formula>
    </cfRule>
  </conditionalFormatting>
  <conditionalFormatting sqref="Q63">
    <cfRule type="cellIs" dxfId="1540" priority="189" operator="greaterThan">
      <formula>$D63</formula>
    </cfRule>
    <cfRule type="cellIs" dxfId="1539" priority="190" operator="lessThanOrEqual">
      <formula>$D63</formula>
    </cfRule>
  </conditionalFormatting>
  <conditionalFormatting sqref="Q64">
    <cfRule type="cellIs" dxfId="1538" priority="187" operator="greaterThan">
      <formula>$D64</formula>
    </cfRule>
    <cfRule type="cellIs" dxfId="1537" priority="188" operator="lessThanOrEqual">
      <formula>$D64</formula>
    </cfRule>
  </conditionalFormatting>
  <conditionalFormatting sqref="Q65">
    <cfRule type="cellIs" dxfId="1536" priority="185" operator="greaterThan">
      <formula>$D65</formula>
    </cfRule>
    <cfRule type="cellIs" dxfId="1535" priority="186" operator="lessThanOrEqual">
      <formula>$D65</formula>
    </cfRule>
  </conditionalFormatting>
  <conditionalFormatting sqref="Q66">
    <cfRule type="cellIs" dxfId="1534" priority="183" operator="greaterThan">
      <formula>$D66</formula>
    </cfRule>
    <cfRule type="cellIs" dxfId="1533" priority="184" operator="lessThanOrEqual">
      <formula>$D66</formula>
    </cfRule>
  </conditionalFormatting>
  <conditionalFormatting sqref="Q67">
    <cfRule type="cellIs" dxfId="1532" priority="181" operator="greaterThan">
      <formula>$D67</formula>
    </cfRule>
    <cfRule type="cellIs" dxfId="1531" priority="182" operator="lessThanOrEqual">
      <formula>$D67</formula>
    </cfRule>
  </conditionalFormatting>
  <conditionalFormatting sqref="Q68">
    <cfRule type="cellIs" dxfId="1530" priority="179" operator="greaterThan">
      <formula>$D68</formula>
    </cfRule>
    <cfRule type="cellIs" dxfId="1529" priority="180" operator="lessThanOrEqual">
      <formula>$D68</formula>
    </cfRule>
  </conditionalFormatting>
  <conditionalFormatting sqref="Q69">
    <cfRule type="cellIs" dxfId="1528" priority="177" operator="greaterThan">
      <formula>$D69</formula>
    </cfRule>
    <cfRule type="cellIs" dxfId="1527" priority="178" operator="lessThanOrEqual">
      <formula>$D69</formula>
    </cfRule>
  </conditionalFormatting>
  <conditionalFormatting sqref="Q70">
    <cfRule type="cellIs" dxfId="1526" priority="175" operator="greaterThan">
      <formula>$D70</formula>
    </cfRule>
    <cfRule type="cellIs" dxfId="1525" priority="176" operator="lessThanOrEqual">
      <formula>$D70</formula>
    </cfRule>
  </conditionalFormatting>
  <conditionalFormatting sqref="Q71">
    <cfRule type="cellIs" dxfId="1524" priority="173" operator="greaterThan">
      <formula>$D71</formula>
    </cfRule>
    <cfRule type="cellIs" dxfId="1523" priority="174" operator="lessThanOrEqual">
      <formula>$D71</formula>
    </cfRule>
  </conditionalFormatting>
  <conditionalFormatting sqref="Q72">
    <cfRule type="cellIs" dxfId="1522" priority="171" operator="greaterThan">
      <formula>$D72</formula>
    </cfRule>
    <cfRule type="cellIs" dxfId="1521" priority="172" operator="lessThanOrEqual">
      <formula>$D72</formula>
    </cfRule>
  </conditionalFormatting>
  <conditionalFormatting sqref="Q73:Q74">
    <cfRule type="cellIs" dxfId="1520" priority="169" operator="greaterThan">
      <formula>$D73</formula>
    </cfRule>
    <cfRule type="cellIs" dxfId="1519" priority="170" operator="lessThanOrEqual">
      <formula>$D73</formula>
    </cfRule>
  </conditionalFormatting>
  <conditionalFormatting sqref="Q75">
    <cfRule type="cellIs" dxfId="1518" priority="167" operator="greaterThan">
      <formula>$D75</formula>
    </cfRule>
    <cfRule type="cellIs" dxfId="1517" priority="168" operator="lessThanOrEqual">
      <formula>$D75</formula>
    </cfRule>
  </conditionalFormatting>
  <conditionalFormatting sqref="E54">
    <cfRule type="cellIs" dxfId="1516" priority="129" operator="greaterThan">
      <formula>$D54</formula>
    </cfRule>
    <cfRule type="cellIs" dxfId="1515" priority="130" operator="lessThanOrEqual">
      <formula>$D54</formula>
    </cfRule>
  </conditionalFormatting>
  <conditionalFormatting sqref="F54">
    <cfRule type="cellIs" dxfId="1514" priority="127" operator="greaterThan">
      <formula>$D54</formula>
    </cfRule>
    <cfRule type="cellIs" dxfId="1513" priority="128" operator="lessThanOrEqual">
      <formula>$D54</formula>
    </cfRule>
  </conditionalFormatting>
  <conditionalFormatting sqref="G54">
    <cfRule type="cellIs" dxfId="1512" priority="125" operator="greaterThan">
      <formula>$D54</formula>
    </cfRule>
    <cfRule type="cellIs" dxfId="1511" priority="126" operator="lessThanOrEqual">
      <formula>$D54</formula>
    </cfRule>
  </conditionalFormatting>
  <conditionalFormatting sqref="H54">
    <cfRule type="cellIs" dxfId="1510" priority="123" operator="greaterThan">
      <formula>$D54</formula>
    </cfRule>
    <cfRule type="cellIs" dxfId="1509" priority="124" operator="lessThanOrEqual">
      <formula>$D54</formula>
    </cfRule>
  </conditionalFormatting>
  <conditionalFormatting sqref="I54">
    <cfRule type="cellIs" dxfId="1508" priority="121" operator="greaterThan">
      <formula>$D54</formula>
    </cfRule>
    <cfRule type="cellIs" dxfId="1507" priority="122" operator="lessThanOrEqual">
      <formula>$D54</formula>
    </cfRule>
  </conditionalFormatting>
  <conditionalFormatting sqref="J54">
    <cfRule type="cellIs" dxfId="1506" priority="119" operator="greaterThan">
      <formula>$D54</formula>
    </cfRule>
    <cfRule type="cellIs" dxfId="1505" priority="120" operator="lessThanOrEqual">
      <formula>$D54</formula>
    </cfRule>
  </conditionalFormatting>
  <conditionalFormatting sqref="K54">
    <cfRule type="cellIs" dxfId="1504" priority="117" operator="greaterThan">
      <formula>$D54</formula>
    </cfRule>
    <cfRule type="cellIs" dxfId="1503" priority="118" operator="lessThanOrEqual">
      <formula>$D54</formula>
    </cfRule>
  </conditionalFormatting>
  <conditionalFormatting sqref="L54">
    <cfRule type="cellIs" dxfId="1502" priority="115" operator="greaterThan">
      <formula>$D54</formula>
    </cfRule>
    <cfRule type="cellIs" dxfId="1501" priority="116" operator="lessThanOrEqual">
      <formula>$D54</formula>
    </cfRule>
  </conditionalFormatting>
  <conditionalFormatting sqref="M54">
    <cfRule type="cellIs" dxfId="1500" priority="113" operator="greaterThan">
      <formula>$D54</formula>
    </cfRule>
    <cfRule type="cellIs" dxfId="1499" priority="114" operator="lessThanOrEqual">
      <formula>$D54</formula>
    </cfRule>
  </conditionalFormatting>
  <conditionalFormatting sqref="N54">
    <cfRule type="cellIs" dxfId="1498" priority="111" operator="greaterThan">
      <formula>$D54</formula>
    </cfRule>
    <cfRule type="cellIs" dxfId="1497" priority="112" operator="lessThanOrEqual">
      <formula>$D54</formula>
    </cfRule>
  </conditionalFormatting>
  <conditionalFormatting sqref="O54">
    <cfRule type="cellIs" dxfId="1496" priority="109" operator="greaterThan">
      <formula>$D54</formula>
    </cfRule>
    <cfRule type="cellIs" dxfId="1495" priority="110" operator="lessThanOrEqual">
      <formula>$D54</formula>
    </cfRule>
  </conditionalFormatting>
  <conditionalFormatting sqref="P54">
    <cfRule type="cellIs" dxfId="1494" priority="107" operator="greaterThan">
      <formula>$D54</formula>
    </cfRule>
    <cfRule type="cellIs" dxfId="1493" priority="108" operator="lessThanOrEqual">
      <formula>$D54</formula>
    </cfRule>
  </conditionalFormatting>
  <conditionalFormatting sqref="Q54">
    <cfRule type="cellIs" dxfId="1492" priority="105" operator="greaterThan">
      <formula>$D54</formula>
    </cfRule>
    <cfRule type="cellIs" dxfId="1491" priority="106" operator="lessThanOrEqual">
      <formula>$D54</formula>
    </cfRule>
  </conditionalFormatting>
  <conditionalFormatting sqref="E55">
    <cfRule type="cellIs" dxfId="1490" priority="103" operator="greaterThan">
      <formula>$D55</formula>
    </cfRule>
    <cfRule type="cellIs" dxfId="1489" priority="104" operator="lessThanOrEqual">
      <formula>$D55</formula>
    </cfRule>
  </conditionalFormatting>
  <conditionalFormatting sqref="F55">
    <cfRule type="cellIs" dxfId="1488" priority="101" operator="greaterThan">
      <formula>$D55</formula>
    </cfRule>
    <cfRule type="cellIs" dxfId="1487" priority="102" operator="lessThanOrEqual">
      <formula>$D55</formula>
    </cfRule>
  </conditionalFormatting>
  <conditionalFormatting sqref="G55">
    <cfRule type="cellIs" dxfId="1486" priority="99" operator="greaterThan">
      <formula>$D55</formula>
    </cfRule>
    <cfRule type="cellIs" dxfId="1485" priority="100" operator="lessThanOrEqual">
      <formula>$D55</formula>
    </cfRule>
  </conditionalFormatting>
  <conditionalFormatting sqref="H55">
    <cfRule type="cellIs" dxfId="1484" priority="97" operator="greaterThan">
      <formula>$D55</formula>
    </cfRule>
    <cfRule type="cellIs" dxfId="1483" priority="98" operator="lessThanOrEqual">
      <formula>$D55</formula>
    </cfRule>
  </conditionalFormatting>
  <conditionalFormatting sqref="I55">
    <cfRule type="cellIs" dxfId="1482" priority="95" operator="greaterThan">
      <formula>$D55</formula>
    </cfRule>
    <cfRule type="cellIs" dxfId="1481" priority="96" operator="lessThanOrEqual">
      <formula>$D55</formula>
    </cfRule>
  </conditionalFormatting>
  <conditionalFormatting sqref="J55">
    <cfRule type="cellIs" dxfId="1480" priority="93" operator="greaterThan">
      <formula>$D55</formula>
    </cfRule>
    <cfRule type="cellIs" dxfId="1479" priority="94" operator="lessThanOrEqual">
      <formula>$D55</formula>
    </cfRule>
  </conditionalFormatting>
  <conditionalFormatting sqref="K55">
    <cfRule type="cellIs" dxfId="1478" priority="91" operator="greaterThan">
      <formula>$D55</formula>
    </cfRule>
    <cfRule type="cellIs" dxfId="1477" priority="92" operator="lessThanOrEqual">
      <formula>$D55</formula>
    </cfRule>
  </conditionalFormatting>
  <conditionalFormatting sqref="L55">
    <cfRule type="cellIs" dxfId="1476" priority="89" operator="greaterThan">
      <formula>$D55</formula>
    </cfRule>
    <cfRule type="cellIs" dxfId="1475" priority="90" operator="lessThanOrEqual">
      <formula>$D55</formula>
    </cfRule>
  </conditionalFormatting>
  <conditionalFormatting sqref="M55">
    <cfRule type="cellIs" dxfId="1474" priority="87" operator="greaterThan">
      <formula>$D55</formula>
    </cfRule>
    <cfRule type="cellIs" dxfId="1473" priority="88" operator="lessThanOrEqual">
      <formula>$D55</formula>
    </cfRule>
  </conditionalFormatting>
  <conditionalFormatting sqref="N55">
    <cfRule type="cellIs" dxfId="1472" priority="85" operator="greaterThan">
      <formula>$D55</formula>
    </cfRule>
    <cfRule type="cellIs" dxfId="1471" priority="86" operator="lessThanOrEqual">
      <formula>$D55</formula>
    </cfRule>
  </conditionalFormatting>
  <conditionalFormatting sqref="O55">
    <cfRule type="cellIs" dxfId="1470" priority="83" operator="greaterThan">
      <formula>$D55</formula>
    </cfRule>
    <cfRule type="cellIs" dxfId="1469" priority="84" operator="lessThanOrEqual">
      <formula>$D55</formula>
    </cfRule>
  </conditionalFormatting>
  <conditionalFormatting sqref="P55">
    <cfRule type="cellIs" dxfId="1468" priority="81" operator="greaterThan">
      <formula>$D55</formula>
    </cfRule>
    <cfRule type="cellIs" dxfId="1467" priority="82" operator="lessThanOrEqual">
      <formula>$D55</formula>
    </cfRule>
  </conditionalFormatting>
  <conditionalFormatting sqref="Q55">
    <cfRule type="cellIs" dxfId="1466" priority="79" operator="greaterThan">
      <formula>$D55</formula>
    </cfRule>
    <cfRule type="cellIs" dxfId="1465" priority="80" operator="lessThanOrEqual">
      <formula>$D55</formula>
    </cfRule>
  </conditionalFormatting>
  <conditionalFormatting sqref="R79:W79">
    <cfRule type="cellIs" dxfId="1464" priority="912" operator="greaterThan">
      <formula>#REF!</formula>
    </cfRule>
    <cfRule type="cellIs" dxfId="1463" priority="913" operator="lessThanOrEqual">
      <formula>#REF!</formula>
    </cfRule>
  </conditionalFormatting>
  <conditionalFormatting sqref="Q79">
    <cfRule type="cellIs" dxfId="1462" priority="77" operator="greaterThan">
      <formula>$D79</formula>
    </cfRule>
    <cfRule type="cellIs" dxfId="1461" priority="78" operator="lessThanOrEqual">
      <formula>$D79</formula>
    </cfRule>
  </conditionalFormatting>
  <conditionalFormatting sqref="E79">
    <cfRule type="cellIs" dxfId="1460" priority="75" operator="greaterThan">
      <formula>$D79</formula>
    </cfRule>
    <cfRule type="cellIs" dxfId="1459" priority="76" operator="lessThanOrEqual">
      <formula>$D79</formula>
    </cfRule>
  </conditionalFormatting>
  <conditionalFormatting sqref="F79">
    <cfRule type="cellIs" dxfId="1458" priority="73" operator="greaterThan">
      <formula>$D79</formula>
    </cfRule>
    <cfRule type="cellIs" dxfId="1457" priority="74" operator="lessThanOrEqual">
      <formula>$D79</formula>
    </cfRule>
  </conditionalFormatting>
  <conditionalFormatting sqref="G79">
    <cfRule type="cellIs" dxfId="1456" priority="71" operator="greaterThan">
      <formula>$D79</formula>
    </cfRule>
    <cfRule type="cellIs" dxfId="1455" priority="72" operator="lessThanOrEqual">
      <formula>$D79</formula>
    </cfRule>
  </conditionalFormatting>
  <conditionalFormatting sqref="H79">
    <cfRule type="cellIs" dxfId="1454" priority="69" operator="greaterThan">
      <formula>$D79</formula>
    </cfRule>
    <cfRule type="cellIs" dxfId="1453" priority="70" operator="lessThanOrEqual">
      <formula>$D79</formula>
    </cfRule>
  </conditionalFormatting>
  <conditionalFormatting sqref="I79">
    <cfRule type="cellIs" dxfId="1452" priority="67" operator="greaterThan">
      <formula>$D79</formula>
    </cfRule>
    <cfRule type="cellIs" dxfId="1451" priority="68" operator="lessThanOrEqual">
      <formula>$D79</formula>
    </cfRule>
  </conditionalFormatting>
  <conditionalFormatting sqref="J79">
    <cfRule type="cellIs" dxfId="1450" priority="65" operator="greaterThan">
      <formula>$D79</formula>
    </cfRule>
    <cfRule type="cellIs" dxfId="1449" priority="66" operator="lessThanOrEqual">
      <formula>$D79</formula>
    </cfRule>
  </conditionalFormatting>
  <conditionalFormatting sqref="K79">
    <cfRule type="cellIs" dxfId="1448" priority="63" operator="greaterThan">
      <formula>$D79</formula>
    </cfRule>
    <cfRule type="cellIs" dxfId="1447" priority="64" operator="lessThanOrEqual">
      <formula>$D79</formula>
    </cfRule>
  </conditionalFormatting>
  <conditionalFormatting sqref="L79">
    <cfRule type="cellIs" dxfId="1446" priority="61" operator="greaterThan">
      <formula>$D79</formula>
    </cfRule>
    <cfRule type="cellIs" dxfId="1445" priority="62" operator="lessThanOrEqual">
      <formula>$D79</formula>
    </cfRule>
  </conditionalFormatting>
  <conditionalFormatting sqref="M79">
    <cfRule type="cellIs" dxfId="1444" priority="59" operator="greaterThan">
      <formula>$D79</formula>
    </cfRule>
    <cfRule type="cellIs" dxfId="1443" priority="60" operator="lessThanOrEqual">
      <formula>$D79</formula>
    </cfRule>
  </conditionalFormatting>
  <conditionalFormatting sqref="N79">
    <cfRule type="cellIs" dxfId="1442" priority="57" operator="greaterThan">
      <formula>$D79</formula>
    </cfRule>
    <cfRule type="cellIs" dxfId="1441" priority="58" operator="lessThanOrEqual">
      <formula>$D79</formula>
    </cfRule>
  </conditionalFormatting>
  <conditionalFormatting sqref="O79">
    <cfRule type="cellIs" dxfId="1440" priority="55" operator="greaterThan">
      <formula>$D79</formula>
    </cfRule>
    <cfRule type="cellIs" dxfId="1439" priority="56" operator="lessThanOrEqual">
      <formula>$D79</formula>
    </cfRule>
  </conditionalFormatting>
  <conditionalFormatting sqref="P79">
    <cfRule type="cellIs" dxfId="1438" priority="53" operator="greaterThan">
      <formula>$D79</formula>
    </cfRule>
    <cfRule type="cellIs" dxfId="1437" priority="54" operator="lessThanOrEqual">
      <formula>$D79</formula>
    </cfRule>
  </conditionalFormatting>
  <conditionalFormatting sqref="Q81">
    <cfRule type="cellIs" dxfId="1436" priority="51" operator="greaterThan">
      <formula>$D81</formula>
    </cfRule>
    <cfRule type="cellIs" dxfId="1435" priority="52" operator="lessThanOrEqual">
      <formula>$D81</formula>
    </cfRule>
  </conditionalFormatting>
  <conditionalFormatting sqref="E81">
    <cfRule type="cellIs" dxfId="1434" priority="49" operator="greaterThan">
      <formula>$D81</formula>
    </cfRule>
    <cfRule type="cellIs" dxfId="1433" priority="50" operator="lessThanOrEqual">
      <formula>$D81</formula>
    </cfRule>
  </conditionalFormatting>
  <conditionalFormatting sqref="F81">
    <cfRule type="cellIs" dxfId="1432" priority="47" operator="greaterThan">
      <formula>$D81</formula>
    </cfRule>
    <cfRule type="cellIs" dxfId="1431" priority="48" operator="lessThanOrEqual">
      <formula>$D81</formula>
    </cfRule>
  </conditionalFormatting>
  <conditionalFormatting sqref="G81">
    <cfRule type="cellIs" dxfId="1430" priority="45" operator="greaterThan">
      <formula>$D81</formula>
    </cfRule>
    <cfRule type="cellIs" dxfId="1429" priority="46" operator="lessThanOrEqual">
      <formula>$D81</formula>
    </cfRule>
  </conditionalFormatting>
  <conditionalFormatting sqref="H81">
    <cfRule type="cellIs" dxfId="1428" priority="43" operator="greaterThan">
      <formula>$D81</formula>
    </cfRule>
    <cfRule type="cellIs" dxfId="1427" priority="44" operator="lessThanOrEqual">
      <formula>$D81</formula>
    </cfRule>
  </conditionalFormatting>
  <conditionalFormatting sqref="I81">
    <cfRule type="cellIs" dxfId="1426" priority="41" operator="greaterThan">
      <formula>$D81</formula>
    </cfRule>
    <cfRule type="cellIs" dxfId="1425" priority="42" operator="lessThanOrEqual">
      <formula>$D81</formula>
    </cfRule>
  </conditionalFormatting>
  <conditionalFormatting sqref="J81">
    <cfRule type="cellIs" dxfId="1424" priority="39" operator="greaterThan">
      <formula>$D81</formula>
    </cfRule>
    <cfRule type="cellIs" dxfId="1423" priority="40" operator="lessThanOrEqual">
      <formula>$D81</formula>
    </cfRule>
  </conditionalFormatting>
  <conditionalFormatting sqref="K81">
    <cfRule type="cellIs" dxfId="1422" priority="37" operator="greaterThan">
      <formula>$D81</formula>
    </cfRule>
    <cfRule type="cellIs" dxfId="1421" priority="38" operator="lessThanOrEqual">
      <formula>$D81</formula>
    </cfRule>
  </conditionalFormatting>
  <conditionalFormatting sqref="L81">
    <cfRule type="cellIs" dxfId="1420" priority="35" operator="greaterThan">
      <formula>$D81</formula>
    </cfRule>
    <cfRule type="cellIs" dxfId="1419" priority="36" operator="lessThanOrEqual">
      <formula>$D81</formula>
    </cfRule>
  </conditionalFormatting>
  <conditionalFormatting sqref="M81">
    <cfRule type="cellIs" dxfId="1418" priority="33" operator="greaterThan">
      <formula>$D81</formula>
    </cfRule>
    <cfRule type="cellIs" dxfId="1417" priority="34" operator="lessThanOrEqual">
      <formula>$D81</formula>
    </cfRule>
  </conditionalFormatting>
  <conditionalFormatting sqref="N81">
    <cfRule type="cellIs" dxfId="1416" priority="31" operator="greaterThan">
      <formula>$D81</formula>
    </cfRule>
    <cfRule type="cellIs" dxfId="1415" priority="32" operator="lessThanOrEqual">
      <formula>$D81</formula>
    </cfRule>
  </conditionalFormatting>
  <conditionalFormatting sqref="O81">
    <cfRule type="cellIs" dxfId="1414" priority="29" operator="greaterThan">
      <formula>$D81</formula>
    </cfRule>
    <cfRule type="cellIs" dxfId="1413" priority="30" operator="lessThanOrEqual">
      <formula>$D81</formula>
    </cfRule>
  </conditionalFormatting>
  <conditionalFormatting sqref="P81">
    <cfRule type="cellIs" dxfId="1412" priority="27" operator="greaterThan">
      <formula>$D81</formula>
    </cfRule>
    <cfRule type="cellIs" dxfId="1411" priority="28" operator="lessThanOrEqual">
      <formula>$D81</formula>
    </cfRule>
  </conditionalFormatting>
  <conditionalFormatting sqref="E82">
    <cfRule type="cellIs" dxfId="1410" priority="25" operator="greaterThan">
      <formula>$D82</formula>
    </cfRule>
    <cfRule type="cellIs" dxfId="1409" priority="26" operator="lessThanOrEqual">
      <formula>$D82</formula>
    </cfRule>
  </conditionalFormatting>
  <conditionalFormatting sqref="F82">
    <cfRule type="cellIs" dxfId="1408" priority="23" operator="greaterThan">
      <formula>$D82</formula>
    </cfRule>
    <cfRule type="cellIs" dxfId="1407" priority="24" operator="lessThanOrEqual">
      <formula>$D82</formula>
    </cfRule>
  </conditionalFormatting>
  <conditionalFormatting sqref="G82">
    <cfRule type="cellIs" dxfId="1406" priority="21" operator="greaterThan">
      <formula>$D82</formula>
    </cfRule>
    <cfRule type="cellIs" dxfId="1405" priority="22" operator="lessThanOrEqual">
      <formula>$D82</formula>
    </cfRule>
  </conditionalFormatting>
  <conditionalFormatting sqref="H82">
    <cfRule type="cellIs" dxfId="1404" priority="19" operator="greaterThan">
      <formula>$D82</formula>
    </cfRule>
    <cfRule type="cellIs" dxfId="1403" priority="20" operator="lessThanOrEqual">
      <formula>$D82</formula>
    </cfRule>
  </conditionalFormatting>
  <conditionalFormatting sqref="I82">
    <cfRule type="cellIs" dxfId="1402" priority="17" operator="greaterThan">
      <formula>$D82</formula>
    </cfRule>
    <cfRule type="cellIs" dxfId="1401" priority="18" operator="lessThanOrEqual">
      <formula>$D82</formula>
    </cfRule>
  </conditionalFormatting>
  <conditionalFormatting sqref="J82">
    <cfRule type="cellIs" dxfId="1400" priority="15" operator="greaterThan">
      <formula>$D82</formula>
    </cfRule>
    <cfRule type="cellIs" dxfId="1399" priority="16" operator="lessThanOrEqual">
      <formula>$D82</formula>
    </cfRule>
  </conditionalFormatting>
  <conditionalFormatting sqref="K82">
    <cfRule type="cellIs" dxfId="1398" priority="13" operator="greaterThan">
      <formula>$D82</formula>
    </cfRule>
    <cfRule type="cellIs" dxfId="1397" priority="14" operator="lessThanOrEqual">
      <formula>$D82</formula>
    </cfRule>
  </conditionalFormatting>
  <conditionalFormatting sqref="L82">
    <cfRule type="cellIs" dxfId="1396" priority="11" operator="greaterThan">
      <formula>$D82</formula>
    </cfRule>
    <cfRule type="cellIs" dxfId="1395" priority="12" operator="lessThanOrEqual">
      <formula>$D82</formula>
    </cfRule>
  </conditionalFormatting>
  <conditionalFormatting sqref="M82">
    <cfRule type="cellIs" dxfId="1394" priority="9" operator="greaterThan">
      <formula>$D82</formula>
    </cfRule>
    <cfRule type="cellIs" dxfId="1393" priority="10" operator="lessThanOrEqual">
      <formula>$D82</formula>
    </cfRule>
  </conditionalFormatting>
  <conditionalFormatting sqref="N82">
    <cfRule type="cellIs" dxfId="1392" priority="7" operator="greaterThan">
      <formula>$D82</formula>
    </cfRule>
    <cfRule type="cellIs" dxfId="1391" priority="8" operator="lessThanOrEqual">
      <formula>$D82</formula>
    </cfRule>
  </conditionalFormatting>
  <conditionalFormatting sqref="O82">
    <cfRule type="cellIs" dxfId="1390" priority="5" operator="greaterThan">
      <formula>$D82</formula>
    </cfRule>
    <cfRule type="cellIs" dxfId="1389" priority="6" operator="lessThanOrEqual">
      <formula>$D82</formula>
    </cfRule>
  </conditionalFormatting>
  <conditionalFormatting sqref="P82">
    <cfRule type="cellIs" dxfId="1388" priority="3" operator="greaterThan">
      <formula>$D82</formula>
    </cfRule>
    <cfRule type="cellIs" dxfId="1387" priority="4" operator="lessThanOrEqual">
      <formula>$D82</formula>
    </cfRule>
  </conditionalFormatting>
  <conditionalFormatting sqref="Q82">
    <cfRule type="cellIs" dxfId="1386" priority="1" operator="greaterThan">
      <formula>$D82</formula>
    </cfRule>
    <cfRule type="cellIs" dxfId="1385" priority="2" operator="lessThanOrEqual">
      <formula>$D82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A558-0143-4F48-AE5B-A8EE017550B8}">
  <dimension ref="B2:Z76"/>
  <sheetViews>
    <sheetView zoomScaleNormal="100" workbookViewId="0">
      <selection activeCell="C19" sqref="C19"/>
    </sheetView>
  </sheetViews>
  <sheetFormatPr defaultRowHeight="14.5"/>
  <cols>
    <col min="1" max="1" width="5.08984375" customWidth="1"/>
    <col min="2" max="2" width="12" style="70" customWidth="1"/>
    <col min="3" max="3" width="16" bestFit="1" customWidth="1"/>
    <col min="4" max="6" width="13.6328125" bestFit="1" customWidth="1"/>
    <col min="7" max="7" width="12.6328125" bestFit="1" customWidth="1"/>
    <col min="8" max="11" width="10.7265625" bestFit="1" customWidth="1"/>
    <col min="12" max="13" width="11.6328125" bestFit="1" customWidth="1"/>
    <col min="14" max="15" width="10.36328125" bestFit="1" customWidth="1"/>
    <col min="16" max="16" width="13.26953125" bestFit="1" customWidth="1"/>
    <col min="18" max="18" width="14.26953125" bestFit="1" customWidth="1"/>
    <col min="19" max="19" width="10.6328125" bestFit="1" customWidth="1"/>
    <col min="20" max="20" width="11.6328125" bestFit="1" customWidth="1"/>
  </cols>
  <sheetData>
    <row r="2" spans="3:21">
      <c r="C2" s="170" t="s">
        <v>108</v>
      </c>
      <c r="S2" s="263" t="s">
        <v>5</v>
      </c>
    </row>
    <row r="3" spans="3:21">
      <c r="C3" s="2" t="s">
        <v>2</v>
      </c>
      <c r="D3" s="169">
        <v>46023</v>
      </c>
      <c r="E3" s="3">
        <v>46054</v>
      </c>
      <c r="F3" s="169">
        <v>46082</v>
      </c>
      <c r="G3" s="3">
        <v>46113</v>
      </c>
      <c r="H3" s="169">
        <v>46143</v>
      </c>
      <c r="I3" s="3">
        <v>46174</v>
      </c>
      <c r="J3" s="169">
        <v>46204</v>
      </c>
      <c r="K3" s="3">
        <v>46235</v>
      </c>
      <c r="L3" s="169">
        <v>46266</v>
      </c>
      <c r="M3" s="3">
        <v>46296</v>
      </c>
      <c r="N3" s="169">
        <v>46327</v>
      </c>
      <c r="O3" s="3">
        <v>46357</v>
      </c>
      <c r="P3" s="4" t="s">
        <v>55</v>
      </c>
      <c r="S3" s="83" t="s">
        <v>109</v>
      </c>
      <c r="T3" s="83" t="s">
        <v>110</v>
      </c>
      <c r="U3" s="83" t="s">
        <v>14</v>
      </c>
    </row>
    <row r="4" spans="3:21">
      <c r="C4" s="7" t="s">
        <v>13</v>
      </c>
      <c r="D4" s="12">
        <f>Production!E3</f>
        <v>235440</v>
      </c>
      <c r="E4" s="12">
        <f>Production!F3</f>
        <v>214287</v>
      </c>
      <c r="F4" s="12">
        <f>Production!G3</f>
        <v>240157</v>
      </c>
      <c r="G4" s="12">
        <f>Production!H3</f>
        <v>239150</v>
      </c>
      <c r="H4" s="12">
        <f>Production!I3</f>
        <v>0</v>
      </c>
      <c r="I4" s="12">
        <f>Production!J3</f>
        <v>0</v>
      </c>
      <c r="J4" s="12">
        <f>Production!K3</f>
        <v>0</v>
      </c>
      <c r="K4" s="12">
        <f>Production!L3</f>
        <v>0</v>
      </c>
      <c r="L4" s="12">
        <f>Production!M3</f>
        <v>0</v>
      </c>
      <c r="M4" s="12">
        <f>Production!N3</f>
        <v>0</v>
      </c>
      <c r="N4" s="12">
        <f>Production!O3</f>
        <v>0</v>
      </c>
      <c r="O4" s="12">
        <f>Production!P3</f>
        <v>0</v>
      </c>
      <c r="P4" s="16">
        <f>SUM(D4:O4)</f>
        <v>929034</v>
      </c>
      <c r="R4" t="s">
        <v>16</v>
      </c>
      <c r="S4" s="89">
        <f>SUM(D4:F5,D16:F16)</f>
        <v>1541340.2699999998</v>
      </c>
      <c r="T4" s="89">
        <f>SUM(D21:F22,D33:F33)</f>
        <v>7885660</v>
      </c>
      <c r="U4" s="197">
        <f>T4/10^6</f>
        <v>7.8856599999999997</v>
      </c>
    </row>
    <row r="5" spans="3:21">
      <c r="C5" s="7" t="s">
        <v>15</v>
      </c>
      <c r="D5" s="12">
        <f>Production!E4</f>
        <v>159180.34</v>
      </c>
      <c r="E5" s="12">
        <f>Production!F4</f>
        <v>145266.85</v>
      </c>
      <c r="F5" s="12">
        <f>Production!G4</f>
        <v>54076.84</v>
      </c>
      <c r="G5" s="12">
        <f>Production!H4</f>
        <v>6132.7190000000001</v>
      </c>
      <c r="H5" s="12">
        <f>Production!I4</f>
        <v>0</v>
      </c>
      <c r="I5" s="12">
        <f>Production!J4</f>
        <v>0</v>
      </c>
      <c r="J5" s="12">
        <f>Production!K4</f>
        <v>0</v>
      </c>
      <c r="K5" s="12">
        <f>Production!L4</f>
        <v>0</v>
      </c>
      <c r="L5" s="12">
        <f>Production!M4</f>
        <v>0</v>
      </c>
      <c r="M5" s="12">
        <f>Production!N4</f>
        <v>0</v>
      </c>
      <c r="N5" s="12">
        <f>Production!O4</f>
        <v>0</v>
      </c>
      <c r="O5" s="12">
        <f>Production!P4</f>
        <v>0</v>
      </c>
      <c r="P5" s="16">
        <f t="shared" ref="P5:P15" si="0">SUM(D5:O5)</f>
        <v>364656.74900000001</v>
      </c>
      <c r="R5" t="s">
        <v>48</v>
      </c>
      <c r="S5" s="89">
        <f>SUM(D6:F6,D12:F13)</f>
        <v>347206.20700000005</v>
      </c>
      <c r="T5" s="89">
        <f>SUM(D23:F23,D29:F30)</f>
        <v>6337479.0134999994</v>
      </c>
      <c r="U5" s="197">
        <f t="shared" ref="U5:U8" si="1">T5/10^6</f>
        <v>6.3374790134999994</v>
      </c>
    </row>
    <row r="6" spans="3:21">
      <c r="C6" s="7" t="s">
        <v>17</v>
      </c>
      <c r="D6" s="12">
        <f>Production!E6</f>
        <v>102985.09</v>
      </c>
      <c r="E6" s="12">
        <f>Production!F6</f>
        <v>91532.37</v>
      </c>
      <c r="F6" s="12">
        <f>Production!G6</f>
        <v>96333.69</v>
      </c>
      <c r="G6" s="12">
        <f>Production!H6</f>
        <v>83152.3</v>
      </c>
      <c r="H6" s="12">
        <f>Production!I6</f>
        <v>0</v>
      </c>
      <c r="I6" s="12">
        <f>Production!J6</f>
        <v>0</v>
      </c>
      <c r="J6" s="12">
        <f>Production!K6</f>
        <v>0</v>
      </c>
      <c r="K6" s="12">
        <f>Production!L6</f>
        <v>0</v>
      </c>
      <c r="L6" s="12">
        <f>Production!M6</f>
        <v>0</v>
      </c>
      <c r="M6" s="12">
        <f>Production!N6</f>
        <v>0</v>
      </c>
      <c r="N6" s="12">
        <f>Production!O6</f>
        <v>0</v>
      </c>
      <c r="O6" s="12">
        <f>Production!P6</f>
        <v>0</v>
      </c>
      <c r="P6" s="16">
        <f t="shared" si="0"/>
        <v>374003.45</v>
      </c>
      <c r="R6" t="s">
        <v>111</v>
      </c>
      <c r="S6" s="89">
        <f>SUM(D7:F7)</f>
        <v>381955</v>
      </c>
      <c r="T6" s="89">
        <f>SUM(D24:F24)</f>
        <v>56942.5789</v>
      </c>
      <c r="U6" s="197">
        <f t="shared" si="1"/>
        <v>5.6942578899999999E-2</v>
      </c>
    </row>
    <row r="7" spans="3:21">
      <c r="C7" s="7" t="s">
        <v>18</v>
      </c>
      <c r="D7" s="12">
        <f>Production!E7</f>
        <v>138964</v>
      </c>
      <c r="E7" s="12">
        <f>Production!F7</f>
        <v>138700</v>
      </c>
      <c r="F7" s="12">
        <f>Production!G7</f>
        <v>104291</v>
      </c>
      <c r="G7" s="12">
        <f>Production!H7</f>
        <v>99132</v>
      </c>
      <c r="H7" s="12">
        <f>Production!I7</f>
        <v>0</v>
      </c>
      <c r="I7" s="12">
        <f>Production!J7</f>
        <v>0</v>
      </c>
      <c r="J7" s="12">
        <f>Production!K7</f>
        <v>0</v>
      </c>
      <c r="K7" s="12">
        <f>Production!L7</f>
        <v>0</v>
      </c>
      <c r="L7" s="12">
        <f>Production!M7</f>
        <v>0</v>
      </c>
      <c r="M7" s="12">
        <f>Production!N7</f>
        <v>0</v>
      </c>
      <c r="N7" s="12">
        <f>Production!O7</f>
        <v>0</v>
      </c>
      <c r="O7" s="12">
        <f>Production!P7</f>
        <v>0</v>
      </c>
      <c r="P7" s="16">
        <f t="shared" si="0"/>
        <v>481087</v>
      </c>
      <c r="R7" t="s">
        <v>50</v>
      </c>
      <c r="S7" s="89">
        <f>SUM(D8:F10,D14:F14)</f>
        <v>67721.285000000003</v>
      </c>
      <c r="T7" s="89">
        <f>SUM(D25:F27,D31:F31)</f>
        <v>1017749.3274</v>
      </c>
      <c r="U7" s="197">
        <f t="shared" si="1"/>
        <v>1.0177493274</v>
      </c>
    </row>
    <row r="8" spans="3:21">
      <c r="C8" s="7" t="s">
        <v>112</v>
      </c>
      <c r="D8" s="12">
        <f>Production!E10</f>
        <v>3910.46</v>
      </c>
      <c r="E8" s="12">
        <f>Production!F10</f>
        <v>3429.8359999999998</v>
      </c>
      <c r="F8" s="12">
        <f>Production!G10</f>
        <v>2412.8490000000002</v>
      </c>
      <c r="G8" s="12">
        <f>Production!H10</f>
        <v>1988.8720000000001</v>
      </c>
      <c r="H8" s="12">
        <f>Production!I10</f>
        <v>0</v>
      </c>
      <c r="I8" s="12">
        <f>Production!J10</f>
        <v>0</v>
      </c>
      <c r="J8" s="12">
        <f>Production!K10</f>
        <v>0</v>
      </c>
      <c r="K8" s="12">
        <f>Production!L10</f>
        <v>0</v>
      </c>
      <c r="L8" s="12">
        <f>Production!M10</f>
        <v>0</v>
      </c>
      <c r="M8" s="12">
        <f>Production!N10</f>
        <v>0</v>
      </c>
      <c r="N8" s="12">
        <f>Production!O10</f>
        <v>0</v>
      </c>
      <c r="O8" s="12">
        <f>Production!P10</f>
        <v>0</v>
      </c>
      <c r="P8" s="16">
        <f t="shared" si="0"/>
        <v>11742.017</v>
      </c>
      <c r="R8" t="s">
        <v>52</v>
      </c>
      <c r="S8" s="89">
        <f>SUM(D15:F15,D11:F11)</f>
        <v>13880.383000000002</v>
      </c>
      <c r="T8" s="89">
        <f>SUM(D32:F32,D28:F28)</f>
        <v>231250</v>
      </c>
      <c r="U8" s="197">
        <f t="shared" si="1"/>
        <v>0.23125000000000001</v>
      </c>
    </row>
    <row r="9" spans="3:21" ht="16">
      <c r="C9" s="7" t="s">
        <v>19</v>
      </c>
      <c r="D9" s="12">
        <f>Production!E8</f>
        <v>3893</v>
      </c>
      <c r="E9" s="12">
        <f>Production!F8</f>
        <v>4079</v>
      </c>
      <c r="F9" s="12">
        <f>Production!G8</f>
        <v>5156</v>
      </c>
      <c r="G9" s="12">
        <f>Production!H8</f>
        <v>4095</v>
      </c>
      <c r="H9" s="12">
        <f>Production!I8</f>
        <v>0</v>
      </c>
      <c r="I9" s="12">
        <f>Production!J8</f>
        <v>0</v>
      </c>
      <c r="J9" s="12">
        <f>Production!K8</f>
        <v>0</v>
      </c>
      <c r="K9" s="12">
        <f>Production!L8</f>
        <v>0</v>
      </c>
      <c r="L9" s="12">
        <f>Production!M8</f>
        <v>0</v>
      </c>
      <c r="M9" s="12">
        <f>Production!N8</f>
        <v>0</v>
      </c>
      <c r="N9" s="12">
        <f>Production!O8</f>
        <v>0</v>
      </c>
      <c r="O9" s="12">
        <f>Production!P8</f>
        <v>0</v>
      </c>
      <c r="P9" s="16">
        <f t="shared" si="0"/>
        <v>17223</v>
      </c>
      <c r="S9" s="198">
        <f>SUM(S4:S8)</f>
        <v>2352103.145</v>
      </c>
      <c r="T9" s="198">
        <f>SUM(T4:T8)</f>
        <v>15529080.9198</v>
      </c>
      <c r="U9" s="346">
        <f>SUM(U4:U8)</f>
        <v>15.529080919799998</v>
      </c>
    </row>
    <row r="10" spans="3:21">
      <c r="C10" s="7" t="s">
        <v>20</v>
      </c>
      <c r="D10" s="12">
        <f>Production!E9</f>
        <v>7977.9</v>
      </c>
      <c r="E10" s="12">
        <f>Production!F9</f>
        <v>8185</v>
      </c>
      <c r="F10" s="12">
        <f>Production!G9</f>
        <v>9035</v>
      </c>
      <c r="G10" s="12">
        <f>Production!H9</f>
        <v>6812</v>
      </c>
      <c r="H10" s="12">
        <f>Production!I9</f>
        <v>0</v>
      </c>
      <c r="I10" s="12">
        <f>Production!J9</f>
        <v>0</v>
      </c>
      <c r="J10" s="12">
        <f>Production!K9</f>
        <v>0</v>
      </c>
      <c r="K10" s="12">
        <f>Production!L9</f>
        <v>0</v>
      </c>
      <c r="L10" s="12">
        <f>Production!M9</f>
        <v>0</v>
      </c>
      <c r="M10" s="12">
        <f>Production!N9</f>
        <v>0</v>
      </c>
      <c r="N10" s="12">
        <f>Production!O9</f>
        <v>0</v>
      </c>
      <c r="O10" s="12">
        <f>Production!P9</f>
        <v>0</v>
      </c>
      <c r="P10" s="16">
        <f t="shared" si="0"/>
        <v>32009.9</v>
      </c>
      <c r="S10" s="89"/>
    </row>
    <row r="11" spans="3:21">
      <c r="C11" s="224" t="s">
        <v>23</v>
      </c>
      <c r="D11" s="109">
        <f>Production!E12</f>
        <v>2628.63</v>
      </c>
      <c r="E11" s="109">
        <f>Production!F12</f>
        <v>2342.79</v>
      </c>
      <c r="F11" s="109">
        <f>Production!G12</f>
        <v>2032.34</v>
      </c>
      <c r="G11" s="109">
        <f>Production!H12</f>
        <v>1914.63</v>
      </c>
      <c r="H11" s="109">
        <f>Production!I12</f>
        <v>0</v>
      </c>
      <c r="I11" s="109">
        <f>Production!J12</f>
        <v>0</v>
      </c>
      <c r="J11" s="109">
        <f>Production!K12</f>
        <v>0</v>
      </c>
      <c r="K11" s="109">
        <f>Production!L12</f>
        <v>0</v>
      </c>
      <c r="L11" s="109">
        <f>Production!M12</f>
        <v>0</v>
      </c>
      <c r="M11" s="109">
        <f>Production!N12</f>
        <v>0</v>
      </c>
      <c r="N11" s="109">
        <f>Production!O12</f>
        <v>0</v>
      </c>
      <c r="O11" s="109">
        <f>Production!P12</f>
        <v>0</v>
      </c>
      <c r="P11" s="12"/>
      <c r="R11" s="125"/>
      <c r="S11" s="89"/>
    </row>
    <row r="12" spans="3:21">
      <c r="C12" s="7" t="s">
        <v>30</v>
      </c>
      <c r="D12" s="12">
        <f>Production!E18</f>
        <v>6519.68</v>
      </c>
      <c r="E12" s="12">
        <f>Production!F18</f>
        <v>8061.68</v>
      </c>
      <c r="F12" s="12">
        <f>Production!G18</f>
        <v>8182.08</v>
      </c>
      <c r="G12" s="12">
        <f>Production!H18</f>
        <v>0</v>
      </c>
      <c r="H12" s="12">
        <f>Production!I18</f>
        <v>0</v>
      </c>
      <c r="I12" s="12">
        <f>Production!J18</f>
        <v>0</v>
      </c>
      <c r="J12" s="12">
        <f>Production!K18</f>
        <v>0</v>
      </c>
      <c r="K12" s="12">
        <f>Production!L18</f>
        <v>0</v>
      </c>
      <c r="L12" s="12">
        <f>Production!M18</f>
        <v>0</v>
      </c>
      <c r="M12" s="12">
        <f>Production!N18</f>
        <v>0</v>
      </c>
      <c r="N12" s="12">
        <f>Production!O18</f>
        <v>0</v>
      </c>
      <c r="O12" s="12">
        <f>Production!P18</f>
        <v>0</v>
      </c>
      <c r="P12" s="16">
        <f t="shared" si="0"/>
        <v>22763.440000000002</v>
      </c>
    </row>
    <row r="13" spans="3:21">
      <c r="C13" s="7" t="s">
        <v>31</v>
      </c>
      <c r="D13" s="12">
        <f>Production!E19</f>
        <v>14685.199000000001</v>
      </c>
      <c r="E13" s="12">
        <f>Production!F19</f>
        <v>8901.3160000000007</v>
      </c>
      <c r="F13" s="12">
        <f>Production!G19</f>
        <v>10005.102000000001</v>
      </c>
      <c r="G13" s="12">
        <f>Production!H19</f>
        <v>8558.7620000000006</v>
      </c>
      <c r="H13" s="12">
        <f>Production!I19</f>
        <v>0</v>
      </c>
      <c r="I13" s="12">
        <f>Production!J19</f>
        <v>0</v>
      </c>
      <c r="J13" s="12">
        <f>Production!K19</f>
        <v>0</v>
      </c>
      <c r="K13" s="12">
        <f>Production!L19</f>
        <v>0</v>
      </c>
      <c r="L13" s="12">
        <f>Production!M19</f>
        <v>0</v>
      </c>
      <c r="M13" s="12">
        <f>Production!N19</f>
        <v>0</v>
      </c>
      <c r="N13" s="12">
        <f>Production!O19</f>
        <v>0</v>
      </c>
      <c r="O13" s="12">
        <f>Production!P19</f>
        <v>0</v>
      </c>
      <c r="P13" s="16">
        <f t="shared" si="0"/>
        <v>42150.379000000001</v>
      </c>
    </row>
    <row r="14" spans="3:21">
      <c r="C14" s="7" t="s">
        <v>33</v>
      </c>
      <c r="D14" s="12">
        <f>Production!E21</f>
        <v>7155.08</v>
      </c>
      <c r="E14" s="12">
        <f>Production!F21</f>
        <v>2579.1999999999998</v>
      </c>
      <c r="F14" s="12">
        <f>Production!G21</f>
        <v>9907.9599999999991</v>
      </c>
      <c r="G14" s="12">
        <f>Production!H21</f>
        <v>0</v>
      </c>
      <c r="H14" s="12">
        <f>Production!I21</f>
        <v>0</v>
      </c>
      <c r="I14" s="12">
        <f>Production!J21</f>
        <v>0</v>
      </c>
      <c r="J14" s="12">
        <f>Production!K21</f>
        <v>0</v>
      </c>
      <c r="K14" s="12">
        <f>Production!L21</f>
        <v>0</v>
      </c>
      <c r="L14" s="12">
        <f>Production!M21</f>
        <v>0</v>
      </c>
      <c r="M14" s="12">
        <f>Production!N21</f>
        <v>0</v>
      </c>
      <c r="N14" s="12">
        <f>Production!O21</f>
        <v>0</v>
      </c>
      <c r="O14" s="12">
        <f>Production!P21</f>
        <v>0</v>
      </c>
      <c r="P14" s="16">
        <f t="shared" si="0"/>
        <v>19642.239999999998</v>
      </c>
    </row>
    <row r="15" spans="3:21">
      <c r="C15" s="7" t="s">
        <v>37</v>
      </c>
      <c r="D15" s="12">
        <f>Production!E25</f>
        <v>1825.471</v>
      </c>
      <c r="E15" s="12">
        <f>Production!F25</f>
        <v>2232.6469999999999</v>
      </c>
      <c r="F15" s="12">
        <f>Production!G25</f>
        <v>2818.5050000000001</v>
      </c>
      <c r="G15" s="12">
        <f>Production!H25</f>
        <v>2933.973</v>
      </c>
      <c r="H15" s="12">
        <f>Production!I25</f>
        <v>0</v>
      </c>
      <c r="I15" s="12">
        <f>Production!J25</f>
        <v>0</v>
      </c>
      <c r="J15" s="12">
        <f>Production!K25</f>
        <v>0</v>
      </c>
      <c r="K15" s="12">
        <f>Production!L25</f>
        <v>0</v>
      </c>
      <c r="L15" s="12">
        <f>Production!M25</f>
        <v>0</v>
      </c>
      <c r="M15" s="12">
        <f>Production!N25</f>
        <v>0</v>
      </c>
      <c r="N15" s="12">
        <f>Production!O25</f>
        <v>0</v>
      </c>
      <c r="O15" s="12">
        <f>Production!P25</f>
        <v>0</v>
      </c>
      <c r="P15" s="16">
        <f t="shared" si="0"/>
        <v>9810.5959999999995</v>
      </c>
    </row>
    <row r="16" spans="3:21">
      <c r="C16" s="7" t="s">
        <v>113</v>
      </c>
      <c r="D16" s="12">
        <f>Production!E26</f>
        <v>165864.29999999999</v>
      </c>
      <c r="E16" s="12">
        <f>Production!F26</f>
        <v>144372.95000000001</v>
      </c>
      <c r="F16" s="12">
        <f>Production!G26</f>
        <v>182694.99</v>
      </c>
      <c r="G16" s="12">
        <f>Production!H26</f>
        <v>197818.2</v>
      </c>
      <c r="H16" s="12">
        <f>Production!I26</f>
        <v>0</v>
      </c>
      <c r="I16" s="12">
        <f>Production!J26</f>
        <v>0</v>
      </c>
      <c r="J16" s="12">
        <f>Production!K26</f>
        <v>0</v>
      </c>
      <c r="K16" s="12">
        <f>Production!L26</f>
        <v>0</v>
      </c>
      <c r="L16" s="12">
        <f>Production!M26</f>
        <v>0</v>
      </c>
      <c r="M16" s="12">
        <f>Production!N26</f>
        <v>0</v>
      </c>
      <c r="N16" s="12">
        <f>Production!O26</f>
        <v>0</v>
      </c>
      <c r="O16" s="12">
        <f>Production!P26</f>
        <v>0</v>
      </c>
      <c r="P16" s="16">
        <f>SUM(D16:O16)</f>
        <v>690750.44</v>
      </c>
    </row>
    <row r="17" spans="3:26">
      <c r="C17" s="2" t="s">
        <v>44</v>
      </c>
      <c r="D17" s="171">
        <f>SUM(D4:D16)</f>
        <v>851029.14999999991</v>
      </c>
      <c r="E17" s="171">
        <f t="shared" ref="E17:P17" si="2">SUM(E4:E16)</f>
        <v>773970.63899999997</v>
      </c>
      <c r="F17" s="171">
        <f t="shared" si="2"/>
        <v>727103.35599999991</v>
      </c>
      <c r="G17" s="171">
        <f t="shared" si="2"/>
        <v>651688.45600000001</v>
      </c>
      <c r="H17" s="171">
        <f t="shared" si="2"/>
        <v>0</v>
      </c>
      <c r="I17" s="171">
        <f t="shared" si="2"/>
        <v>0</v>
      </c>
      <c r="J17" s="171">
        <f t="shared" si="2"/>
        <v>0</v>
      </c>
      <c r="K17" s="171">
        <f t="shared" si="2"/>
        <v>0</v>
      </c>
      <c r="L17" s="171">
        <f t="shared" si="2"/>
        <v>0</v>
      </c>
      <c r="M17" s="171">
        <f t="shared" si="2"/>
        <v>0</v>
      </c>
      <c r="N17" s="171">
        <f t="shared" si="2"/>
        <v>0</v>
      </c>
      <c r="O17" s="171">
        <f t="shared" si="2"/>
        <v>0</v>
      </c>
      <c r="P17" s="171">
        <f t="shared" si="2"/>
        <v>2994873.2110000001</v>
      </c>
    </row>
    <row r="18" spans="3:26">
      <c r="F18" s="89"/>
      <c r="U18" s="442" t="s">
        <v>114</v>
      </c>
      <c r="V18" s="442"/>
      <c r="W18" s="442"/>
      <c r="X18" s="442"/>
      <c r="Y18" s="442"/>
      <c r="Z18" s="442"/>
    </row>
    <row r="19" spans="3:26">
      <c r="C19" s="170" t="s">
        <v>115</v>
      </c>
      <c r="R19" s="70"/>
      <c r="S19" s="160"/>
      <c r="U19" s="175">
        <v>2025</v>
      </c>
      <c r="V19" s="175">
        <v>2026</v>
      </c>
      <c r="W19" s="175">
        <v>2027</v>
      </c>
      <c r="X19" s="175">
        <v>2028</v>
      </c>
      <c r="Y19" s="175">
        <v>2029</v>
      </c>
      <c r="Z19" s="175">
        <v>2030</v>
      </c>
    </row>
    <row r="20" spans="3:26">
      <c r="C20" s="2" t="s">
        <v>2</v>
      </c>
      <c r="D20" s="169">
        <v>46023</v>
      </c>
      <c r="E20" s="3">
        <v>46054</v>
      </c>
      <c r="F20" s="3">
        <v>46082</v>
      </c>
      <c r="G20" s="3">
        <v>46113</v>
      </c>
      <c r="H20" s="3">
        <v>46143</v>
      </c>
      <c r="I20" s="3">
        <v>46174</v>
      </c>
      <c r="J20" s="3">
        <v>46204</v>
      </c>
      <c r="K20" s="3">
        <v>46235</v>
      </c>
      <c r="L20" s="3">
        <v>46266</v>
      </c>
      <c r="M20" s="3">
        <v>46296</v>
      </c>
      <c r="N20" s="3">
        <v>46327</v>
      </c>
      <c r="O20" s="3">
        <v>46357</v>
      </c>
      <c r="P20" s="4" t="s">
        <v>55</v>
      </c>
      <c r="U20" s="176">
        <v>59</v>
      </c>
      <c r="V20" s="176">
        <v>62</v>
      </c>
      <c r="W20" s="176">
        <v>64</v>
      </c>
      <c r="X20" s="176">
        <v>65</v>
      </c>
      <c r="Y20" s="176">
        <v>66</v>
      </c>
      <c r="Z20" s="176">
        <v>67</v>
      </c>
    </row>
    <row r="21" spans="3:26">
      <c r="C21" s="7" t="s">
        <v>13</v>
      </c>
      <c r="D21" s="12">
        <f>[1]in!$D$955</f>
        <v>1661000</v>
      </c>
      <c r="E21" s="12">
        <f>[1]in!$E$955</f>
        <v>1500000</v>
      </c>
      <c r="F21" s="12">
        <f>[1]in!$F$955</f>
        <v>1661000</v>
      </c>
      <c r="G21" s="12">
        <f>[1]in!$H$955</f>
        <v>1607000</v>
      </c>
      <c r="H21" s="12">
        <f>[1]in!$I$955</f>
        <v>0</v>
      </c>
      <c r="I21" s="12">
        <f>[1]in!$J$955</f>
        <v>0</v>
      </c>
      <c r="J21" s="12">
        <f>[1]in!$L$955</f>
        <v>0</v>
      </c>
      <c r="K21" s="12">
        <f>[1]in!$M$955</f>
        <v>0</v>
      </c>
      <c r="L21" s="12">
        <f>[1]in!$N$955</f>
        <v>0</v>
      </c>
      <c r="M21" s="12">
        <f>[1]in!$P$955</f>
        <v>0</v>
      </c>
      <c r="N21" s="12">
        <f>[1]in!$Q$955</f>
        <v>0</v>
      </c>
      <c r="O21" s="12">
        <f>[1]in!$R$955</f>
        <v>0</v>
      </c>
      <c r="P21" s="12">
        <f>SUM(D21:O21)</f>
        <v>6429000</v>
      </c>
      <c r="Q21" s="195"/>
      <c r="R21" s="125"/>
      <c r="S21" s="89"/>
    </row>
    <row r="22" spans="3:26">
      <c r="C22" s="7" t="s">
        <v>15</v>
      </c>
      <c r="D22" s="12">
        <f>[1]in!$D$956</f>
        <v>32140</v>
      </c>
      <c r="E22" s="12">
        <f>[1]in!$E$956</f>
        <v>29030</v>
      </c>
      <c r="F22" s="12">
        <f>[1]in!$F$956</f>
        <v>32140</v>
      </c>
      <c r="G22" s="12">
        <f>[1]in!$H$956</f>
        <v>31100</v>
      </c>
      <c r="H22" s="12">
        <f>[1]in!$I$956</f>
        <v>0</v>
      </c>
      <c r="I22" s="12">
        <f>[1]in!$J$956</f>
        <v>0</v>
      </c>
      <c r="J22" s="12">
        <f>[1]in!$L$956</f>
        <v>0</v>
      </c>
      <c r="K22" s="12">
        <f>[1]in!$M$956</f>
        <v>0</v>
      </c>
      <c r="L22" s="12">
        <f>[1]in!$N$956</f>
        <v>0</v>
      </c>
      <c r="M22" s="12">
        <f>[1]in!$P$956</f>
        <v>0</v>
      </c>
      <c r="N22" s="12">
        <f>[1]in!$Q$956</f>
        <v>0</v>
      </c>
      <c r="O22" s="12">
        <f>[1]in!$R$956</f>
        <v>0</v>
      </c>
      <c r="P22" s="12">
        <f t="shared" ref="P22:P32" si="3">SUM(D22:O22)</f>
        <v>124410</v>
      </c>
      <c r="R22" s="125"/>
      <c r="S22" s="89"/>
    </row>
    <row r="23" spans="3:26">
      <c r="C23" s="7" t="s">
        <v>17</v>
      </c>
      <c r="D23" s="201">
        <f>[1]in!$D$960</f>
        <v>161210</v>
      </c>
      <c r="E23" s="201">
        <f>[1]in!$E$960</f>
        <v>149310</v>
      </c>
      <c r="F23" s="201">
        <f>[1]in!$F$960</f>
        <v>104980</v>
      </c>
      <c r="G23" s="201">
        <f>[1]in!$H$960</f>
        <v>92636.506800000003</v>
      </c>
      <c r="H23" s="201">
        <f>[1]in!$I$960</f>
        <v>0</v>
      </c>
      <c r="I23" s="201">
        <f>[1]in!$J$960</f>
        <v>0</v>
      </c>
      <c r="J23" s="201">
        <f>[1]in!$L$960</f>
        <v>0</v>
      </c>
      <c r="K23" s="201">
        <f>[1]in!$M$960</f>
        <v>0</v>
      </c>
      <c r="L23" s="201">
        <f>[1]in!$N$960</f>
        <v>0</v>
      </c>
      <c r="M23" s="201">
        <f>[1]in!$P$960</f>
        <v>0</v>
      </c>
      <c r="N23" s="201">
        <f>[1]in!$Q$960</f>
        <v>0</v>
      </c>
      <c r="O23" s="201">
        <f>[1]in!$R$960</f>
        <v>0</v>
      </c>
      <c r="P23" s="12">
        <f t="shared" si="3"/>
        <v>508136.50679999997</v>
      </c>
      <c r="R23" s="125"/>
      <c r="S23" s="89"/>
    </row>
    <row r="24" spans="3:26">
      <c r="C24" s="7" t="s">
        <v>18</v>
      </c>
      <c r="D24" s="55">
        <f>[1]in!$D$964</f>
        <v>10944.5789</v>
      </c>
      <c r="E24" s="109">
        <f>[1]in!$E$964</f>
        <v>10060</v>
      </c>
      <c r="F24" s="109">
        <f>[1]in!$F$964</f>
        <v>35938</v>
      </c>
      <c r="G24" s="109">
        <f>[1]in!$H$964</f>
        <v>40807</v>
      </c>
      <c r="H24" s="109">
        <f>[1]in!$I$964</f>
        <v>0</v>
      </c>
      <c r="I24" s="109">
        <f>[1]in!$J$964</f>
        <v>0</v>
      </c>
      <c r="J24" s="109">
        <f>[1]in!$L$964</f>
        <v>0</v>
      </c>
      <c r="K24" s="109">
        <f>[1]in!$M$964</f>
        <v>0</v>
      </c>
      <c r="L24" s="109">
        <f>[1]in!$N$964</f>
        <v>0</v>
      </c>
      <c r="M24" s="109">
        <f>[1]in!$P$964</f>
        <v>0</v>
      </c>
      <c r="N24" s="109">
        <f>[1]in!$Q$964</f>
        <v>0</v>
      </c>
      <c r="O24" s="109">
        <f>[1]in!$R$964</f>
        <v>0</v>
      </c>
      <c r="P24" s="12">
        <f t="shared" si="3"/>
        <v>97749.578899999993</v>
      </c>
      <c r="R24" s="125"/>
      <c r="S24" s="89"/>
    </row>
    <row r="25" spans="3:26">
      <c r="C25" s="7" t="s">
        <v>112</v>
      </c>
      <c r="D25" s="55">
        <f>[1]in!$D$972</f>
        <v>9600.7582000000002</v>
      </c>
      <c r="E25" s="109">
        <f>[1]in!$E$972</f>
        <v>7744.8045000000002</v>
      </c>
      <c r="F25" s="109">
        <f>[1]in!$F$972</f>
        <v>6163.7646999999997</v>
      </c>
      <c r="G25" s="109">
        <f>[1]in!$H$972</f>
        <v>4737.7426999999998</v>
      </c>
      <c r="H25" s="109">
        <f>[1]in!$I$972</f>
        <v>0</v>
      </c>
      <c r="I25" s="109">
        <f>[1]in!$J$972</f>
        <v>0</v>
      </c>
      <c r="J25" s="109">
        <f>[1]in!$L$972</f>
        <v>0</v>
      </c>
      <c r="K25" s="109">
        <f>[1]in!$M$972</f>
        <v>0</v>
      </c>
      <c r="L25" s="109">
        <f>[1]in!$N$972</f>
        <v>0</v>
      </c>
      <c r="M25" s="109">
        <f>[1]in!$P$972</f>
        <v>0</v>
      </c>
      <c r="N25" s="109">
        <f>[1]in!$Q$972</f>
        <v>0</v>
      </c>
      <c r="O25" s="109">
        <f>[1]in!$R$972</f>
        <v>0</v>
      </c>
      <c r="P25" s="12">
        <f t="shared" si="3"/>
        <v>28247.070100000001</v>
      </c>
      <c r="R25" s="125"/>
      <c r="S25" s="89"/>
    </row>
    <row r="26" spans="3:26">
      <c r="C26" s="7" t="s">
        <v>19</v>
      </c>
      <c r="D26" s="109">
        <f>[1]in!$D$969</f>
        <v>490</v>
      </c>
      <c r="E26" s="109">
        <f>[1]in!$E$969</f>
        <v>440</v>
      </c>
      <c r="F26" s="109">
        <f>[1]in!$F$969</f>
        <v>490</v>
      </c>
      <c r="G26" s="109">
        <f>[1]in!$H$969</f>
        <v>470</v>
      </c>
      <c r="H26" s="109">
        <f>[1]in!$I$969</f>
        <v>0</v>
      </c>
      <c r="I26" s="109">
        <f>[1]in!$J$969</f>
        <v>0</v>
      </c>
      <c r="J26" s="109">
        <f>[1]in!$L$969</f>
        <v>0</v>
      </c>
      <c r="K26" s="109">
        <f>[1]in!$M$969</f>
        <v>0</v>
      </c>
      <c r="L26" s="109">
        <f>[1]in!$N$969</f>
        <v>0</v>
      </c>
      <c r="M26" s="109">
        <f>[1]in!$P$969</f>
        <v>0</v>
      </c>
      <c r="N26" s="109">
        <f>[1]in!$Q$969</f>
        <v>0</v>
      </c>
      <c r="O26" s="109">
        <f>[1]in!$R$969</f>
        <v>0</v>
      </c>
      <c r="P26" s="12">
        <f t="shared" si="3"/>
        <v>1890</v>
      </c>
      <c r="R26" s="125"/>
      <c r="S26" s="89"/>
    </row>
    <row r="27" spans="3:26">
      <c r="C27" s="7" t="s">
        <v>20</v>
      </c>
      <c r="D27" s="109">
        <f>[1]in!$D$970</f>
        <v>3010</v>
      </c>
      <c r="E27" s="109">
        <f>[1]in!$E$970</f>
        <v>3010</v>
      </c>
      <c r="F27" s="109">
        <f>[1]in!$F$970</f>
        <v>3340</v>
      </c>
      <c r="G27" s="109">
        <f>[1]in!$H$970</f>
        <v>2470</v>
      </c>
      <c r="H27" s="109">
        <f>[1]in!$I$970</f>
        <v>0</v>
      </c>
      <c r="I27" s="109">
        <f>[1]in!$J$970</f>
        <v>0</v>
      </c>
      <c r="J27" s="109">
        <f>[1]in!$L$970</f>
        <v>0</v>
      </c>
      <c r="K27" s="109">
        <f>[1]in!$M$970</f>
        <v>0</v>
      </c>
      <c r="L27" s="109">
        <f>[1]in!$N$970</f>
        <v>0</v>
      </c>
      <c r="M27" s="109">
        <f>[1]in!$P$970</f>
        <v>0</v>
      </c>
      <c r="N27" s="109">
        <f>[1]in!$Q$970</f>
        <v>0</v>
      </c>
      <c r="O27" s="109">
        <f>[1]in!$R$970</f>
        <v>0</v>
      </c>
      <c r="P27" s="12">
        <f t="shared" si="3"/>
        <v>11830</v>
      </c>
      <c r="R27" s="125"/>
      <c r="S27" s="89"/>
    </row>
    <row r="28" spans="3:26">
      <c r="C28" s="224" t="s">
        <v>23</v>
      </c>
      <c r="D28" s="109">
        <f>10.97*1000</f>
        <v>10970</v>
      </c>
      <c r="E28" s="109">
        <f>[1]in!$E$983</f>
        <v>10970</v>
      </c>
      <c r="F28" s="109">
        <f>[1]in!$F$983</f>
        <v>11880</v>
      </c>
      <c r="G28" s="109">
        <f>[1]in!$H$983</f>
        <v>10050</v>
      </c>
      <c r="H28" s="109">
        <f>[1]in!$I$983</f>
        <v>0</v>
      </c>
      <c r="I28" s="109">
        <f>[1]in!$J$983</f>
        <v>0</v>
      </c>
      <c r="J28" s="109">
        <f>[1]in!$L$983</f>
        <v>0</v>
      </c>
      <c r="K28" s="109">
        <f>[1]in!$M$983</f>
        <v>0</v>
      </c>
      <c r="L28" s="109">
        <f>[1]in!$N$983</f>
        <v>0</v>
      </c>
      <c r="M28" s="109">
        <f>[1]in!$P$983</f>
        <v>0</v>
      </c>
      <c r="N28" s="109">
        <f>[1]in!$Q$983</f>
        <v>0</v>
      </c>
      <c r="O28" s="109">
        <f>[1]in!$R$983</f>
        <v>0</v>
      </c>
      <c r="P28" s="12">
        <f t="shared" si="3"/>
        <v>43870</v>
      </c>
      <c r="R28" s="125"/>
      <c r="S28" s="89"/>
    </row>
    <row r="29" spans="3:26">
      <c r="C29" s="7" t="s">
        <v>30</v>
      </c>
      <c r="D29" s="12">
        <f>[1]in!$D$959</f>
        <v>280522.62589999998</v>
      </c>
      <c r="E29" s="12">
        <f>[1]in!$E$959</f>
        <v>372707.31300000002</v>
      </c>
      <c r="F29" s="12">
        <f>[1]in!$F$959</f>
        <v>364749.07459999999</v>
      </c>
      <c r="G29" s="12">
        <f>[1]in!$H$959</f>
        <v>0</v>
      </c>
      <c r="H29" s="12">
        <f>[1]in!$I$959</f>
        <v>0</v>
      </c>
      <c r="I29" s="12">
        <f>[1]in!$J$959</f>
        <v>0</v>
      </c>
      <c r="J29" s="12">
        <f>[1]in!$L$959</f>
        <v>0</v>
      </c>
      <c r="K29" s="12">
        <f>[1]in!$M$959</f>
        <v>0</v>
      </c>
      <c r="L29" s="12">
        <f>[1]in!$N$959</f>
        <v>0</v>
      </c>
      <c r="M29" s="12">
        <f>[1]in!$P$959</f>
        <v>0</v>
      </c>
      <c r="N29" s="12">
        <f>[1]in!$Q$959</f>
        <v>0</v>
      </c>
      <c r="O29" s="12">
        <f>[1]in!$R$959</f>
        <v>0</v>
      </c>
      <c r="P29" s="12">
        <f t="shared" si="3"/>
        <v>1017979.0134999999</v>
      </c>
      <c r="R29" s="125"/>
      <c r="S29" s="89"/>
    </row>
    <row r="30" spans="3:26">
      <c r="C30" s="7" t="s">
        <v>31</v>
      </c>
      <c r="D30" s="12">
        <f>[1]in!$D$961</f>
        <v>2748000</v>
      </c>
      <c r="E30" s="12">
        <f>[1]in!$E$961</f>
        <v>1678000</v>
      </c>
      <c r="F30" s="12">
        <f>[1]in!$F$961</f>
        <v>478000</v>
      </c>
      <c r="G30" s="12">
        <f>[1]in!$H$961</f>
        <v>403000</v>
      </c>
      <c r="H30" s="12">
        <f>[1]in!$I$961</f>
        <v>0</v>
      </c>
      <c r="I30" s="12">
        <f>[1]in!$J$961</f>
        <v>0</v>
      </c>
      <c r="J30" s="12">
        <f>[1]in!$L$961</f>
        <v>0</v>
      </c>
      <c r="K30" s="12">
        <f>[1]in!$M$961</f>
        <v>0</v>
      </c>
      <c r="L30" s="12">
        <f>[1]in!$N$961</f>
        <v>0</v>
      </c>
      <c r="M30" s="12">
        <f>[1]in!$P$961</f>
        <v>0</v>
      </c>
      <c r="N30" s="12">
        <f>[1]in!$Q$961</f>
        <v>0</v>
      </c>
      <c r="O30" s="12">
        <f>[1]in!$R$961</f>
        <v>0</v>
      </c>
      <c r="P30" s="12">
        <f t="shared" si="3"/>
        <v>5307000</v>
      </c>
      <c r="R30" s="125"/>
      <c r="S30" s="89"/>
    </row>
    <row r="31" spans="3:26">
      <c r="C31" s="7" t="s">
        <v>33</v>
      </c>
      <c r="D31" s="12">
        <f>[1]in!$D$966</f>
        <v>583880</v>
      </c>
      <c r="E31" s="12">
        <f>[1]in!$E$966</f>
        <v>161840</v>
      </c>
      <c r="F31" s="12">
        <f>[1]in!$F$966</f>
        <v>237740</v>
      </c>
      <c r="G31" s="12">
        <f>[1]in!$H$966</f>
        <v>0</v>
      </c>
      <c r="H31" s="12">
        <f>[1]in!$I$966</f>
        <v>0</v>
      </c>
      <c r="I31" s="12">
        <f>[1]in!$J$966</f>
        <v>0</v>
      </c>
      <c r="J31" s="12">
        <f>[1]in!$L$966</f>
        <v>0</v>
      </c>
      <c r="K31" s="12">
        <f>[1]in!$M$966</f>
        <v>0</v>
      </c>
      <c r="L31" s="12">
        <f>[1]in!$N$966</f>
        <v>0</v>
      </c>
      <c r="M31" s="12">
        <f>[1]in!$P$966</f>
        <v>0</v>
      </c>
      <c r="N31" s="12">
        <f>[1]in!$Q$966</f>
        <v>0</v>
      </c>
      <c r="O31" s="12">
        <f>[1]in!$R$966</f>
        <v>0</v>
      </c>
      <c r="P31" s="12">
        <f t="shared" si="3"/>
        <v>983460</v>
      </c>
      <c r="R31" s="125"/>
      <c r="S31" s="89"/>
    </row>
    <row r="32" spans="3:26">
      <c r="C32" s="7" t="s">
        <v>37</v>
      </c>
      <c r="D32" s="12">
        <f>[1]in!$D$982</f>
        <v>51450</v>
      </c>
      <c r="E32" s="12">
        <f>[1]in!$E$982</f>
        <v>67390</v>
      </c>
      <c r="F32" s="12">
        <f>[1]in!$F$982</f>
        <v>78590</v>
      </c>
      <c r="G32" s="12">
        <f>[1]in!$H$982</f>
        <v>79530</v>
      </c>
      <c r="H32" s="12">
        <f>[1]in!$I$982</f>
        <v>0</v>
      </c>
      <c r="I32" s="12">
        <f>[1]in!$J$982</f>
        <v>0</v>
      </c>
      <c r="J32" s="12">
        <f>[1]in!$L$982</f>
        <v>0</v>
      </c>
      <c r="K32" s="12">
        <f>[1]in!$M$982</f>
        <v>0</v>
      </c>
      <c r="L32" s="12">
        <f>[1]in!$N$982</f>
        <v>0</v>
      </c>
      <c r="M32" s="12">
        <f>[1]in!$P$982</f>
        <v>0</v>
      </c>
      <c r="N32" s="12">
        <f>[1]in!$Q$982</f>
        <v>0</v>
      </c>
      <c r="O32" s="12">
        <f>[1]in!$R$982</f>
        <v>0</v>
      </c>
      <c r="P32" s="12">
        <f t="shared" si="3"/>
        <v>276960</v>
      </c>
      <c r="Q32" s="197"/>
      <c r="R32" s="125"/>
      <c r="S32" s="89"/>
    </row>
    <row r="33" spans="2:19">
      <c r="C33" s="224" t="s">
        <v>116</v>
      </c>
      <c r="D33" s="218">
        <f>[1]in!$D$957</f>
        <v>800620</v>
      </c>
      <c r="E33" s="230">
        <f>[1]in!$E$957</f>
        <v>1009170</v>
      </c>
      <c r="F33" s="230">
        <f>[1]in!$F$957</f>
        <v>1160560</v>
      </c>
      <c r="G33" s="230">
        <f>[1]in!$H$957</f>
        <v>1012510</v>
      </c>
      <c r="H33" s="230">
        <f>[1]in!$I$957</f>
        <v>0</v>
      </c>
      <c r="I33" s="230">
        <f>[1]in!$J$957</f>
        <v>0</v>
      </c>
      <c r="J33" s="230">
        <f>[1]in!$L$957</f>
        <v>0</v>
      </c>
      <c r="K33" s="230">
        <f>[1]in!$M$957</f>
        <v>0</v>
      </c>
      <c r="L33" s="230">
        <f>[1]in!$N$957</f>
        <v>0</v>
      </c>
      <c r="M33" s="230">
        <f>[1]in!$P$957</f>
        <v>0</v>
      </c>
      <c r="N33" s="230">
        <f>[1]in!$Q$957</f>
        <v>0</v>
      </c>
      <c r="O33" s="230">
        <f>[1]in!$R$957</f>
        <v>0</v>
      </c>
      <c r="P33" s="12">
        <f t="shared" ref="P33" si="4">SUM(D33:O33)</f>
        <v>3982860</v>
      </c>
      <c r="Q33" s="197"/>
      <c r="R33" s="125"/>
      <c r="S33" s="89"/>
    </row>
    <row r="34" spans="2:19">
      <c r="C34" s="2" t="s">
        <v>44</v>
      </c>
      <c r="D34" s="173">
        <f>SUM(D21:D33)</f>
        <v>6353837.9629999995</v>
      </c>
      <c r="E34" s="173">
        <f t="shared" ref="E34:P34" si="5">SUM(E21:E33)</f>
        <v>4999672.1174999997</v>
      </c>
      <c r="F34" s="173">
        <f>SUM(F21:F33)</f>
        <v>4175570.8393000001</v>
      </c>
      <c r="G34" s="173">
        <f t="shared" si="5"/>
        <v>3284311.2494999999</v>
      </c>
      <c r="H34" s="173">
        <f t="shared" si="5"/>
        <v>0</v>
      </c>
      <c r="I34" s="173">
        <f>SUM(I21:I33)</f>
        <v>0</v>
      </c>
      <c r="J34" s="173">
        <f t="shared" si="5"/>
        <v>0</v>
      </c>
      <c r="K34" s="173">
        <f t="shared" si="5"/>
        <v>0</v>
      </c>
      <c r="L34" s="173">
        <f t="shared" si="5"/>
        <v>0</v>
      </c>
      <c r="M34" s="173">
        <f>SUM(M21:M33)</f>
        <v>0</v>
      </c>
      <c r="N34" s="173">
        <f t="shared" si="5"/>
        <v>0</v>
      </c>
      <c r="O34" s="173">
        <f t="shared" si="5"/>
        <v>0</v>
      </c>
      <c r="P34" s="173">
        <f t="shared" si="5"/>
        <v>18813392.169299997</v>
      </c>
      <c r="R34" s="174"/>
      <c r="S34" s="174"/>
    </row>
    <row r="35" spans="2:19">
      <c r="C35" s="2" t="s">
        <v>117</v>
      </c>
      <c r="D35" s="177">
        <f>D34/10^6</f>
        <v>6.3538379629999993</v>
      </c>
      <c r="E35" s="177">
        <f t="shared" ref="E35:P35" si="6">E34/10^6</f>
        <v>4.9996721174999994</v>
      </c>
      <c r="F35" s="177">
        <f>F34/10^6</f>
        <v>4.1755708392999997</v>
      </c>
      <c r="G35" s="177">
        <f t="shared" si="6"/>
        <v>3.2843112495</v>
      </c>
      <c r="H35" s="177">
        <f t="shared" si="6"/>
        <v>0</v>
      </c>
      <c r="I35" s="177">
        <f t="shared" si="6"/>
        <v>0</v>
      </c>
      <c r="J35" s="177">
        <f t="shared" si="6"/>
        <v>0</v>
      </c>
      <c r="K35" s="177">
        <f t="shared" si="6"/>
        <v>0</v>
      </c>
      <c r="L35" s="177">
        <f t="shared" si="6"/>
        <v>0</v>
      </c>
      <c r="M35" s="177">
        <f t="shared" si="6"/>
        <v>0</v>
      </c>
      <c r="N35" s="177">
        <f t="shared" si="6"/>
        <v>0</v>
      </c>
      <c r="O35" s="177">
        <f t="shared" si="6"/>
        <v>0</v>
      </c>
      <c r="P35" s="177">
        <f t="shared" si="6"/>
        <v>18.813392169299998</v>
      </c>
    </row>
    <row r="37" spans="2:19">
      <c r="C37" s="83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</row>
    <row r="38" spans="2:19">
      <c r="C38" s="170" t="s">
        <v>118</v>
      </c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</row>
    <row r="39" spans="2:19">
      <c r="B39" s="189" t="s">
        <v>119</v>
      </c>
      <c r="C39" s="2" t="s">
        <v>2</v>
      </c>
      <c r="D39" s="169">
        <v>46023</v>
      </c>
      <c r="E39" s="3">
        <v>46054</v>
      </c>
      <c r="F39" s="3">
        <v>46082</v>
      </c>
      <c r="G39" s="3">
        <v>46113</v>
      </c>
      <c r="H39" s="3">
        <v>46143</v>
      </c>
      <c r="I39" s="3">
        <v>46174</v>
      </c>
      <c r="J39" s="3">
        <v>46204</v>
      </c>
      <c r="K39" s="3">
        <v>46235</v>
      </c>
      <c r="L39" s="3">
        <v>46266</v>
      </c>
      <c r="M39" s="3">
        <v>46296</v>
      </c>
      <c r="N39" s="3">
        <v>46327</v>
      </c>
      <c r="O39" s="3">
        <v>46357</v>
      </c>
      <c r="P39" s="4" t="s">
        <v>55</v>
      </c>
    </row>
    <row r="40" spans="2:19">
      <c r="B40" s="251">
        <v>19.899999999999999</v>
      </c>
      <c r="C40" s="7" t="s">
        <v>13</v>
      </c>
      <c r="D40" s="230">
        <f>D21/10^6</f>
        <v>1.661</v>
      </c>
      <c r="E40" s="230">
        <f t="shared" ref="E40:O40" si="7">E21/10^6</f>
        <v>1.5</v>
      </c>
      <c r="F40" s="230">
        <f t="shared" si="7"/>
        <v>1.661</v>
      </c>
      <c r="G40" s="230">
        <f t="shared" si="7"/>
        <v>1.607</v>
      </c>
      <c r="H40" s="230">
        <f t="shared" si="7"/>
        <v>0</v>
      </c>
      <c r="I40" s="230">
        <f t="shared" si="7"/>
        <v>0</v>
      </c>
      <c r="J40" s="230">
        <f t="shared" si="7"/>
        <v>0</v>
      </c>
      <c r="K40" s="230">
        <f t="shared" si="7"/>
        <v>0</v>
      </c>
      <c r="L40" s="230">
        <f t="shared" si="7"/>
        <v>0</v>
      </c>
      <c r="M40" s="230">
        <f t="shared" si="7"/>
        <v>0</v>
      </c>
      <c r="N40" s="230">
        <f t="shared" si="7"/>
        <v>0</v>
      </c>
      <c r="O40" s="230">
        <f t="shared" si="7"/>
        <v>0</v>
      </c>
      <c r="P40" s="230">
        <f>P21/10^6</f>
        <v>6.4290000000000003</v>
      </c>
    </row>
    <row r="41" spans="2:19">
      <c r="B41" s="291">
        <f>32.5-19.9</f>
        <v>12.600000000000001</v>
      </c>
      <c r="C41" s="7" t="s">
        <v>15</v>
      </c>
      <c r="D41" s="230">
        <f t="shared" ref="D41:P41" si="8">D22/10^6</f>
        <v>3.2140000000000002E-2</v>
      </c>
      <c r="E41" s="230">
        <f t="shared" si="8"/>
        <v>2.903E-2</v>
      </c>
      <c r="F41" s="230">
        <f t="shared" si="8"/>
        <v>3.2140000000000002E-2</v>
      </c>
      <c r="G41" s="230">
        <f t="shared" si="8"/>
        <v>3.1099999999999999E-2</v>
      </c>
      <c r="H41" s="230">
        <f t="shared" si="8"/>
        <v>0</v>
      </c>
      <c r="I41" s="230">
        <f t="shared" si="8"/>
        <v>0</v>
      </c>
      <c r="J41" s="230">
        <f t="shared" si="8"/>
        <v>0</v>
      </c>
      <c r="K41" s="230">
        <f t="shared" si="8"/>
        <v>0</v>
      </c>
      <c r="L41" s="230">
        <f t="shared" si="8"/>
        <v>0</v>
      </c>
      <c r="M41" s="230">
        <f t="shared" si="8"/>
        <v>0</v>
      </c>
      <c r="N41" s="230">
        <f t="shared" si="8"/>
        <v>0</v>
      </c>
      <c r="O41" s="230">
        <f t="shared" si="8"/>
        <v>0</v>
      </c>
      <c r="P41" s="230">
        <f t="shared" si="8"/>
        <v>0.12441000000000001</v>
      </c>
    </row>
    <row r="42" spans="2:19">
      <c r="B42" s="7">
        <v>7.9</v>
      </c>
      <c r="C42" s="7" t="s">
        <v>17</v>
      </c>
      <c r="D42" s="230">
        <f t="shared" ref="D42:P42" si="9">D23/10^6</f>
        <v>0.16120999999999999</v>
      </c>
      <c r="E42" s="230">
        <f t="shared" si="9"/>
        <v>0.14931</v>
      </c>
      <c r="F42" s="230">
        <f t="shared" si="9"/>
        <v>0.10498</v>
      </c>
      <c r="G42" s="230">
        <f t="shared" si="9"/>
        <v>9.2636506800000004E-2</v>
      </c>
      <c r="H42" s="230">
        <f t="shared" si="9"/>
        <v>0</v>
      </c>
      <c r="I42" s="230">
        <f t="shared" si="9"/>
        <v>0</v>
      </c>
      <c r="J42" s="230">
        <f t="shared" si="9"/>
        <v>0</v>
      </c>
      <c r="K42" s="230">
        <f t="shared" si="9"/>
        <v>0</v>
      </c>
      <c r="L42" s="230">
        <f t="shared" si="9"/>
        <v>0</v>
      </c>
      <c r="M42" s="230">
        <f t="shared" si="9"/>
        <v>0</v>
      </c>
      <c r="N42" s="230">
        <f t="shared" si="9"/>
        <v>0</v>
      </c>
      <c r="O42" s="230">
        <f t="shared" si="9"/>
        <v>0</v>
      </c>
      <c r="P42" s="230">
        <f t="shared" si="9"/>
        <v>0.5081365068</v>
      </c>
    </row>
    <row r="43" spans="2:19">
      <c r="B43" s="85">
        <v>0.5</v>
      </c>
      <c r="C43" s="7" t="s">
        <v>18</v>
      </c>
      <c r="D43" s="230">
        <f>D24/10^6</f>
        <v>1.09445789E-2</v>
      </c>
      <c r="E43" s="230">
        <f t="shared" ref="E43:P43" si="10">E24/10^6</f>
        <v>1.0059999999999999E-2</v>
      </c>
      <c r="F43" s="230">
        <f t="shared" si="10"/>
        <v>3.5937999999999998E-2</v>
      </c>
      <c r="G43" s="230">
        <f t="shared" si="10"/>
        <v>4.0807000000000003E-2</v>
      </c>
      <c r="H43" s="230">
        <f t="shared" si="10"/>
        <v>0</v>
      </c>
      <c r="I43" s="230">
        <f t="shared" si="10"/>
        <v>0</v>
      </c>
      <c r="J43" s="230">
        <f t="shared" si="10"/>
        <v>0</v>
      </c>
      <c r="K43" s="230">
        <f t="shared" si="10"/>
        <v>0</v>
      </c>
      <c r="L43" s="230">
        <f t="shared" si="10"/>
        <v>0</v>
      </c>
      <c r="M43" s="230">
        <f t="shared" si="10"/>
        <v>0</v>
      </c>
      <c r="N43" s="230">
        <f t="shared" si="10"/>
        <v>0</v>
      </c>
      <c r="O43" s="230">
        <f t="shared" si="10"/>
        <v>0</v>
      </c>
      <c r="P43" s="230">
        <f t="shared" si="10"/>
        <v>9.7749578899999995E-2</v>
      </c>
    </row>
    <row r="44" spans="2:19">
      <c r="B44" s="7">
        <v>0.28000000000000003</v>
      </c>
      <c r="C44" s="7" t="s">
        <v>112</v>
      </c>
      <c r="D44" s="230">
        <f>D25/10^6</f>
        <v>9.6007582000000001E-3</v>
      </c>
      <c r="E44" s="230">
        <f t="shared" ref="E44:P44" si="11">E25/10^6</f>
        <v>7.7448044999999998E-3</v>
      </c>
      <c r="F44" s="230">
        <f t="shared" si="11"/>
        <v>6.1637646999999993E-3</v>
      </c>
      <c r="G44" s="230">
        <f t="shared" si="11"/>
        <v>4.7377426999999995E-3</v>
      </c>
      <c r="H44" s="230">
        <f t="shared" si="11"/>
        <v>0</v>
      </c>
      <c r="I44" s="230">
        <f t="shared" si="11"/>
        <v>0</v>
      </c>
      <c r="J44" s="230">
        <f t="shared" si="11"/>
        <v>0</v>
      </c>
      <c r="K44" s="230">
        <f t="shared" si="11"/>
        <v>0</v>
      </c>
      <c r="L44" s="230">
        <f t="shared" si="11"/>
        <v>0</v>
      </c>
      <c r="M44" s="230">
        <f t="shared" si="11"/>
        <v>0</v>
      </c>
      <c r="N44" s="230">
        <f t="shared" si="11"/>
        <v>0</v>
      </c>
      <c r="O44" s="230">
        <f t="shared" si="11"/>
        <v>0</v>
      </c>
      <c r="P44" s="230">
        <f t="shared" si="11"/>
        <v>2.82470701E-2</v>
      </c>
    </row>
    <row r="45" spans="2:19">
      <c r="B45" s="211" t="s">
        <v>64</v>
      </c>
      <c r="C45" s="7" t="s">
        <v>19</v>
      </c>
      <c r="D45" s="230">
        <f t="shared" ref="D45:P45" si="12">D26/10^6</f>
        <v>4.8999999999999998E-4</v>
      </c>
      <c r="E45" s="230">
        <f t="shared" si="12"/>
        <v>4.4000000000000002E-4</v>
      </c>
      <c r="F45" s="230">
        <f t="shared" si="12"/>
        <v>4.8999999999999998E-4</v>
      </c>
      <c r="G45" s="230">
        <f t="shared" si="12"/>
        <v>4.6999999999999999E-4</v>
      </c>
      <c r="H45" s="230">
        <f t="shared" si="12"/>
        <v>0</v>
      </c>
      <c r="I45" s="230">
        <f t="shared" si="12"/>
        <v>0</v>
      </c>
      <c r="J45" s="230">
        <f t="shared" si="12"/>
        <v>0</v>
      </c>
      <c r="K45" s="230">
        <f t="shared" si="12"/>
        <v>0</v>
      </c>
      <c r="L45" s="230">
        <f t="shared" si="12"/>
        <v>0</v>
      </c>
      <c r="M45" s="230">
        <f t="shared" si="12"/>
        <v>0</v>
      </c>
      <c r="N45" s="230">
        <f t="shared" si="12"/>
        <v>0</v>
      </c>
      <c r="O45" s="230">
        <f t="shared" si="12"/>
        <v>0</v>
      </c>
      <c r="P45" s="230">
        <f t="shared" si="12"/>
        <v>1.89E-3</v>
      </c>
    </row>
    <row r="46" spans="2:19">
      <c r="B46" s="211" t="s">
        <v>64</v>
      </c>
      <c r="C46" s="7" t="s">
        <v>20</v>
      </c>
      <c r="D46" s="230">
        <f t="shared" ref="D46:D51" si="13">D27/10^6</f>
        <v>3.0100000000000001E-3</v>
      </c>
      <c r="E46" s="230">
        <f t="shared" ref="E46:P47" si="14">E27/10^6</f>
        <v>3.0100000000000001E-3</v>
      </c>
      <c r="F46" s="230">
        <f t="shared" si="14"/>
        <v>3.3400000000000001E-3</v>
      </c>
      <c r="G46" s="230">
        <f t="shared" si="14"/>
        <v>2.47E-3</v>
      </c>
      <c r="H46" s="230">
        <f t="shared" si="14"/>
        <v>0</v>
      </c>
      <c r="I46" s="230">
        <f t="shared" si="14"/>
        <v>0</v>
      </c>
      <c r="J46" s="230">
        <f t="shared" si="14"/>
        <v>0</v>
      </c>
      <c r="K46" s="230">
        <f t="shared" si="14"/>
        <v>0</v>
      </c>
      <c r="L46" s="230">
        <f t="shared" si="14"/>
        <v>0</v>
      </c>
      <c r="M46" s="230">
        <f t="shared" si="14"/>
        <v>0</v>
      </c>
      <c r="N46" s="230">
        <f t="shared" si="14"/>
        <v>0</v>
      </c>
      <c r="O46" s="230">
        <f t="shared" si="14"/>
        <v>0</v>
      </c>
      <c r="P46" s="230">
        <f t="shared" si="14"/>
        <v>1.183E-2</v>
      </c>
    </row>
    <row r="47" spans="2:19">
      <c r="B47" s="293">
        <v>1</v>
      </c>
      <c r="C47" s="224" t="s">
        <v>23</v>
      </c>
      <c r="D47" s="230">
        <f>D28/10^6</f>
        <v>1.0970000000000001E-2</v>
      </c>
      <c r="E47" s="230">
        <f t="shared" si="14"/>
        <v>1.0970000000000001E-2</v>
      </c>
      <c r="F47" s="230">
        <f t="shared" si="14"/>
        <v>1.188E-2</v>
      </c>
      <c r="G47" s="230">
        <f t="shared" si="14"/>
        <v>1.005E-2</v>
      </c>
      <c r="H47" s="230">
        <f t="shared" si="14"/>
        <v>0</v>
      </c>
      <c r="I47" s="230">
        <f t="shared" si="14"/>
        <v>0</v>
      </c>
      <c r="J47" s="230">
        <f t="shared" si="14"/>
        <v>0</v>
      </c>
      <c r="K47" s="230">
        <f t="shared" si="14"/>
        <v>0</v>
      </c>
      <c r="L47" s="230">
        <f t="shared" si="14"/>
        <v>0</v>
      </c>
      <c r="M47" s="230">
        <f t="shared" si="14"/>
        <v>0</v>
      </c>
      <c r="N47" s="230">
        <f t="shared" si="14"/>
        <v>0</v>
      </c>
      <c r="O47" s="230">
        <f t="shared" si="14"/>
        <v>0</v>
      </c>
      <c r="P47" s="230">
        <f>P28/10^6</f>
        <v>4.3869999999999999E-2</v>
      </c>
      <c r="R47" s="125"/>
      <c r="S47" s="89"/>
    </row>
    <row r="48" spans="2:19">
      <c r="B48" s="193">
        <v>6</v>
      </c>
      <c r="C48" s="7" t="s">
        <v>30</v>
      </c>
      <c r="D48" s="230">
        <f t="shared" si="13"/>
        <v>0.28052262589999999</v>
      </c>
      <c r="E48" s="230">
        <f t="shared" ref="E48:P48" si="15">E29/10^6</f>
        <v>0.37270731300000004</v>
      </c>
      <c r="F48" s="230">
        <f t="shared" si="15"/>
        <v>0.3647490746</v>
      </c>
      <c r="G48" s="230">
        <f t="shared" si="15"/>
        <v>0</v>
      </c>
      <c r="H48" s="230">
        <f t="shared" si="15"/>
        <v>0</v>
      </c>
      <c r="I48" s="230">
        <f t="shared" si="15"/>
        <v>0</v>
      </c>
      <c r="J48" s="230">
        <f t="shared" si="15"/>
        <v>0</v>
      </c>
      <c r="K48" s="230">
        <f t="shared" si="15"/>
        <v>0</v>
      </c>
      <c r="L48" s="230">
        <f t="shared" si="15"/>
        <v>0</v>
      </c>
      <c r="M48" s="230">
        <f t="shared" si="15"/>
        <v>0</v>
      </c>
      <c r="N48" s="230">
        <f t="shared" si="15"/>
        <v>0</v>
      </c>
      <c r="O48" s="230">
        <f t="shared" si="15"/>
        <v>0</v>
      </c>
      <c r="P48" s="230">
        <f t="shared" si="15"/>
        <v>1.0179790135</v>
      </c>
    </row>
    <row r="49" spans="2:16">
      <c r="B49" s="7">
        <v>13.1</v>
      </c>
      <c r="C49" s="7" t="s">
        <v>31</v>
      </c>
      <c r="D49" s="230">
        <f t="shared" si="13"/>
        <v>2.7480000000000002</v>
      </c>
      <c r="E49" s="230">
        <f t="shared" ref="E49:P49" si="16">E30/10^6</f>
        <v>1.6779999999999999</v>
      </c>
      <c r="F49" s="230">
        <f t="shared" si="16"/>
        <v>0.47799999999999998</v>
      </c>
      <c r="G49" s="230">
        <f t="shared" si="16"/>
        <v>0.40300000000000002</v>
      </c>
      <c r="H49" s="230">
        <f t="shared" si="16"/>
        <v>0</v>
      </c>
      <c r="I49" s="230">
        <f t="shared" si="16"/>
        <v>0</v>
      </c>
      <c r="J49" s="230">
        <f t="shared" si="16"/>
        <v>0</v>
      </c>
      <c r="K49" s="230">
        <f t="shared" si="16"/>
        <v>0</v>
      </c>
      <c r="L49" s="230">
        <f t="shared" si="16"/>
        <v>0</v>
      </c>
      <c r="M49" s="230">
        <f t="shared" si="16"/>
        <v>0</v>
      </c>
      <c r="N49" s="230">
        <f t="shared" si="16"/>
        <v>0</v>
      </c>
      <c r="O49" s="230">
        <f t="shared" si="16"/>
        <v>0</v>
      </c>
      <c r="P49" s="230">
        <f t="shared" si="16"/>
        <v>5.3070000000000004</v>
      </c>
    </row>
    <row r="50" spans="2:16">
      <c r="B50" s="292">
        <v>6.5</v>
      </c>
      <c r="C50" s="7" t="s">
        <v>33</v>
      </c>
      <c r="D50" s="230">
        <f t="shared" si="13"/>
        <v>0.58387999999999995</v>
      </c>
      <c r="E50" s="230">
        <f t="shared" ref="E50:P50" si="17">E31/10^6</f>
        <v>0.16184000000000001</v>
      </c>
      <c r="F50" s="230">
        <f t="shared" si="17"/>
        <v>0.23774000000000001</v>
      </c>
      <c r="G50" s="230">
        <f t="shared" si="17"/>
        <v>0</v>
      </c>
      <c r="H50" s="230">
        <f t="shared" si="17"/>
        <v>0</v>
      </c>
      <c r="I50" s="230">
        <f t="shared" si="17"/>
        <v>0</v>
      </c>
      <c r="J50" s="230">
        <f t="shared" si="17"/>
        <v>0</v>
      </c>
      <c r="K50" s="230">
        <f t="shared" si="17"/>
        <v>0</v>
      </c>
      <c r="L50" s="230">
        <f t="shared" si="17"/>
        <v>0</v>
      </c>
      <c r="M50" s="230">
        <f t="shared" si="17"/>
        <v>0</v>
      </c>
      <c r="N50" s="230">
        <f t="shared" si="17"/>
        <v>0</v>
      </c>
      <c r="O50" s="230">
        <f t="shared" si="17"/>
        <v>0</v>
      </c>
      <c r="P50" s="230">
        <f t="shared" si="17"/>
        <v>0.98346</v>
      </c>
    </row>
    <row r="51" spans="2:16">
      <c r="B51" s="7">
        <v>1.0900000000000001</v>
      </c>
      <c r="C51" s="7" t="s">
        <v>37</v>
      </c>
      <c r="D51" s="242">
        <f t="shared" si="13"/>
        <v>5.1450000000000003E-2</v>
      </c>
      <c r="E51" s="242">
        <f t="shared" ref="E51:P51" si="18">E32/10^6</f>
        <v>6.7390000000000005E-2</v>
      </c>
      <c r="F51" s="242">
        <f t="shared" si="18"/>
        <v>7.8589999999999993E-2</v>
      </c>
      <c r="G51" s="242">
        <f t="shared" si="18"/>
        <v>7.9530000000000003E-2</v>
      </c>
      <c r="H51" s="242">
        <f t="shared" si="18"/>
        <v>0</v>
      </c>
      <c r="I51" s="242">
        <f t="shared" si="18"/>
        <v>0</v>
      </c>
      <c r="J51" s="242">
        <f t="shared" si="18"/>
        <v>0</v>
      </c>
      <c r="K51" s="242">
        <f t="shared" si="18"/>
        <v>0</v>
      </c>
      <c r="L51" s="242">
        <f t="shared" si="18"/>
        <v>0</v>
      </c>
      <c r="M51" s="242">
        <f t="shared" si="18"/>
        <v>0</v>
      </c>
      <c r="N51" s="242">
        <f t="shared" si="18"/>
        <v>0</v>
      </c>
      <c r="O51" s="242">
        <f t="shared" si="18"/>
        <v>0</v>
      </c>
      <c r="P51" s="242">
        <f t="shared" si="18"/>
        <v>0.27695999999999998</v>
      </c>
    </row>
    <row r="52" spans="2:16">
      <c r="B52" s="291">
        <v>9.31</v>
      </c>
      <c r="C52" s="240" t="s">
        <v>113</v>
      </c>
      <c r="D52" s="241">
        <f>D33/10^6</f>
        <v>0.80062</v>
      </c>
      <c r="E52" s="241">
        <f t="shared" ref="E52:P52" si="19">E33/10^6</f>
        <v>1.0091699999999999</v>
      </c>
      <c r="F52" s="241">
        <f t="shared" si="19"/>
        <v>1.16056</v>
      </c>
      <c r="G52" s="241">
        <f t="shared" si="19"/>
        <v>1.01251</v>
      </c>
      <c r="H52" s="241">
        <f t="shared" si="19"/>
        <v>0</v>
      </c>
      <c r="I52" s="241">
        <f t="shared" si="19"/>
        <v>0</v>
      </c>
      <c r="J52" s="241">
        <f t="shared" si="19"/>
        <v>0</v>
      </c>
      <c r="K52" s="241">
        <f t="shared" si="19"/>
        <v>0</v>
      </c>
      <c r="L52" s="241">
        <f t="shared" si="19"/>
        <v>0</v>
      </c>
      <c r="M52" s="241">
        <f t="shared" si="19"/>
        <v>0</v>
      </c>
      <c r="N52" s="241">
        <f t="shared" si="19"/>
        <v>0</v>
      </c>
      <c r="O52" s="241">
        <f t="shared" si="19"/>
        <v>0</v>
      </c>
      <c r="P52" s="241">
        <f t="shared" si="19"/>
        <v>3.9828600000000001</v>
      </c>
    </row>
    <row r="53" spans="2:16" ht="18.5">
      <c r="B53" s="243">
        <v>78</v>
      </c>
      <c r="C53" s="243" t="s">
        <v>44</v>
      </c>
      <c r="D53" s="244">
        <f t="shared" ref="D53" si="20">D34/10^6</f>
        <v>6.3538379629999993</v>
      </c>
      <c r="E53" s="244">
        <f t="shared" ref="E53:P53" si="21">E34/10^6</f>
        <v>4.9996721174999994</v>
      </c>
      <c r="F53" s="244">
        <f t="shared" si="21"/>
        <v>4.1755708392999997</v>
      </c>
      <c r="G53" s="244">
        <f t="shared" si="21"/>
        <v>3.2843112495</v>
      </c>
      <c r="H53" s="244">
        <f t="shared" si="21"/>
        <v>0</v>
      </c>
      <c r="I53" s="244">
        <f t="shared" si="21"/>
        <v>0</v>
      </c>
      <c r="J53" s="244">
        <f t="shared" si="21"/>
        <v>0</v>
      </c>
      <c r="K53" s="244">
        <f t="shared" si="21"/>
        <v>0</v>
      </c>
      <c r="L53" s="244">
        <f t="shared" si="21"/>
        <v>0</v>
      </c>
      <c r="M53" s="244">
        <f t="shared" si="21"/>
        <v>0</v>
      </c>
      <c r="N53" s="244">
        <f t="shared" si="21"/>
        <v>0</v>
      </c>
      <c r="O53" s="244">
        <f t="shared" si="21"/>
        <v>0</v>
      </c>
      <c r="P53" s="244">
        <f t="shared" si="21"/>
        <v>18.813392169299998</v>
      </c>
    </row>
    <row r="54" spans="2:16">
      <c r="B54" s="7">
        <v>6.5</v>
      </c>
      <c r="C54" s="7" t="s">
        <v>43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2:16">
      <c r="C55" s="83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</row>
    <row r="56" spans="2:16">
      <c r="C56" s="170" t="s">
        <v>120</v>
      </c>
    </row>
    <row r="57" spans="2:16">
      <c r="C57" s="2" t="s">
        <v>2</v>
      </c>
      <c r="D57" s="169">
        <v>46023</v>
      </c>
      <c r="E57" s="3">
        <v>46054</v>
      </c>
      <c r="F57" s="3">
        <v>46082</v>
      </c>
      <c r="G57" s="3">
        <v>46113</v>
      </c>
      <c r="H57" s="3">
        <v>46143</v>
      </c>
      <c r="I57" s="3">
        <v>46174</v>
      </c>
      <c r="J57" s="3">
        <v>46204</v>
      </c>
      <c r="K57" s="3">
        <v>46235</v>
      </c>
      <c r="L57" s="3">
        <v>46266</v>
      </c>
      <c r="M57" s="3">
        <v>46296</v>
      </c>
      <c r="N57" s="3">
        <v>46327</v>
      </c>
      <c r="O57" s="3">
        <v>46357</v>
      </c>
      <c r="P57" s="4" t="s">
        <v>55</v>
      </c>
    </row>
    <row r="58" spans="2:16">
      <c r="C58" s="7" t="s">
        <v>13</v>
      </c>
      <c r="D58" s="168">
        <f>D21/D4</f>
        <v>7.0548759768943254</v>
      </c>
      <c r="E58" s="168">
        <f t="shared" ref="E58:P58" si="22">E21/E4</f>
        <v>6.9999580002519988</v>
      </c>
      <c r="F58" s="168">
        <f t="shared" si="22"/>
        <v>6.9163089145850423</v>
      </c>
      <c r="G58" s="168">
        <f t="shared" si="22"/>
        <v>6.7196320301066272</v>
      </c>
      <c r="H58" s="168" t="e">
        <f t="shared" si="22"/>
        <v>#DIV/0!</v>
      </c>
      <c r="I58" s="168" t="e">
        <f t="shared" si="22"/>
        <v>#DIV/0!</v>
      </c>
      <c r="J58" s="168" t="e">
        <f t="shared" si="22"/>
        <v>#DIV/0!</v>
      </c>
      <c r="K58" s="168" t="e">
        <f t="shared" si="22"/>
        <v>#DIV/0!</v>
      </c>
      <c r="L58" s="168" t="e">
        <f t="shared" si="22"/>
        <v>#DIV/0!</v>
      </c>
      <c r="M58" s="168" t="e">
        <f t="shared" si="22"/>
        <v>#DIV/0!</v>
      </c>
      <c r="N58" s="168" t="e">
        <f t="shared" si="22"/>
        <v>#DIV/0!</v>
      </c>
      <c r="O58" s="168" t="e">
        <f t="shared" si="22"/>
        <v>#DIV/0!</v>
      </c>
      <c r="P58" s="168">
        <f t="shared" si="22"/>
        <v>6.9200911914956826</v>
      </c>
    </row>
    <row r="59" spans="2:16">
      <c r="C59" s="7" t="s">
        <v>15</v>
      </c>
      <c r="D59" s="168">
        <f t="shared" ref="D59:P59" si="23">D22/D5</f>
        <v>0.20190935639413762</v>
      </c>
      <c r="E59" s="168">
        <f t="shared" si="23"/>
        <v>0.19983912365415785</v>
      </c>
      <c r="F59" s="168">
        <f t="shared" si="23"/>
        <v>0.59433946214312827</v>
      </c>
      <c r="G59" s="168">
        <f t="shared" si="23"/>
        <v>5.0711601167443021</v>
      </c>
      <c r="H59" s="168" t="e">
        <f t="shared" si="23"/>
        <v>#DIV/0!</v>
      </c>
      <c r="I59" s="168" t="e">
        <f t="shared" si="23"/>
        <v>#DIV/0!</v>
      </c>
      <c r="J59" s="168" t="e">
        <f t="shared" si="23"/>
        <v>#DIV/0!</v>
      </c>
      <c r="K59" s="168" t="e">
        <f t="shared" si="23"/>
        <v>#DIV/0!</v>
      </c>
      <c r="L59" s="168" t="e">
        <f t="shared" si="23"/>
        <v>#DIV/0!</v>
      </c>
      <c r="M59" s="168" t="e">
        <f t="shared" si="23"/>
        <v>#DIV/0!</v>
      </c>
      <c r="N59" s="168" t="e">
        <f t="shared" si="23"/>
        <v>#DIV/0!</v>
      </c>
      <c r="O59" s="168" t="e">
        <f t="shared" si="23"/>
        <v>#DIV/0!</v>
      </c>
      <c r="P59" s="168">
        <f t="shared" si="23"/>
        <v>0.34117015615690688</v>
      </c>
    </row>
    <row r="60" spans="2:16">
      <c r="C60" s="7" t="s">
        <v>17</v>
      </c>
      <c r="D60" s="168">
        <f t="shared" ref="D60:P60" si="24">D23/D6</f>
        <v>1.5653722300966091</v>
      </c>
      <c r="E60" s="168">
        <f t="shared" si="24"/>
        <v>1.6312261989938641</v>
      </c>
      <c r="F60" s="168">
        <f t="shared" si="24"/>
        <v>1.0897537507387083</v>
      </c>
      <c r="G60" s="168">
        <f t="shared" si="24"/>
        <v>1.1140582617678645</v>
      </c>
      <c r="H60" s="168" t="e">
        <f t="shared" si="24"/>
        <v>#DIV/0!</v>
      </c>
      <c r="I60" s="168" t="e">
        <f t="shared" si="24"/>
        <v>#DIV/0!</v>
      </c>
      <c r="J60" s="168" t="e">
        <f t="shared" si="24"/>
        <v>#DIV/0!</v>
      </c>
      <c r="K60" s="168" t="e">
        <f t="shared" si="24"/>
        <v>#DIV/0!</v>
      </c>
      <c r="L60" s="168" t="e">
        <f t="shared" si="24"/>
        <v>#DIV/0!</v>
      </c>
      <c r="M60" s="168" t="e">
        <f t="shared" si="24"/>
        <v>#DIV/0!</v>
      </c>
      <c r="N60" s="168" t="e">
        <f t="shared" si="24"/>
        <v>#DIV/0!</v>
      </c>
      <c r="O60" s="168" t="e">
        <f t="shared" si="24"/>
        <v>#DIV/0!</v>
      </c>
      <c r="P60" s="168">
        <f t="shared" si="24"/>
        <v>1.3586412285769021</v>
      </c>
    </row>
    <row r="61" spans="2:16">
      <c r="C61" s="7" t="s">
        <v>18</v>
      </c>
      <c r="D61" s="168">
        <f t="shared" ref="D61:P61" si="25">D24/D7</f>
        <v>7.8758375550502288E-2</v>
      </c>
      <c r="E61" s="168">
        <f t="shared" si="25"/>
        <v>7.2530641672674839E-2</v>
      </c>
      <c r="F61" s="168">
        <f t="shared" si="25"/>
        <v>0.34459349320650873</v>
      </c>
      <c r="G61" s="168">
        <f t="shared" si="25"/>
        <v>0.41164306177621757</v>
      </c>
      <c r="H61" s="168" t="e">
        <f t="shared" si="25"/>
        <v>#DIV/0!</v>
      </c>
      <c r="I61" s="168" t="e">
        <f t="shared" si="25"/>
        <v>#DIV/0!</v>
      </c>
      <c r="J61" s="168" t="e">
        <f t="shared" si="25"/>
        <v>#DIV/0!</v>
      </c>
      <c r="K61" s="168" t="e">
        <f t="shared" si="25"/>
        <v>#DIV/0!</v>
      </c>
      <c r="L61" s="168" t="e">
        <f t="shared" si="25"/>
        <v>#DIV/0!</v>
      </c>
      <c r="M61" s="168" t="e">
        <f t="shared" si="25"/>
        <v>#DIV/0!</v>
      </c>
      <c r="N61" s="168" t="e">
        <f t="shared" si="25"/>
        <v>#DIV/0!</v>
      </c>
      <c r="O61" s="168" t="e">
        <f t="shared" si="25"/>
        <v>#DIV/0!</v>
      </c>
      <c r="P61" s="168">
        <f t="shared" si="25"/>
        <v>0.20318482706870067</v>
      </c>
    </row>
    <row r="62" spans="2:16">
      <c r="C62" s="7" t="s">
        <v>112</v>
      </c>
      <c r="D62" s="168">
        <f t="shared" ref="D62:P62" si="26">D25/D8</f>
        <v>2.4551480388496496</v>
      </c>
      <c r="E62" s="168">
        <f t="shared" si="26"/>
        <v>2.25806846158242</v>
      </c>
      <c r="F62" s="168">
        <f t="shared" si="26"/>
        <v>2.5545588223713955</v>
      </c>
      <c r="G62" s="168">
        <f t="shared" si="26"/>
        <v>2.3821254962611973</v>
      </c>
      <c r="H62" s="168" t="e">
        <f t="shared" si="26"/>
        <v>#DIV/0!</v>
      </c>
      <c r="I62" s="168" t="e">
        <f t="shared" si="26"/>
        <v>#DIV/0!</v>
      </c>
      <c r="J62" s="168" t="e">
        <f t="shared" si="26"/>
        <v>#DIV/0!</v>
      </c>
      <c r="K62" s="168" t="e">
        <f t="shared" si="26"/>
        <v>#DIV/0!</v>
      </c>
      <c r="L62" s="168" t="e">
        <f t="shared" si="26"/>
        <v>#DIV/0!</v>
      </c>
      <c r="M62" s="168" t="e">
        <f t="shared" si="26"/>
        <v>#DIV/0!</v>
      </c>
      <c r="N62" s="168" t="e">
        <f t="shared" si="26"/>
        <v>#DIV/0!</v>
      </c>
      <c r="O62" s="168" t="e">
        <f t="shared" si="26"/>
        <v>#DIV/0!</v>
      </c>
      <c r="P62" s="168">
        <f t="shared" si="26"/>
        <v>2.4056403682604106</v>
      </c>
    </row>
    <row r="63" spans="2:16">
      <c r="C63" s="7" t="s">
        <v>19</v>
      </c>
      <c r="D63" s="168">
        <f t="shared" ref="D63:P63" si="27">D26/D9</f>
        <v>0.12586694066272797</v>
      </c>
      <c r="E63" s="168">
        <f t="shared" si="27"/>
        <v>0.1078695758764403</v>
      </c>
      <c r="F63" s="168">
        <f t="shared" si="27"/>
        <v>9.5034910783553139E-2</v>
      </c>
      <c r="G63" s="168">
        <f t="shared" si="27"/>
        <v>0.11477411477411477</v>
      </c>
      <c r="H63" s="168" t="e">
        <f t="shared" si="27"/>
        <v>#DIV/0!</v>
      </c>
      <c r="I63" s="168" t="e">
        <f t="shared" si="27"/>
        <v>#DIV/0!</v>
      </c>
      <c r="J63" s="168" t="e">
        <f t="shared" si="27"/>
        <v>#DIV/0!</v>
      </c>
      <c r="K63" s="168" t="e">
        <f t="shared" si="27"/>
        <v>#DIV/0!</v>
      </c>
      <c r="L63" s="168" t="e">
        <f t="shared" si="27"/>
        <v>#DIV/0!</v>
      </c>
      <c r="M63" s="168" t="e">
        <f t="shared" si="27"/>
        <v>#DIV/0!</v>
      </c>
      <c r="N63" s="168" t="e">
        <f t="shared" si="27"/>
        <v>#DIV/0!</v>
      </c>
      <c r="O63" s="168" t="e">
        <f t="shared" si="27"/>
        <v>#DIV/0!</v>
      </c>
      <c r="P63" s="168">
        <f t="shared" si="27"/>
        <v>0.10973697962027522</v>
      </c>
    </row>
    <row r="64" spans="2:16">
      <c r="C64" s="7" t="s">
        <v>20</v>
      </c>
      <c r="D64" s="168">
        <f t="shared" ref="D64:P64" si="28">D27/D10</f>
        <v>0.37729226989558656</v>
      </c>
      <c r="E64" s="168">
        <f t="shared" si="28"/>
        <v>0.36774587660354308</v>
      </c>
      <c r="F64" s="168">
        <f t="shared" si="28"/>
        <v>0.36967349197565025</v>
      </c>
      <c r="G64" s="168">
        <f t="shared" si="28"/>
        <v>0.36259541984732824</v>
      </c>
      <c r="H64" s="168" t="e">
        <f t="shared" si="28"/>
        <v>#DIV/0!</v>
      </c>
      <c r="I64" s="168" t="e">
        <f t="shared" si="28"/>
        <v>#DIV/0!</v>
      </c>
      <c r="J64" s="168" t="e">
        <f t="shared" si="28"/>
        <v>#DIV/0!</v>
      </c>
      <c r="K64" s="168" t="e">
        <f t="shared" si="28"/>
        <v>#DIV/0!</v>
      </c>
      <c r="L64" s="168" t="e">
        <f t="shared" si="28"/>
        <v>#DIV/0!</v>
      </c>
      <c r="M64" s="168" t="e">
        <f t="shared" si="28"/>
        <v>#DIV/0!</v>
      </c>
      <c r="N64" s="168" t="e">
        <f t="shared" si="28"/>
        <v>#DIV/0!</v>
      </c>
      <c r="O64" s="168" t="e">
        <f t="shared" si="28"/>
        <v>#DIV/0!</v>
      </c>
      <c r="P64" s="168">
        <f t="shared" si="28"/>
        <v>0.36957316330260326</v>
      </c>
    </row>
    <row r="65" spans="2:16">
      <c r="C65" s="7" t="s">
        <v>30</v>
      </c>
      <c r="D65" s="168">
        <f>D29/D12</f>
        <v>43.027054379969563</v>
      </c>
      <c r="E65" s="168">
        <f t="shared" ref="E65:P65" si="29">E29/E12</f>
        <v>46.231965669686716</v>
      </c>
      <c r="F65" s="168">
        <f t="shared" si="29"/>
        <v>44.579015922601585</v>
      </c>
      <c r="G65" s="168" t="e">
        <f t="shared" si="29"/>
        <v>#DIV/0!</v>
      </c>
      <c r="H65" s="168" t="e">
        <f t="shared" si="29"/>
        <v>#DIV/0!</v>
      </c>
      <c r="I65" s="168" t="e">
        <f t="shared" si="29"/>
        <v>#DIV/0!</v>
      </c>
      <c r="J65" s="168" t="e">
        <f t="shared" si="29"/>
        <v>#DIV/0!</v>
      </c>
      <c r="K65" s="168" t="e">
        <f t="shared" si="29"/>
        <v>#DIV/0!</v>
      </c>
      <c r="L65" s="168" t="e">
        <f t="shared" si="29"/>
        <v>#DIV/0!</v>
      </c>
      <c r="M65" s="168" t="e">
        <f t="shared" si="29"/>
        <v>#DIV/0!</v>
      </c>
      <c r="N65" s="168" t="e">
        <f t="shared" si="29"/>
        <v>#DIV/0!</v>
      </c>
      <c r="O65" s="168" t="e">
        <f t="shared" si="29"/>
        <v>#DIV/0!</v>
      </c>
      <c r="P65" s="168">
        <f t="shared" si="29"/>
        <v>44.719911116246038</v>
      </c>
    </row>
    <row r="66" spans="2:16">
      <c r="C66" s="7" t="s">
        <v>31</v>
      </c>
      <c r="D66" s="168">
        <f t="shared" ref="D66:P66" si="30">D30/D13</f>
        <v>187.12718840241797</v>
      </c>
      <c r="E66" s="168">
        <f t="shared" si="30"/>
        <v>188.51145156513934</v>
      </c>
      <c r="F66" s="168">
        <f t="shared" si="30"/>
        <v>47.775624876188168</v>
      </c>
      <c r="G66" s="168">
        <f t="shared" si="30"/>
        <v>47.086249156127948</v>
      </c>
      <c r="H66" s="168" t="e">
        <f t="shared" si="30"/>
        <v>#DIV/0!</v>
      </c>
      <c r="I66" s="168" t="e">
        <f t="shared" si="30"/>
        <v>#DIV/0!</v>
      </c>
      <c r="J66" s="168" t="e">
        <f t="shared" si="30"/>
        <v>#DIV/0!</v>
      </c>
      <c r="K66" s="168" t="e">
        <f t="shared" si="30"/>
        <v>#DIV/0!</v>
      </c>
      <c r="L66" s="168" t="e">
        <f t="shared" si="30"/>
        <v>#DIV/0!</v>
      </c>
      <c r="M66" s="168" t="e">
        <f t="shared" si="30"/>
        <v>#DIV/0!</v>
      </c>
      <c r="N66" s="168" t="e">
        <f t="shared" si="30"/>
        <v>#DIV/0!</v>
      </c>
      <c r="O66" s="168" t="e">
        <f t="shared" si="30"/>
        <v>#DIV/0!</v>
      </c>
      <c r="P66" s="168">
        <f t="shared" si="30"/>
        <v>125.90634119802338</v>
      </c>
    </row>
    <row r="67" spans="2:16">
      <c r="C67" s="7" t="s">
        <v>33</v>
      </c>
      <c r="D67" s="168">
        <f t="shared" ref="D67:P67" si="31">D31/D14</f>
        <v>81.603559988148277</v>
      </c>
      <c r="E67" s="168">
        <f t="shared" si="31"/>
        <v>62.74813895781638</v>
      </c>
      <c r="F67" s="168">
        <f t="shared" si="31"/>
        <v>23.994848586389129</v>
      </c>
      <c r="G67" s="168" t="e">
        <f t="shared" si="31"/>
        <v>#DIV/0!</v>
      </c>
      <c r="H67" s="168" t="e">
        <f t="shared" si="31"/>
        <v>#DIV/0!</v>
      </c>
      <c r="I67" s="168" t="e">
        <f t="shared" si="31"/>
        <v>#DIV/0!</v>
      </c>
      <c r="J67" s="168" t="e">
        <f t="shared" si="31"/>
        <v>#DIV/0!</v>
      </c>
      <c r="K67" s="168" t="e">
        <f t="shared" si="31"/>
        <v>#DIV/0!</v>
      </c>
      <c r="L67" s="168" t="e">
        <f t="shared" si="31"/>
        <v>#DIV/0!</v>
      </c>
      <c r="M67" s="168" t="e">
        <f t="shared" si="31"/>
        <v>#DIV/0!</v>
      </c>
      <c r="N67" s="168" t="e">
        <f t="shared" si="31"/>
        <v>#DIV/0!</v>
      </c>
      <c r="O67" s="168" t="e">
        <f t="shared" si="31"/>
        <v>#DIV/0!</v>
      </c>
      <c r="P67" s="168">
        <f t="shared" si="31"/>
        <v>50.068627610700212</v>
      </c>
    </row>
    <row r="68" spans="2:16">
      <c r="C68" s="7" t="s">
        <v>37</v>
      </c>
      <c r="D68" s="168">
        <f t="shared" ref="D68:P68" si="32">D32/D15</f>
        <v>28.184506902602124</v>
      </c>
      <c r="E68" s="168">
        <f t="shared" si="32"/>
        <v>30.183902784452716</v>
      </c>
      <c r="F68" s="168">
        <f t="shared" si="32"/>
        <v>27.883576576944158</v>
      </c>
      <c r="G68" s="168">
        <f t="shared" si="32"/>
        <v>27.106588915439918</v>
      </c>
      <c r="H68" s="168" t="e">
        <f t="shared" si="32"/>
        <v>#DIV/0!</v>
      </c>
      <c r="I68" s="168" t="e">
        <f t="shared" si="32"/>
        <v>#DIV/0!</v>
      </c>
      <c r="J68" s="168" t="e">
        <f t="shared" si="32"/>
        <v>#DIV/0!</v>
      </c>
      <c r="K68" s="168" t="e">
        <f t="shared" si="32"/>
        <v>#DIV/0!</v>
      </c>
      <c r="L68" s="168" t="e">
        <f t="shared" si="32"/>
        <v>#DIV/0!</v>
      </c>
      <c r="M68" s="168" t="e">
        <f t="shared" si="32"/>
        <v>#DIV/0!</v>
      </c>
      <c r="N68" s="168" t="e">
        <f t="shared" si="32"/>
        <v>#DIV/0!</v>
      </c>
      <c r="O68" s="168" t="e">
        <f t="shared" si="32"/>
        <v>#DIV/0!</v>
      </c>
      <c r="P68" s="168">
        <f t="shared" si="32"/>
        <v>28.230700764764954</v>
      </c>
    </row>
    <row r="69" spans="2:16">
      <c r="C69" s="7" t="s">
        <v>113</v>
      </c>
      <c r="D69" s="168">
        <f>D33/D16</f>
        <v>4.8269579409191739</v>
      </c>
      <c r="E69" s="168">
        <f t="shared" ref="E69:P69" si="33">E33/E16</f>
        <v>6.9900213301729996</v>
      </c>
      <c r="F69" s="168">
        <f t="shared" si="33"/>
        <v>6.3524456800922682</v>
      </c>
      <c r="G69" s="168">
        <f t="shared" si="33"/>
        <v>5.1183864780894774</v>
      </c>
      <c r="H69" s="168" t="e">
        <f t="shared" si="33"/>
        <v>#DIV/0!</v>
      </c>
      <c r="I69" s="168" t="e">
        <f t="shared" si="33"/>
        <v>#DIV/0!</v>
      </c>
      <c r="J69" s="168" t="e">
        <f t="shared" si="33"/>
        <v>#DIV/0!</v>
      </c>
      <c r="K69" s="168" t="e">
        <f t="shared" si="33"/>
        <v>#DIV/0!</v>
      </c>
      <c r="L69" s="168" t="e">
        <f t="shared" si="33"/>
        <v>#DIV/0!</v>
      </c>
      <c r="M69" s="168" t="e">
        <f t="shared" si="33"/>
        <v>#DIV/0!</v>
      </c>
      <c r="N69" s="168" t="e">
        <f t="shared" si="33"/>
        <v>#DIV/0!</v>
      </c>
      <c r="O69" s="168" t="e">
        <f t="shared" si="33"/>
        <v>#DIV/0!</v>
      </c>
      <c r="P69" s="168">
        <f t="shared" si="33"/>
        <v>5.7659898124712017</v>
      </c>
    </row>
    <row r="70" spans="2:16">
      <c r="C70" s="2" t="s">
        <v>44</v>
      </c>
      <c r="D70" s="172">
        <f t="shared" ref="D70:P70" si="34">D34/D17</f>
        <v>7.4660638392938719</v>
      </c>
      <c r="E70" s="172">
        <f t="shared" si="34"/>
        <v>6.4597697452189786</v>
      </c>
      <c r="F70" s="172">
        <f t="shared" si="34"/>
        <v>5.7427473066153754</v>
      </c>
      <c r="G70" s="172">
        <f t="shared" si="34"/>
        <v>5.0396953011240697</v>
      </c>
      <c r="H70" s="172" t="e">
        <f t="shared" si="34"/>
        <v>#DIV/0!</v>
      </c>
      <c r="I70" s="172" t="e">
        <f t="shared" si="34"/>
        <v>#DIV/0!</v>
      </c>
      <c r="J70" s="172" t="e">
        <f t="shared" si="34"/>
        <v>#DIV/0!</v>
      </c>
      <c r="K70" s="172" t="e">
        <f t="shared" si="34"/>
        <v>#DIV/0!</v>
      </c>
      <c r="L70" s="172" t="e">
        <f t="shared" si="34"/>
        <v>#DIV/0!</v>
      </c>
      <c r="M70" s="172" t="e">
        <f t="shared" si="34"/>
        <v>#DIV/0!</v>
      </c>
      <c r="N70" s="172" t="e">
        <f t="shared" si="34"/>
        <v>#DIV/0!</v>
      </c>
      <c r="O70" s="172" t="e">
        <f t="shared" si="34"/>
        <v>#DIV/0!</v>
      </c>
      <c r="P70" s="172">
        <f t="shared" si="34"/>
        <v>6.2818659902527658</v>
      </c>
    </row>
    <row r="73" spans="2:16">
      <c r="B73" s="380" t="s">
        <v>119</v>
      </c>
    </row>
    <row r="74" spans="2:16">
      <c r="B74" s="406">
        <f>B40+B41+B42+B43+B44+B47</f>
        <v>42.18</v>
      </c>
      <c r="C74" s="381" t="s">
        <v>121</v>
      </c>
      <c r="D74" s="345">
        <f>D40+D41+D42+D43+D44+D45+D46+D47</f>
        <v>1.8893653371000001</v>
      </c>
      <c r="E74" s="345">
        <f t="shared" ref="E74:P74" si="35">E40+E41+E42+E43+E44+E45+E46+E47</f>
        <v>1.7105648044999999</v>
      </c>
      <c r="F74" s="345">
        <f t="shared" si="35"/>
        <v>1.8559317647</v>
      </c>
      <c r="G74" s="345">
        <f t="shared" si="35"/>
        <v>1.7892712494999996</v>
      </c>
      <c r="H74" s="345">
        <f t="shared" si="35"/>
        <v>0</v>
      </c>
      <c r="I74" s="345">
        <f t="shared" si="35"/>
        <v>0</v>
      </c>
      <c r="J74" s="345">
        <f t="shared" si="35"/>
        <v>0</v>
      </c>
      <c r="K74" s="345">
        <f t="shared" si="35"/>
        <v>0</v>
      </c>
      <c r="L74" s="345">
        <f t="shared" si="35"/>
        <v>0</v>
      </c>
      <c r="M74" s="345">
        <f t="shared" si="35"/>
        <v>0</v>
      </c>
      <c r="N74" s="345">
        <f t="shared" si="35"/>
        <v>0</v>
      </c>
      <c r="O74" s="345">
        <f t="shared" si="35"/>
        <v>0</v>
      </c>
      <c r="P74" s="345">
        <f t="shared" si="35"/>
        <v>7.2451331558000005</v>
      </c>
    </row>
    <row r="75" spans="2:16">
      <c r="B75" s="382">
        <f>B48+B49+B50+B51+B52</f>
        <v>36</v>
      </c>
      <c r="C75" s="381" t="s">
        <v>122</v>
      </c>
      <c r="D75" s="345">
        <f>D48+D49+D50+D51+D52</f>
        <v>4.4644726259</v>
      </c>
      <c r="E75" s="345">
        <f t="shared" ref="E75:P75" si="36">E48+E49+E50+E51+E52</f>
        <v>3.2891073130000006</v>
      </c>
      <c r="F75" s="345">
        <f t="shared" si="36"/>
        <v>2.3196390746</v>
      </c>
      <c r="G75" s="345">
        <f t="shared" si="36"/>
        <v>1.4950399999999999</v>
      </c>
      <c r="H75" s="345">
        <f t="shared" si="36"/>
        <v>0</v>
      </c>
      <c r="I75" s="345">
        <f t="shared" si="36"/>
        <v>0</v>
      </c>
      <c r="J75" s="345">
        <f t="shared" si="36"/>
        <v>0</v>
      </c>
      <c r="K75" s="345">
        <f t="shared" si="36"/>
        <v>0</v>
      </c>
      <c r="L75" s="345">
        <f t="shared" si="36"/>
        <v>0</v>
      </c>
      <c r="M75" s="345">
        <f t="shared" si="36"/>
        <v>0</v>
      </c>
      <c r="N75" s="345">
        <f t="shared" si="36"/>
        <v>0</v>
      </c>
      <c r="O75" s="345">
        <f t="shared" si="36"/>
        <v>0</v>
      </c>
      <c r="P75" s="345">
        <f t="shared" si="36"/>
        <v>11.568259013500001</v>
      </c>
    </row>
    <row r="76" spans="2:16">
      <c r="C76" s="344" t="s">
        <v>123</v>
      </c>
      <c r="D76" s="345">
        <f>SUM(D74:D75)</f>
        <v>6.3538379630000001</v>
      </c>
      <c r="E76" s="345">
        <f t="shared" ref="E76:P76" si="37">SUM(E74:E75)</f>
        <v>4.9996721175000003</v>
      </c>
      <c r="F76" s="345">
        <f t="shared" si="37"/>
        <v>4.1755708392999997</v>
      </c>
      <c r="G76" s="345">
        <f t="shared" si="37"/>
        <v>3.2843112494999995</v>
      </c>
      <c r="H76" s="345">
        <f t="shared" si="37"/>
        <v>0</v>
      </c>
      <c r="I76" s="345">
        <f t="shared" si="37"/>
        <v>0</v>
      </c>
      <c r="J76" s="345">
        <f t="shared" si="37"/>
        <v>0</v>
      </c>
      <c r="K76" s="345">
        <f t="shared" si="37"/>
        <v>0</v>
      </c>
      <c r="L76" s="345">
        <f t="shared" si="37"/>
        <v>0</v>
      </c>
      <c r="M76" s="345">
        <f t="shared" si="37"/>
        <v>0</v>
      </c>
      <c r="N76" s="345">
        <f t="shared" si="37"/>
        <v>0</v>
      </c>
      <c r="O76" s="345">
        <f t="shared" si="37"/>
        <v>0</v>
      </c>
      <c r="P76" s="345">
        <f t="shared" si="37"/>
        <v>18.813392169300002</v>
      </c>
    </row>
  </sheetData>
  <mergeCells count="1">
    <mergeCell ref="U18:Z1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B38F-4374-4D53-8150-2B3FDA1B2CBF}">
  <dimension ref="A1:AK21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30" sqref="K30"/>
    </sheetView>
  </sheetViews>
  <sheetFormatPr defaultRowHeight="14.5"/>
  <cols>
    <col min="1" max="1" width="24" bestFit="1" customWidth="1"/>
    <col min="2" max="2" width="11.6328125" customWidth="1"/>
    <col min="3" max="3" width="15.90625" bestFit="1" customWidth="1"/>
    <col min="4" max="4" width="10.26953125" customWidth="1"/>
    <col min="5" max="5" width="19.08984375" customWidth="1"/>
    <col min="6" max="6" width="14" customWidth="1"/>
    <col min="7" max="8" width="13.90625" bestFit="1" customWidth="1"/>
    <col min="9" max="9" width="14.26953125" customWidth="1"/>
    <col min="10" max="10" width="17" customWidth="1"/>
    <col min="11" max="11" width="13.26953125" customWidth="1"/>
    <col min="12" max="12" width="13.26953125" bestFit="1" customWidth="1"/>
    <col min="13" max="13" width="15.26953125" customWidth="1"/>
    <col min="14" max="16" width="13.26953125" customWidth="1"/>
    <col min="17" max="18" width="19.08984375" bestFit="1" customWidth="1"/>
    <col min="19" max="23" width="13.26953125" bestFit="1" customWidth="1"/>
    <col min="25" max="25" width="10.6328125" bestFit="1" customWidth="1"/>
    <col min="26" max="27" width="11.6328125" bestFit="1" customWidth="1"/>
    <col min="37" max="37" width="19.7265625" bestFit="1" customWidth="1"/>
  </cols>
  <sheetData>
    <row r="1" spans="1:37" ht="18.5">
      <c r="A1" s="443" t="s">
        <v>124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443"/>
      <c r="R1" s="443"/>
      <c r="S1" s="443"/>
      <c r="T1" s="443"/>
      <c r="U1" s="443"/>
      <c r="V1" s="443"/>
      <c r="W1" s="443"/>
      <c r="Y1" s="51" t="s">
        <v>80</v>
      </c>
    </row>
    <row r="2" spans="1:37">
      <c r="A2" s="1"/>
      <c r="B2" s="2" t="s">
        <v>2</v>
      </c>
      <c r="C2" s="2" t="s">
        <v>3</v>
      </c>
      <c r="D2" s="23" t="s">
        <v>4</v>
      </c>
      <c r="E2" s="3">
        <v>46023</v>
      </c>
      <c r="F2" s="3">
        <v>46054</v>
      </c>
      <c r="G2" s="3">
        <v>46082</v>
      </c>
      <c r="H2" s="3">
        <v>46113</v>
      </c>
      <c r="I2" s="3">
        <v>46143</v>
      </c>
      <c r="J2" s="3">
        <v>46174</v>
      </c>
      <c r="K2" s="3">
        <v>46204</v>
      </c>
      <c r="L2" s="3">
        <v>46235</v>
      </c>
      <c r="M2" s="3">
        <v>46266</v>
      </c>
      <c r="N2" s="3">
        <v>46296</v>
      </c>
      <c r="O2" s="3">
        <v>46327</v>
      </c>
      <c r="P2" s="3">
        <v>46357</v>
      </c>
      <c r="Q2" s="4" t="s">
        <v>55</v>
      </c>
      <c r="R2" s="5" t="s">
        <v>5</v>
      </c>
      <c r="S2" s="5" t="s">
        <v>6</v>
      </c>
      <c r="T2" s="5" t="s">
        <v>7</v>
      </c>
      <c r="U2" s="5" t="s">
        <v>8</v>
      </c>
      <c r="V2" s="5" t="s">
        <v>9</v>
      </c>
      <c r="W2" s="5" t="s">
        <v>10</v>
      </c>
      <c r="Y2" s="52">
        <v>46023</v>
      </c>
      <c r="Z2" s="52">
        <v>46054</v>
      </c>
      <c r="AA2" s="52">
        <v>46082</v>
      </c>
      <c r="AB2" s="52">
        <v>46113</v>
      </c>
      <c r="AC2" s="52">
        <v>46143</v>
      </c>
      <c r="AD2" s="52">
        <v>46174</v>
      </c>
      <c r="AE2" s="52">
        <v>46204</v>
      </c>
      <c r="AF2" s="52">
        <v>46235</v>
      </c>
      <c r="AG2" s="52">
        <v>46266</v>
      </c>
      <c r="AH2" s="52">
        <v>46296</v>
      </c>
      <c r="AI2" s="52">
        <v>46327</v>
      </c>
      <c r="AJ2" s="52">
        <v>46357</v>
      </c>
      <c r="AK2" s="53" t="s">
        <v>81</v>
      </c>
    </row>
    <row r="3" spans="1:37">
      <c r="A3" s="414" t="s">
        <v>12</v>
      </c>
      <c r="B3" s="6" t="s">
        <v>13</v>
      </c>
      <c r="C3" s="6" t="s">
        <v>82</v>
      </c>
      <c r="D3" s="54"/>
      <c r="E3" s="24">
        <v>146910</v>
      </c>
      <c r="F3" s="24">
        <f>[1]in!$E$1227</f>
        <v>139080</v>
      </c>
      <c r="G3" s="24">
        <f>[1]in!$F$1227</f>
        <v>210000</v>
      </c>
      <c r="H3" s="24">
        <f>[1]in!$H$1227</f>
        <v>196340</v>
      </c>
      <c r="I3" s="24">
        <f>[1]in!$I$1227</f>
        <v>0</v>
      </c>
      <c r="J3" s="24">
        <f>[1]in!$J$1227</f>
        <v>0</v>
      </c>
      <c r="K3" s="24">
        <f>[1]in!$L$1227</f>
        <v>0</v>
      </c>
      <c r="L3" s="24">
        <f>[1]in!$M$1227</f>
        <v>0</v>
      </c>
      <c r="M3" s="24">
        <f>[1]in!$N$1227</f>
        <v>0</v>
      </c>
      <c r="N3" s="24">
        <f>[1]in!$P$1227</f>
        <v>0</v>
      </c>
      <c r="O3" s="24">
        <f>[1]in!$Q$1227</f>
        <v>0</v>
      </c>
      <c r="P3" s="24">
        <f>[1]in!$R$1227</f>
        <v>0</v>
      </c>
      <c r="Q3" s="27">
        <f>SUM(E3:P3)</f>
        <v>692330</v>
      </c>
      <c r="R3" s="25">
        <f>SUM(E3:G3)</f>
        <v>495990</v>
      </c>
      <c r="S3" s="25">
        <f>SUM(H3:J3)</f>
        <v>196340</v>
      </c>
      <c r="T3" s="25">
        <f>SUM(K3:M3)</f>
        <v>0</v>
      </c>
      <c r="U3" s="25">
        <f>SUM(N3:P3)</f>
        <v>0</v>
      </c>
      <c r="V3" s="25">
        <f>SUM(E3:J3)</f>
        <v>692330</v>
      </c>
      <c r="W3" s="25">
        <f>SUM(K3:P3)</f>
        <v>0</v>
      </c>
      <c r="X3" s="58">
        <f t="shared" ref="X3:X15" si="0">Q3/$Q$37</f>
        <v>7.3008718906994105E-2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2">
        <f>SUM(Y3:AJ3)</f>
        <v>0</v>
      </c>
    </row>
    <row r="4" spans="1:37">
      <c r="A4" s="415"/>
      <c r="B4" s="6" t="s">
        <v>15</v>
      </c>
      <c r="C4" s="6" t="s">
        <v>82</v>
      </c>
      <c r="D4" s="6"/>
      <c r="E4" s="111">
        <v>154152</v>
      </c>
      <c r="F4" s="111">
        <f>[1]in!$E$1228</f>
        <v>139359</v>
      </c>
      <c r="G4" s="111">
        <f>[1]in!$F$1228</f>
        <v>123843</v>
      </c>
      <c r="H4" s="111">
        <f>[1]in!$H$1228</f>
        <v>51525</v>
      </c>
      <c r="I4" s="111">
        <f>[1]in!$I$1228</f>
        <v>0</v>
      </c>
      <c r="J4" s="111">
        <f>[1]in!$J$1228</f>
        <v>0</v>
      </c>
      <c r="K4" s="111">
        <f>[1]in!$L$1228</f>
        <v>0</v>
      </c>
      <c r="L4" s="111">
        <f>[1]in!$M$1228</f>
        <v>0</v>
      </c>
      <c r="M4" s="111">
        <f>[1]in!$N$1228</f>
        <v>0</v>
      </c>
      <c r="N4" s="111">
        <f>[1]in!$P$1228</f>
        <v>0</v>
      </c>
      <c r="O4" s="111">
        <f>[1]in!$Q$1228</f>
        <v>0</v>
      </c>
      <c r="P4" s="111">
        <f>[1]in!$R$1228</f>
        <v>0</v>
      </c>
      <c r="Q4" s="27">
        <f t="shared" ref="Q4:Q33" si="1">SUM(E4:P4)</f>
        <v>468879</v>
      </c>
      <c r="R4" s="25">
        <f t="shared" ref="R4:R26" si="2">SUM(E4:G4)</f>
        <v>417354</v>
      </c>
      <c r="S4" s="25">
        <f t="shared" ref="S4:S26" si="3">SUM(H4:J4)</f>
        <v>51525</v>
      </c>
      <c r="T4" s="25">
        <f t="shared" ref="T4:T26" si="4">SUM(K4:M4)</f>
        <v>0</v>
      </c>
      <c r="U4" s="25">
        <f t="shared" ref="U4:U26" si="5">SUM(N4:P4)</f>
        <v>0</v>
      </c>
      <c r="V4" s="25">
        <f t="shared" ref="V4:V26" si="6">SUM(E4:J4)</f>
        <v>468879</v>
      </c>
      <c r="W4" s="25">
        <f t="shared" ref="W4:W26" si="7">SUM(K4:P4)</f>
        <v>0</v>
      </c>
      <c r="X4" s="58">
        <f t="shared" si="0"/>
        <v>4.9444997490203355E-2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2">
        <f t="shared" ref="AK4:AK26" si="8">SUM(Y4:AJ4)</f>
        <v>0</v>
      </c>
    </row>
    <row r="5" spans="1:37">
      <c r="A5" s="415"/>
      <c r="B5" s="2" t="s">
        <v>16</v>
      </c>
      <c r="C5" s="7" t="s">
        <v>82</v>
      </c>
      <c r="D5" s="6"/>
      <c r="E5" s="26">
        <f>SUM(E3:E4)</f>
        <v>301062</v>
      </c>
      <c r="F5" s="26">
        <f>SUM(F3:F4)</f>
        <v>278439</v>
      </c>
      <c r="G5" s="26">
        <f>SUM(G3:G4)</f>
        <v>333843</v>
      </c>
      <c r="H5" s="26">
        <f t="shared" ref="H5:P5" si="9">SUM(H3:H4)</f>
        <v>247865</v>
      </c>
      <c r="I5" s="26">
        <f t="shared" si="9"/>
        <v>0</v>
      </c>
      <c r="J5" s="26">
        <f t="shared" si="9"/>
        <v>0</v>
      </c>
      <c r="K5" s="26">
        <f t="shared" si="9"/>
        <v>0</v>
      </c>
      <c r="L5" s="26">
        <f t="shared" si="9"/>
        <v>0</v>
      </c>
      <c r="M5" s="26">
        <f t="shared" si="9"/>
        <v>0</v>
      </c>
      <c r="N5" s="26">
        <f t="shared" si="9"/>
        <v>0</v>
      </c>
      <c r="O5" s="26">
        <f t="shared" si="9"/>
        <v>0</v>
      </c>
      <c r="P5" s="26">
        <f t="shared" si="9"/>
        <v>0</v>
      </c>
      <c r="Q5" s="27">
        <f>SUM(E5:P5)</f>
        <v>1161209</v>
      </c>
      <c r="R5" s="26">
        <f t="shared" si="2"/>
        <v>913344</v>
      </c>
      <c r="S5" s="26">
        <f t="shared" si="3"/>
        <v>247865</v>
      </c>
      <c r="T5" s="26">
        <f t="shared" si="4"/>
        <v>0</v>
      </c>
      <c r="U5" s="26">
        <f t="shared" si="5"/>
        <v>0</v>
      </c>
      <c r="V5" s="26">
        <f t="shared" si="6"/>
        <v>1161209</v>
      </c>
      <c r="W5" s="26">
        <f t="shared" si="7"/>
        <v>0</v>
      </c>
      <c r="X5" s="58">
        <f t="shared" si="0"/>
        <v>0.12245371639719746</v>
      </c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>
        <f t="shared" ref="AK5" si="10">SUM(AK3:AK4)</f>
        <v>0</v>
      </c>
    </row>
    <row r="6" spans="1:37">
      <c r="A6" s="415"/>
      <c r="B6" s="2" t="s">
        <v>17</v>
      </c>
      <c r="C6" s="7" t="s">
        <v>82</v>
      </c>
      <c r="D6" s="6"/>
      <c r="E6" s="11">
        <v>160840</v>
      </c>
      <c r="F6" s="11">
        <f>[1]in!$E$1232</f>
        <v>209590</v>
      </c>
      <c r="G6" s="11">
        <f>[1]in!$F$1232</f>
        <v>128630</v>
      </c>
      <c r="H6" s="11">
        <f>[1]in!$H$1232</f>
        <v>339380</v>
      </c>
      <c r="I6" s="11">
        <f>[1]in!$I$1232</f>
        <v>0</v>
      </c>
      <c r="J6" s="11">
        <f>[1]in!$J$1232</f>
        <v>0</v>
      </c>
      <c r="K6" s="11">
        <f>[1]in!$L$1232</f>
        <v>0</v>
      </c>
      <c r="L6" s="11">
        <f>[1]in!$M$1232</f>
        <v>0</v>
      </c>
      <c r="M6" s="11">
        <f>[1]in!$N$1232</f>
        <v>0</v>
      </c>
      <c r="N6" s="11">
        <f>[1]in!$P$1232</f>
        <v>0</v>
      </c>
      <c r="O6" s="11">
        <f>[1]in!$Q$1232</f>
        <v>0</v>
      </c>
      <c r="P6" s="11">
        <f>[1]in!$R$1232</f>
        <v>0</v>
      </c>
      <c r="Q6" s="27">
        <f t="shared" si="1"/>
        <v>838440</v>
      </c>
      <c r="R6" s="26">
        <f t="shared" si="2"/>
        <v>499060</v>
      </c>
      <c r="S6" s="26">
        <f t="shared" si="3"/>
        <v>339380</v>
      </c>
      <c r="T6" s="26">
        <f t="shared" si="4"/>
        <v>0</v>
      </c>
      <c r="U6" s="26">
        <f t="shared" si="5"/>
        <v>0</v>
      </c>
      <c r="V6" s="26">
        <f t="shared" si="6"/>
        <v>838440</v>
      </c>
      <c r="W6" s="26">
        <f t="shared" si="7"/>
        <v>0</v>
      </c>
      <c r="X6" s="58">
        <f t="shared" si="0"/>
        <v>8.8416550316150019E-2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2">
        <f t="shared" si="8"/>
        <v>0</v>
      </c>
    </row>
    <row r="7" spans="1:37">
      <c r="A7" s="415"/>
      <c r="B7" s="2" t="s">
        <v>18</v>
      </c>
      <c r="C7" s="7" t="s">
        <v>82</v>
      </c>
      <c r="D7" s="6"/>
      <c r="E7" s="55">
        <v>649180</v>
      </c>
      <c r="F7" s="55">
        <f>[1]in!$E$1236</f>
        <v>358070</v>
      </c>
      <c r="G7" s="55">
        <f>[1]in!$F$1236</f>
        <v>419990</v>
      </c>
      <c r="H7" s="55">
        <f>[1]in!$H$1236</f>
        <v>318570</v>
      </c>
      <c r="I7" s="55">
        <f>[1]in!$I$1236</f>
        <v>0</v>
      </c>
      <c r="J7" s="55">
        <f>[1]in!$J$1236</f>
        <v>0</v>
      </c>
      <c r="K7" s="55">
        <f>[1]in!$L$1236</f>
        <v>0</v>
      </c>
      <c r="L7" s="55">
        <f>[1]in!$M$1236</f>
        <v>0</v>
      </c>
      <c r="M7" s="55">
        <f>[1]in!$N$1236</f>
        <v>0</v>
      </c>
      <c r="N7" s="55">
        <f>[1]in!$P$1236</f>
        <v>0</v>
      </c>
      <c r="O7" s="55">
        <f>[1]in!$Q$1236</f>
        <v>0</v>
      </c>
      <c r="P7" s="55">
        <f>[1]in!$R$1236</f>
        <v>0</v>
      </c>
      <c r="Q7" s="27">
        <f t="shared" si="1"/>
        <v>1745810</v>
      </c>
      <c r="R7" s="26">
        <f t="shared" si="2"/>
        <v>1427240</v>
      </c>
      <c r="S7" s="26">
        <f t="shared" si="3"/>
        <v>318570</v>
      </c>
      <c r="T7" s="26">
        <f t="shared" si="4"/>
        <v>0</v>
      </c>
      <c r="U7" s="26">
        <f t="shared" si="5"/>
        <v>0</v>
      </c>
      <c r="V7" s="26">
        <f t="shared" si="6"/>
        <v>1745810</v>
      </c>
      <c r="W7" s="26">
        <f t="shared" si="7"/>
        <v>0</v>
      </c>
      <c r="X7" s="58">
        <f t="shared" si="0"/>
        <v>0.18410202006993687</v>
      </c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>
        <f t="shared" si="8"/>
        <v>0</v>
      </c>
    </row>
    <row r="8" spans="1:37">
      <c r="A8" s="415"/>
      <c r="B8" s="2" t="s">
        <v>19</v>
      </c>
      <c r="C8" s="7" t="s">
        <v>82</v>
      </c>
      <c r="D8" s="6"/>
      <c r="E8" s="55">
        <v>80020</v>
      </c>
      <c r="F8" s="11">
        <f>[1]in!$E$1241</f>
        <v>95265</v>
      </c>
      <c r="G8" s="11">
        <f>[1]in!$F$1241</f>
        <v>81854</v>
      </c>
      <c r="H8" s="11">
        <f>[1]in!$H$1241</f>
        <v>77099</v>
      </c>
      <c r="I8" s="11">
        <f>[1]in!$I$1241</f>
        <v>0</v>
      </c>
      <c r="J8" s="11">
        <f>[1]in!$J$1241</f>
        <v>0</v>
      </c>
      <c r="K8" s="11">
        <f>[1]in!$L$1241</f>
        <v>0</v>
      </c>
      <c r="L8" s="11">
        <f>[1]in!$M$1241</f>
        <v>0</v>
      </c>
      <c r="M8" s="11">
        <f>[1]in!$N$1241</f>
        <v>0</v>
      </c>
      <c r="N8" s="11">
        <f>[1]in!$P$1241</f>
        <v>0</v>
      </c>
      <c r="O8" s="11">
        <f>[1]in!$Q$1241</f>
        <v>0</v>
      </c>
      <c r="P8" s="11">
        <f>[1]in!$R$1241</f>
        <v>0</v>
      </c>
      <c r="Q8" s="27">
        <f t="shared" si="1"/>
        <v>334238</v>
      </c>
      <c r="R8" s="26">
        <f t="shared" si="2"/>
        <v>257139</v>
      </c>
      <c r="S8" s="26">
        <f t="shared" si="3"/>
        <v>77099</v>
      </c>
      <c r="T8" s="26">
        <f t="shared" si="4"/>
        <v>0</v>
      </c>
      <c r="U8" s="26">
        <f t="shared" si="5"/>
        <v>0</v>
      </c>
      <c r="V8" s="26">
        <f t="shared" si="6"/>
        <v>334238</v>
      </c>
      <c r="W8" s="26">
        <f t="shared" si="7"/>
        <v>0</v>
      </c>
      <c r="X8" s="58">
        <f t="shared" si="0"/>
        <v>3.5246613883604491E-2</v>
      </c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2">
        <f t="shared" si="8"/>
        <v>0</v>
      </c>
    </row>
    <row r="9" spans="1:37">
      <c r="A9" s="415"/>
      <c r="B9" s="2" t="s">
        <v>20</v>
      </c>
      <c r="C9" s="7" t="s">
        <v>82</v>
      </c>
      <c r="D9" s="6"/>
      <c r="E9" s="55">
        <v>76120</v>
      </c>
      <c r="F9" s="11">
        <f>[1]in!$E$1242</f>
        <v>81220</v>
      </c>
      <c r="G9" s="11">
        <f>[1]in!$F$1242</f>
        <v>75860</v>
      </c>
      <c r="H9" s="11">
        <f>[1]in!$H$1242</f>
        <v>67320</v>
      </c>
      <c r="I9" s="11">
        <f>[1]in!$I$1242</f>
        <v>0</v>
      </c>
      <c r="J9" s="11">
        <f>[1]in!$J$1242</f>
        <v>0</v>
      </c>
      <c r="K9" s="11">
        <f>[1]in!$L$1242</f>
        <v>0</v>
      </c>
      <c r="L9" s="11">
        <f>[1]in!$M$1242</f>
        <v>0</v>
      </c>
      <c r="M9" s="11">
        <f>[1]in!$N$1242</f>
        <v>0</v>
      </c>
      <c r="N9" s="11">
        <f>[1]in!$P$1242</f>
        <v>0</v>
      </c>
      <c r="O9" s="11">
        <f>[1]in!$Q$1242</f>
        <v>0</v>
      </c>
      <c r="P9" s="11">
        <f>[1]in!$R$1242</f>
        <v>0</v>
      </c>
      <c r="Q9" s="27">
        <f t="shared" si="1"/>
        <v>300520</v>
      </c>
      <c r="R9" s="26">
        <f t="shared" si="2"/>
        <v>233200</v>
      </c>
      <c r="S9" s="26">
        <f t="shared" si="3"/>
        <v>67320</v>
      </c>
      <c r="T9" s="26">
        <f t="shared" si="4"/>
        <v>0</v>
      </c>
      <c r="U9" s="26">
        <f t="shared" si="5"/>
        <v>0</v>
      </c>
      <c r="V9" s="26">
        <f t="shared" si="6"/>
        <v>300520</v>
      </c>
      <c r="W9" s="26">
        <f t="shared" si="7"/>
        <v>0</v>
      </c>
      <c r="X9" s="58">
        <f t="shared" si="0"/>
        <v>3.1690928034217594E-2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2">
        <f t="shared" si="8"/>
        <v>0</v>
      </c>
    </row>
    <row r="10" spans="1:37">
      <c r="A10" s="415"/>
      <c r="B10" s="2" t="s">
        <v>83</v>
      </c>
      <c r="C10" s="7" t="s">
        <v>82</v>
      </c>
      <c r="D10" s="6"/>
      <c r="E10" s="55">
        <v>0</v>
      </c>
      <c r="F10" s="11">
        <f>[1]in!$E$1250</f>
        <v>15300</v>
      </c>
      <c r="G10" s="11">
        <f>[1]in!$F$1250</f>
        <v>0</v>
      </c>
      <c r="H10" s="11">
        <f>[1]in!$H$1250</f>
        <v>0</v>
      </c>
      <c r="I10" s="11">
        <f>[1]in!$I$1250</f>
        <v>2110</v>
      </c>
      <c r="J10" s="11">
        <f>[1]in!$J$1250</f>
        <v>0</v>
      </c>
      <c r="K10" s="11">
        <f>[1]in!$L$1250</f>
        <v>0</v>
      </c>
      <c r="L10" s="11">
        <f>[1]in!$M$1250</f>
        <v>0</v>
      </c>
      <c r="M10" s="11">
        <f>[1]in!$N$1250</f>
        <v>0</v>
      </c>
      <c r="N10" s="11">
        <f>[1]in!$P$1250</f>
        <v>0</v>
      </c>
      <c r="O10" s="11">
        <f>[1]in!$Q$1250</f>
        <v>0</v>
      </c>
      <c r="P10" s="11">
        <f>[1]in!$R$1250</f>
        <v>0</v>
      </c>
      <c r="Q10" s="27">
        <f t="shared" si="1"/>
        <v>17410</v>
      </c>
      <c r="R10" s="26">
        <f t="shared" si="2"/>
        <v>15300</v>
      </c>
      <c r="S10" s="26"/>
      <c r="T10" s="26"/>
      <c r="U10" s="26"/>
      <c r="V10" s="26">
        <f t="shared" si="6"/>
        <v>17410</v>
      </c>
      <c r="W10" s="26"/>
      <c r="X10" s="58">
        <f t="shared" si="0"/>
        <v>1.8359478805927338E-3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2"/>
    </row>
    <row r="11" spans="1:37">
      <c r="A11" s="415"/>
      <c r="B11" s="2" t="s">
        <v>21</v>
      </c>
      <c r="C11" s="7" t="s">
        <v>82</v>
      </c>
      <c r="D11" s="6"/>
      <c r="E11" s="55">
        <v>17990</v>
      </c>
      <c r="F11" s="11">
        <f>[1]in!$E$1244</f>
        <v>24840</v>
      </c>
      <c r="G11" s="11">
        <f>[1]in!$F$1244</f>
        <v>1470</v>
      </c>
      <c r="H11" s="11">
        <f>[1]in!$H$1244</f>
        <v>19410</v>
      </c>
      <c r="I11" s="11">
        <f>[1]in!$I$1244</f>
        <v>0</v>
      </c>
      <c r="J11" s="11">
        <f>[1]in!$J$1244</f>
        <v>0</v>
      </c>
      <c r="K11" s="11">
        <f>[1]in!$L$1244</f>
        <v>0</v>
      </c>
      <c r="L11" s="11">
        <f>[1]in!$M$1244</f>
        <v>0</v>
      </c>
      <c r="M11" s="11">
        <f>[1]in!$N$1244</f>
        <v>0</v>
      </c>
      <c r="N11" s="11">
        <f>[1]in!$P$1244</f>
        <v>0</v>
      </c>
      <c r="O11" s="11">
        <f>[1]in!$Q$1244</f>
        <v>0</v>
      </c>
      <c r="P11" s="11">
        <f>[1]in!$R1244</f>
        <v>0</v>
      </c>
      <c r="Q11" s="27">
        <f t="shared" si="1"/>
        <v>63710</v>
      </c>
      <c r="R11" s="26">
        <f t="shared" si="2"/>
        <v>44300</v>
      </c>
      <c r="S11" s="26">
        <f t="shared" si="3"/>
        <v>19410</v>
      </c>
      <c r="T11" s="26">
        <f t="shared" si="4"/>
        <v>0</v>
      </c>
      <c r="U11" s="26">
        <f t="shared" si="5"/>
        <v>0</v>
      </c>
      <c r="V11" s="26">
        <f t="shared" si="6"/>
        <v>63710</v>
      </c>
      <c r="W11" s="26">
        <f t="shared" si="7"/>
        <v>0</v>
      </c>
      <c r="X11" s="58">
        <f t="shared" si="0"/>
        <v>6.7184514343804173E-3</v>
      </c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2">
        <f t="shared" si="8"/>
        <v>0</v>
      </c>
    </row>
    <row r="12" spans="1:37">
      <c r="A12" s="415"/>
      <c r="B12" s="2" t="s">
        <v>22</v>
      </c>
      <c r="C12" s="7" t="s">
        <v>82</v>
      </c>
      <c r="D12" s="32"/>
      <c r="E12" s="11">
        <v>0</v>
      </c>
      <c r="F12" s="11">
        <f>[1]in!$E$1253</f>
        <v>0</v>
      </c>
      <c r="G12" s="11">
        <f>[1]in!$F$1253</f>
        <v>0</v>
      </c>
      <c r="H12" s="11">
        <f>[1]in!$H$1253</f>
        <v>0</v>
      </c>
      <c r="I12" s="11">
        <f>[1]in!$I$1253</f>
        <v>0</v>
      </c>
      <c r="J12" s="11">
        <f>[1]in!$J$1253</f>
        <v>0</v>
      </c>
      <c r="K12" s="11">
        <f>[1]in!$L$1253</f>
        <v>0</v>
      </c>
      <c r="L12" s="11">
        <f>[1]in!$M$1253</f>
        <v>0</v>
      </c>
      <c r="M12" s="11">
        <f>[1]in!$N$1253</f>
        <v>0</v>
      </c>
      <c r="N12" s="11">
        <f>[1]in!$P$1253</f>
        <v>0</v>
      </c>
      <c r="O12" s="11">
        <f>[1]in!$Q$1253</f>
        <v>0</v>
      </c>
      <c r="P12" s="11">
        <f>[1]in!$R$1253</f>
        <v>0</v>
      </c>
      <c r="Q12" s="27">
        <f t="shared" si="1"/>
        <v>0</v>
      </c>
      <c r="R12" s="26">
        <f t="shared" si="2"/>
        <v>0</v>
      </c>
      <c r="S12" s="26">
        <f t="shared" si="3"/>
        <v>0</v>
      </c>
      <c r="T12" s="26">
        <f t="shared" si="4"/>
        <v>0</v>
      </c>
      <c r="U12" s="26">
        <f t="shared" si="5"/>
        <v>0</v>
      </c>
      <c r="V12" s="26">
        <f t="shared" si="6"/>
        <v>0</v>
      </c>
      <c r="W12" s="26">
        <f t="shared" si="7"/>
        <v>0</v>
      </c>
      <c r="X12" s="196">
        <f t="shared" si="0"/>
        <v>0</v>
      </c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2">
        <f t="shared" si="8"/>
        <v>0</v>
      </c>
    </row>
    <row r="13" spans="1:37">
      <c r="A13" s="415"/>
      <c r="B13" s="2" t="s">
        <v>23</v>
      </c>
      <c r="C13" s="7" t="s">
        <v>82</v>
      </c>
      <c r="D13" s="32"/>
      <c r="E13" s="11">
        <f>0.8*1000</f>
        <v>800</v>
      </c>
      <c r="F13" s="11">
        <f>[1]in!$E$1255</f>
        <v>11300</v>
      </c>
      <c r="G13" s="11">
        <f>[1]in!$F$1255</f>
        <v>55790</v>
      </c>
      <c r="H13" s="11">
        <f>[1]in!$H$1255</f>
        <v>41290</v>
      </c>
      <c r="I13" s="11">
        <f>[1]in!$I$1255</f>
        <v>0</v>
      </c>
      <c r="J13" s="11">
        <f>[1]in!$J$1255</f>
        <v>0</v>
      </c>
      <c r="K13" s="11">
        <f>[1]in!$L$1255</f>
        <v>0</v>
      </c>
      <c r="L13" s="11">
        <f>[1]in!$M$1255</f>
        <v>0</v>
      </c>
      <c r="M13" s="11">
        <f>[1]in!$N$1255</f>
        <v>0</v>
      </c>
      <c r="N13" s="11">
        <f>[1]in!$P$1255</f>
        <v>0</v>
      </c>
      <c r="O13" s="11">
        <f>[1]in!$Q$1255</f>
        <v>0</v>
      </c>
      <c r="P13" s="11">
        <f>[1]in!$R$1255</f>
        <v>0</v>
      </c>
      <c r="Q13" s="27">
        <f>SUM(E13:P13)</f>
        <v>109180</v>
      </c>
      <c r="R13" s="26">
        <f t="shared" si="2"/>
        <v>67890</v>
      </c>
      <c r="S13" s="26"/>
      <c r="T13" s="26"/>
      <c r="U13" s="26"/>
      <c r="V13" s="26">
        <f t="shared" si="6"/>
        <v>109180</v>
      </c>
      <c r="W13" s="26"/>
      <c r="X13" s="196">
        <f t="shared" si="0"/>
        <v>1.1513428466577524E-2</v>
      </c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2"/>
    </row>
    <row r="14" spans="1:37">
      <c r="A14" s="415"/>
      <c r="B14" s="2" t="s">
        <v>58</v>
      </c>
      <c r="C14" s="7" t="s">
        <v>82</v>
      </c>
      <c r="D14" s="6"/>
      <c r="E14" s="11">
        <v>0</v>
      </c>
      <c r="F14" s="11">
        <f>[1]in!$E$1249</f>
        <v>0</v>
      </c>
      <c r="G14" s="11">
        <f>[1]in!$F$1249</f>
        <v>39000</v>
      </c>
      <c r="H14" s="11">
        <f>[1]in!$H$1249</f>
        <v>66550</v>
      </c>
      <c r="I14" s="11">
        <f>[1]in!$I$1249</f>
        <v>0</v>
      </c>
      <c r="J14" s="11">
        <f>[1]in!$J$1249</f>
        <v>0</v>
      </c>
      <c r="K14" s="11">
        <f>[1]in!$L$1249</f>
        <v>0</v>
      </c>
      <c r="L14" s="11">
        <f>[1]in!$M$1249</f>
        <v>0</v>
      </c>
      <c r="M14" s="11">
        <f>[1]in!$N$1249</f>
        <v>0</v>
      </c>
      <c r="N14" s="11">
        <f>[1]in!$P$1249</f>
        <v>0</v>
      </c>
      <c r="O14" s="11">
        <f>[1]in!$Q$1249</f>
        <v>0</v>
      </c>
      <c r="P14" s="11">
        <f>[1]in!$R$1249</f>
        <v>0</v>
      </c>
      <c r="Q14" s="27">
        <f t="shared" si="1"/>
        <v>105550</v>
      </c>
      <c r="R14" s="26">
        <f t="shared" si="2"/>
        <v>39000</v>
      </c>
      <c r="S14" s="26">
        <f t="shared" si="3"/>
        <v>66550</v>
      </c>
      <c r="T14" s="26">
        <f t="shared" si="4"/>
        <v>0</v>
      </c>
      <c r="U14" s="26">
        <f t="shared" si="5"/>
        <v>0</v>
      </c>
      <c r="V14" s="26">
        <f t="shared" si="6"/>
        <v>105550</v>
      </c>
      <c r="W14" s="26">
        <f t="shared" si="7"/>
        <v>0</v>
      </c>
      <c r="X14" s="58">
        <f t="shared" si="0"/>
        <v>1.1130631751669331E-2</v>
      </c>
      <c r="Y14" s="1"/>
      <c r="Z14" s="12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2">
        <f t="shared" si="8"/>
        <v>0</v>
      </c>
    </row>
    <row r="15" spans="1:37">
      <c r="A15" s="415"/>
      <c r="B15" s="2" t="s">
        <v>84</v>
      </c>
      <c r="C15" s="7" t="s">
        <v>82</v>
      </c>
      <c r="D15" s="6"/>
      <c r="E15" s="11">
        <v>78790</v>
      </c>
      <c r="F15" s="11">
        <f>[1]in!$E$1251</f>
        <v>97730</v>
      </c>
      <c r="G15" s="11">
        <f>[1]in!$F$1251</f>
        <v>90300</v>
      </c>
      <c r="H15" s="11">
        <f>[1]in!$H$1251</f>
        <v>112980</v>
      </c>
      <c r="I15" s="11">
        <f>[1]in!$I$1251</f>
        <v>0</v>
      </c>
      <c r="J15" s="11">
        <f>[1]in!$J$1251</f>
        <v>0</v>
      </c>
      <c r="K15" s="11">
        <f>[1]in!$L$1251</f>
        <v>0</v>
      </c>
      <c r="L15" s="11">
        <f>[1]in!$M$1251</f>
        <v>0</v>
      </c>
      <c r="M15" s="11">
        <f>[1]in!$N$1251</f>
        <v>0</v>
      </c>
      <c r="N15" s="11">
        <f>[1]in!$P$1251</f>
        <v>0</v>
      </c>
      <c r="O15" s="11">
        <f>[1]in!$Q$1251</f>
        <v>0</v>
      </c>
      <c r="P15" s="11">
        <f>[1]in!$R$1251</f>
        <v>0</v>
      </c>
      <c r="Q15" s="27">
        <f t="shared" si="1"/>
        <v>379800</v>
      </c>
      <c r="R15" s="26">
        <f t="shared" ref="R15" si="11">SUM(E15:G15)</f>
        <v>266820</v>
      </c>
      <c r="S15" s="26">
        <f t="shared" si="3"/>
        <v>112980</v>
      </c>
      <c r="T15" s="26">
        <f t="shared" si="4"/>
        <v>0</v>
      </c>
      <c r="U15" s="26">
        <f t="shared" si="5"/>
        <v>0</v>
      </c>
      <c r="V15" s="26">
        <f t="shared" si="6"/>
        <v>379800</v>
      </c>
      <c r="W15" s="26">
        <f t="shared" si="7"/>
        <v>0</v>
      </c>
      <c r="X15" s="58">
        <f t="shared" si="0"/>
        <v>4.0051292650724886E-2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2">
        <f t="shared" si="8"/>
        <v>0</v>
      </c>
    </row>
    <row r="16" spans="1:37">
      <c r="A16" s="415"/>
      <c r="B16" s="7" t="s">
        <v>24</v>
      </c>
      <c r="C16" s="7" t="s">
        <v>82</v>
      </c>
      <c r="D16" s="6"/>
      <c r="E16" s="11">
        <v>45220</v>
      </c>
      <c r="F16" s="11">
        <f>[1]in!$E$1235</f>
        <v>50530</v>
      </c>
      <c r="G16" s="11">
        <f>[1]in!$F$1235</f>
        <v>214642</v>
      </c>
      <c r="H16" s="11">
        <f>[1]in!$H$1235</f>
        <v>38021</v>
      </c>
      <c r="I16" s="11">
        <f>[1]in!$I$1235</f>
        <v>0</v>
      </c>
      <c r="J16" s="11">
        <f>[1]in!$J$1235</f>
        <v>0</v>
      </c>
      <c r="K16" s="11">
        <f>[1]in!$L$1235</f>
        <v>0</v>
      </c>
      <c r="L16" s="11">
        <f>[1]in!$M$1235</f>
        <v>0</v>
      </c>
      <c r="M16" s="11">
        <f>[1]in!$N$1235</f>
        <v>0</v>
      </c>
      <c r="N16" s="11">
        <f>[1]in!$P$1235</f>
        <v>0</v>
      </c>
      <c r="O16" s="11">
        <f>[1]in!$Q$1235</f>
        <v>0</v>
      </c>
      <c r="P16" s="11">
        <f>[1]in!$R$1235</f>
        <v>0</v>
      </c>
      <c r="Q16" s="27">
        <f t="shared" si="1"/>
        <v>348413</v>
      </c>
      <c r="R16" s="26">
        <f t="shared" si="2"/>
        <v>310392</v>
      </c>
      <c r="S16" s="26">
        <f t="shared" si="3"/>
        <v>38021</v>
      </c>
      <c r="T16" s="26">
        <f t="shared" si="4"/>
        <v>0</v>
      </c>
      <c r="U16" s="26">
        <f t="shared" si="5"/>
        <v>0</v>
      </c>
      <c r="V16" s="26">
        <f t="shared" si="6"/>
        <v>348413</v>
      </c>
      <c r="W16" s="26">
        <f t="shared" si="7"/>
        <v>0</v>
      </c>
      <c r="X16" s="58">
        <f>Q16/$Q$36</f>
        <v>3.1936774878245588E-2</v>
      </c>
      <c r="Y16" s="12"/>
      <c r="Z16" s="11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f t="shared" si="8"/>
        <v>0</v>
      </c>
    </row>
    <row r="17" spans="1:37">
      <c r="A17" s="415"/>
      <c r="B17" s="7" t="s">
        <v>25</v>
      </c>
      <c r="C17" s="7" t="s">
        <v>82</v>
      </c>
      <c r="D17" s="6"/>
      <c r="E17" s="11">
        <v>162900</v>
      </c>
      <c r="F17" s="11">
        <f>[1]in!$E$1240</f>
        <v>170780</v>
      </c>
      <c r="G17" s="11">
        <f>[1]in!$F$1240</f>
        <v>172570</v>
      </c>
      <c r="H17" s="11">
        <f>[1]in!$H$1240</f>
        <v>150180</v>
      </c>
      <c r="I17" s="11">
        <f>[1]in!$I$1240</f>
        <v>0</v>
      </c>
      <c r="J17" s="11">
        <f>[1]in!$J$1240</f>
        <v>0</v>
      </c>
      <c r="K17" s="11">
        <f>[1]in!$L$1240</f>
        <v>0</v>
      </c>
      <c r="L17" s="11">
        <f>[1]in!$M$1240</f>
        <v>0</v>
      </c>
      <c r="M17" s="11">
        <f>[1]in!$N$1240</f>
        <v>0</v>
      </c>
      <c r="N17" s="11">
        <f>[1]in!$P$1240</f>
        <v>0</v>
      </c>
      <c r="O17" s="11">
        <f>[1]in!$Q$1240</f>
        <v>0</v>
      </c>
      <c r="P17" s="11">
        <f>[1]in!$R$1240</f>
        <v>0</v>
      </c>
      <c r="Q17" s="27">
        <f t="shared" si="1"/>
        <v>656430</v>
      </c>
      <c r="R17" s="26">
        <f t="shared" si="2"/>
        <v>506250</v>
      </c>
      <c r="S17" s="26">
        <f t="shared" si="3"/>
        <v>150180</v>
      </c>
      <c r="T17" s="26">
        <f t="shared" si="4"/>
        <v>0</v>
      </c>
      <c r="U17" s="26">
        <f t="shared" si="5"/>
        <v>0</v>
      </c>
      <c r="V17" s="26">
        <f t="shared" si="6"/>
        <v>656430</v>
      </c>
      <c r="W17" s="26">
        <f t="shared" si="7"/>
        <v>0</v>
      </c>
      <c r="X17" s="58">
        <f>Q17/$Q$36</f>
        <v>6.0170708708707055E-2</v>
      </c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2">
        <f t="shared" si="8"/>
        <v>0</v>
      </c>
    </row>
    <row r="18" spans="1:37">
      <c r="A18" s="415"/>
      <c r="B18" s="7" t="s">
        <v>26</v>
      </c>
      <c r="C18" s="7" t="s">
        <v>82</v>
      </c>
      <c r="D18" s="6"/>
      <c r="E18" s="11">
        <v>46290</v>
      </c>
      <c r="F18" s="11">
        <f>[1]in!$E$1245</f>
        <v>34760</v>
      </c>
      <c r="G18" s="11">
        <f>[1]in!$F$1245</f>
        <v>25600</v>
      </c>
      <c r="H18" s="11">
        <f>[1]in!$H$1245</f>
        <v>61070</v>
      </c>
      <c r="I18" s="11">
        <f>[1]in!$I$1245</f>
        <v>0</v>
      </c>
      <c r="J18" s="11">
        <f>[1]in!$J$1245</f>
        <v>0</v>
      </c>
      <c r="K18" s="11">
        <f>[1]in!$L$1245</f>
        <v>0</v>
      </c>
      <c r="L18" s="11">
        <f>[1]in!$M$1245</f>
        <v>0</v>
      </c>
      <c r="M18" s="11">
        <f>[1]in!$N$1245</f>
        <v>0</v>
      </c>
      <c r="N18" s="11">
        <f>[1]in!$P$1245</f>
        <v>0</v>
      </c>
      <c r="O18" s="11">
        <f>[1]in!$Q$1245</f>
        <v>0</v>
      </c>
      <c r="P18" s="11">
        <f>[1]in!$R$1245</f>
        <v>0</v>
      </c>
      <c r="Q18" s="27">
        <f t="shared" si="1"/>
        <v>167720</v>
      </c>
      <c r="R18" s="26">
        <f t="shared" si="2"/>
        <v>106650</v>
      </c>
      <c r="S18" s="26">
        <f t="shared" si="3"/>
        <v>61070</v>
      </c>
      <c r="T18" s="26">
        <f t="shared" si="4"/>
        <v>0</v>
      </c>
      <c r="U18" s="26">
        <f t="shared" si="5"/>
        <v>0</v>
      </c>
      <c r="V18" s="26">
        <f t="shared" si="6"/>
        <v>167720</v>
      </c>
      <c r="W18" s="26">
        <f t="shared" si="7"/>
        <v>0</v>
      </c>
      <c r="X18" s="58">
        <f>Q18/$Q$36</f>
        <v>1.5373811776768807E-2</v>
      </c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2">
        <f t="shared" si="8"/>
        <v>0</v>
      </c>
    </row>
    <row r="19" spans="1:37">
      <c r="A19" s="415"/>
      <c r="B19" s="7" t="s">
        <v>27</v>
      </c>
      <c r="C19" s="7" t="s">
        <v>82</v>
      </c>
      <c r="D19" s="6"/>
      <c r="E19" s="11">
        <v>21220</v>
      </c>
      <c r="F19" s="11">
        <f>[1]in!$E$1246</f>
        <v>30024</v>
      </c>
      <c r="G19" s="11">
        <f>[1]in!$F$1246</f>
        <v>28936</v>
      </c>
      <c r="H19" s="11">
        <f>[1]in!$H$1246</f>
        <v>17828</v>
      </c>
      <c r="I19" s="11">
        <f>[1]in!$I$1246</f>
        <v>0</v>
      </c>
      <c r="J19" s="11">
        <f>[1]in!$J$1246</f>
        <v>0</v>
      </c>
      <c r="K19" s="11">
        <f>[1]in!$L$1246</f>
        <v>0</v>
      </c>
      <c r="L19" s="11">
        <f>[1]in!$M$1246</f>
        <v>0</v>
      </c>
      <c r="M19" s="11">
        <f>[1]in!$N$1246</f>
        <v>0</v>
      </c>
      <c r="N19" s="11">
        <f>[1]in!$P$1246</f>
        <v>0</v>
      </c>
      <c r="O19" s="11">
        <f>[1]in!$Q$1246</f>
        <v>0</v>
      </c>
      <c r="P19" s="11">
        <f>[1]in!$R$1246</f>
        <v>0</v>
      </c>
      <c r="Q19" s="27">
        <f t="shared" si="1"/>
        <v>98008</v>
      </c>
      <c r="R19" s="26">
        <f t="shared" si="2"/>
        <v>80180</v>
      </c>
      <c r="S19" s="26">
        <f t="shared" si="3"/>
        <v>17828</v>
      </c>
      <c r="T19" s="26">
        <f t="shared" si="4"/>
        <v>0</v>
      </c>
      <c r="U19" s="26">
        <f t="shared" si="5"/>
        <v>0</v>
      </c>
      <c r="V19" s="26">
        <f t="shared" si="6"/>
        <v>98008</v>
      </c>
      <c r="W19" s="26">
        <f t="shared" si="7"/>
        <v>0</v>
      </c>
      <c r="X19" s="58">
        <f>Q19/$Q$36</f>
        <v>8.9837618925444618E-3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2">
        <f t="shared" si="8"/>
        <v>0</v>
      </c>
    </row>
    <row r="20" spans="1:37">
      <c r="A20" s="415"/>
      <c r="B20" s="7" t="s">
        <v>59</v>
      </c>
      <c r="C20" s="7" t="s">
        <v>82</v>
      </c>
      <c r="D20" s="6"/>
      <c r="E20" s="11">
        <v>0</v>
      </c>
      <c r="F20" s="11">
        <f>[1]in!$E$1252</f>
        <v>0</v>
      </c>
      <c r="G20" s="11">
        <f>[1]in!$F$1252</f>
        <v>0</v>
      </c>
      <c r="H20" s="11">
        <f>[1]in!$H$1252</f>
        <v>5000</v>
      </c>
      <c r="I20" s="11">
        <f>[1]in!$I$1252</f>
        <v>0</v>
      </c>
      <c r="J20" s="11">
        <f>[1]in!$J$1252</f>
        <v>0</v>
      </c>
      <c r="K20" s="11">
        <f>[1]in!$L$1252</f>
        <v>0</v>
      </c>
      <c r="L20" s="11">
        <f>[1]in!$M$1252</f>
        <v>0</v>
      </c>
      <c r="M20" s="11">
        <f>[1]in!$N$1252</f>
        <v>0</v>
      </c>
      <c r="N20" s="11">
        <f>[1]in!$P$1252</f>
        <v>0</v>
      </c>
      <c r="O20" s="11">
        <f>[1]in!$Q$1252</f>
        <v>0</v>
      </c>
      <c r="P20" s="11">
        <f>[1]in!$R$1252</f>
        <v>0</v>
      </c>
      <c r="Q20" s="27">
        <f t="shared" si="1"/>
        <v>5000</v>
      </c>
      <c r="R20" s="26">
        <f t="shared" si="2"/>
        <v>0</v>
      </c>
      <c r="S20" s="26">
        <f t="shared" si="3"/>
        <v>5000</v>
      </c>
      <c r="T20" s="26">
        <f t="shared" si="4"/>
        <v>0</v>
      </c>
      <c r="U20" s="26">
        <f t="shared" si="5"/>
        <v>0</v>
      </c>
      <c r="V20" s="26">
        <f t="shared" si="6"/>
        <v>5000</v>
      </c>
      <c r="W20" s="26">
        <f t="shared" si="7"/>
        <v>0</v>
      </c>
      <c r="X20" s="58">
        <f>Q20/$Q$36</f>
        <v>4.5831778490248049E-4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2">
        <f t="shared" si="8"/>
        <v>0</v>
      </c>
    </row>
    <row r="21" spans="1:37">
      <c r="A21" s="410" t="s">
        <v>28</v>
      </c>
      <c r="B21" s="2" t="s">
        <v>29</v>
      </c>
      <c r="C21" s="7" t="s">
        <v>82</v>
      </c>
      <c r="D21" s="6"/>
      <c r="E21" s="11">
        <v>5124</v>
      </c>
      <c r="F21" s="11">
        <f>[1]in!$E$1230</f>
        <v>5236</v>
      </c>
      <c r="G21" s="11">
        <f>[1]in!$F$1230</f>
        <v>7830</v>
      </c>
      <c r="H21" s="11">
        <f>[1]in!$H$1230</f>
        <v>6572</v>
      </c>
      <c r="I21" s="11">
        <f>[1]in!$I$1230</f>
        <v>0</v>
      </c>
      <c r="J21" s="11">
        <f>[1]in!$J$1230</f>
        <v>0</v>
      </c>
      <c r="K21" s="11">
        <f>[1]in!$L$1230</f>
        <v>0</v>
      </c>
      <c r="L21" s="11">
        <f>[1]in!$M$1230</f>
        <v>0</v>
      </c>
      <c r="M21" s="11">
        <f>[1]in!$N$1230</f>
        <v>0</v>
      </c>
      <c r="N21" s="11">
        <f>[1]in!$P$1230</f>
        <v>0</v>
      </c>
      <c r="O21" s="11">
        <f>[1]in!$Q$1230</f>
        <v>0</v>
      </c>
      <c r="P21" s="11">
        <f>[1]in!$R$1230</f>
        <v>0</v>
      </c>
      <c r="Q21" s="27">
        <f t="shared" si="1"/>
        <v>24762</v>
      </c>
      <c r="R21" s="26">
        <f t="shared" si="2"/>
        <v>18190</v>
      </c>
      <c r="S21" s="26">
        <f t="shared" si="3"/>
        <v>6572</v>
      </c>
      <c r="T21" s="26">
        <f t="shared" si="4"/>
        <v>0</v>
      </c>
      <c r="U21" s="26">
        <f t="shared" si="5"/>
        <v>0</v>
      </c>
      <c r="V21" s="26">
        <f t="shared" si="6"/>
        <v>24762</v>
      </c>
      <c r="W21" s="26">
        <f t="shared" si="7"/>
        <v>0</v>
      </c>
      <c r="X21" s="58">
        <f t="shared" ref="X21:X29" si="12">Q21/$Q$37</f>
        <v>2.6112430453324111E-3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2">
        <f t="shared" si="8"/>
        <v>0</v>
      </c>
    </row>
    <row r="22" spans="1:37" ht="13.5" customHeight="1">
      <c r="A22" s="410"/>
      <c r="B22" s="2" t="s">
        <v>30</v>
      </c>
      <c r="C22" s="7" t="s">
        <v>82</v>
      </c>
      <c r="D22" s="6"/>
      <c r="E22" s="11">
        <v>12370</v>
      </c>
      <c r="F22" s="11">
        <f>[1]in!$E$1231</f>
        <v>2160</v>
      </c>
      <c r="G22" s="11">
        <f>[1]in!$F$1231</f>
        <v>0</v>
      </c>
      <c r="H22" s="11">
        <f>[1]in!$H$1231</f>
        <v>0</v>
      </c>
      <c r="I22" s="11">
        <f>[1]in!$I$1231</f>
        <v>0</v>
      </c>
      <c r="J22" s="11">
        <f>[1]in!$J$1231</f>
        <v>0</v>
      </c>
      <c r="K22" s="11">
        <f>[1]in!$L$1231</f>
        <v>0</v>
      </c>
      <c r="L22" s="11">
        <f>[1]in!$M$1231</f>
        <v>0</v>
      </c>
      <c r="M22" s="11">
        <f>[1]in!$N$1231</f>
        <v>0</v>
      </c>
      <c r="N22" s="11">
        <f>[1]in!$P$1231</f>
        <v>0</v>
      </c>
      <c r="O22" s="11">
        <f>[1]in!$Q$1231</f>
        <v>0</v>
      </c>
      <c r="P22" s="11">
        <f>[1]in!$R$1231</f>
        <v>0</v>
      </c>
      <c r="Q22" s="27">
        <f t="shared" si="1"/>
        <v>14530</v>
      </c>
      <c r="R22" s="26">
        <f t="shared" si="2"/>
        <v>14530</v>
      </c>
      <c r="S22" s="26">
        <f t="shared" si="3"/>
        <v>0</v>
      </c>
      <c r="T22" s="26">
        <f t="shared" si="4"/>
        <v>0</v>
      </c>
      <c r="U22" s="26">
        <f t="shared" si="5"/>
        <v>0</v>
      </c>
      <c r="V22" s="26">
        <f t="shared" si="6"/>
        <v>14530</v>
      </c>
      <c r="W22" s="26">
        <f t="shared" si="7"/>
        <v>0</v>
      </c>
      <c r="X22" s="58">
        <f t="shared" si="12"/>
        <v>1.532241396037474E-3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2">
        <f t="shared" si="8"/>
        <v>0</v>
      </c>
    </row>
    <row r="23" spans="1:37">
      <c r="A23" s="410"/>
      <c r="B23" s="2" t="s">
        <v>31</v>
      </c>
      <c r="C23" s="7" t="s">
        <v>82</v>
      </c>
      <c r="D23" s="6"/>
      <c r="E23" s="55">
        <v>227410</v>
      </c>
      <c r="F23" s="55">
        <f>[1]in!$E$1233</f>
        <v>11800</v>
      </c>
      <c r="G23" s="55">
        <f>[1]in!$F$1233</f>
        <v>211950</v>
      </c>
      <c r="H23" s="55">
        <f>[1]in!$H$1233</f>
        <v>0</v>
      </c>
      <c r="I23" s="55">
        <f>[1]in!$I$1233</f>
        <v>0</v>
      </c>
      <c r="J23" s="55">
        <f>[1]in!$J$1233</f>
        <v>0</v>
      </c>
      <c r="K23" s="55">
        <f>[1]in!$L$1233</f>
        <v>0</v>
      </c>
      <c r="L23" s="55">
        <f>[1]in!$M$1233</f>
        <v>0</v>
      </c>
      <c r="M23" s="55">
        <f>[1]in!$N$1233</f>
        <v>0</v>
      </c>
      <c r="N23" s="55">
        <f>[1]in!$P$1233</f>
        <v>0</v>
      </c>
      <c r="O23" s="55">
        <f>[1]in!$Q$1233</f>
        <v>0</v>
      </c>
      <c r="P23" s="55">
        <f>[1]in!$R$1233</f>
        <v>0</v>
      </c>
      <c r="Q23" s="27">
        <f t="shared" si="1"/>
        <v>451160</v>
      </c>
      <c r="R23" s="26">
        <f t="shared" si="2"/>
        <v>451160</v>
      </c>
      <c r="S23" s="26">
        <f t="shared" si="3"/>
        <v>0</v>
      </c>
      <c r="T23" s="26">
        <f t="shared" si="4"/>
        <v>0</v>
      </c>
      <c r="U23" s="26">
        <f t="shared" si="5"/>
        <v>0</v>
      </c>
      <c r="V23" s="26">
        <f t="shared" si="6"/>
        <v>451160</v>
      </c>
      <c r="W23" s="26">
        <f t="shared" si="7"/>
        <v>0</v>
      </c>
      <c r="X23" s="58">
        <f t="shared" si="12"/>
        <v>4.7576464434705215E-2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2">
        <f t="shared" si="8"/>
        <v>0</v>
      </c>
    </row>
    <row r="24" spans="1:37">
      <c r="A24" s="410"/>
      <c r="B24" s="2" t="s">
        <v>32</v>
      </c>
      <c r="C24" s="7" t="s">
        <v>82</v>
      </c>
      <c r="D24" s="6"/>
      <c r="E24" s="55">
        <v>21270</v>
      </c>
      <c r="F24" s="55">
        <f>[1]in!$E$1234</f>
        <v>9900</v>
      </c>
      <c r="G24" s="55">
        <f>[1]in!$F$1234</f>
        <v>18520</v>
      </c>
      <c r="H24" s="55">
        <f>[1]in!$H$1234</f>
        <v>13100</v>
      </c>
      <c r="I24" s="55">
        <f>[1]in!$I$1234</f>
        <v>0</v>
      </c>
      <c r="J24" s="55">
        <f>[1]in!$J$1234</f>
        <v>0</v>
      </c>
      <c r="K24" s="55">
        <f>[1]in!$L$1234</f>
        <v>0</v>
      </c>
      <c r="L24" s="55">
        <f>[1]in!$M$1234</f>
        <v>0</v>
      </c>
      <c r="M24" s="55">
        <f>[1]in!$N$1234</f>
        <v>0</v>
      </c>
      <c r="N24" s="55">
        <f>[1]in!$P$1234</f>
        <v>0</v>
      </c>
      <c r="O24" s="55">
        <f>[1]in!$Q$1234</f>
        <v>0</v>
      </c>
      <c r="P24" s="55">
        <f>[1]in!$R$1234</f>
        <v>0</v>
      </c>
      <c r="Q24" s="27">
        <f t="shared" si="1"/>
        <v>62790</v>
      </c>
      <c r="R24" s="26">
        <f t="shared" si="2"/>
        <v>49690</v>
      </c>
      <c r="S24" s="26">
        <f t="shared" si="3"/>
        <v>13100</v>
      </c>
      <c r="T24" s="26">
        <f t="shared" si="4"/>
        <v>0</v>
      </c>
      <c r="U24" s="26">
        <f t="shared" si="5"/>
        <v>0</v>
      </c>
      <c r="V24" s="26">
        <f t="shared" si="6"/>
        <v>62790</v>
      </c>
      <c r="W24" s="26">
        <f t="shared" si="7"/>
        <v>0</v>
      </c>
      <c r="X24" s="58">
        <f t="shared" si="12"/>
        <v>6.6214340851474878E-3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2">
        <f t="shared" si="8"/>
        <v>0</v>
      </c>
    </row>
    <row r="25" spans="1:37">
      <c r="A25" s="410"/>
      <c r="B25" s="2" t="s">
        <v>33</v>
      </c>
      <c r="C25" s="7" t="s">
        <v>82</v>
      </c>
      <c r="D25" s="6"/>
      <c r="E25" s="55">
        <v>88780</v>
      </c>
      <c r="F25" s="55">
        <f>[1]in!$E$1238</f>
        <v>54690</v>
      </c>
      <c r="G25" s="55">
        <f>[1]in!$F$1238</f>
        <v>37630</v>
      </c>
      <c r="H25" s="55">
        <f>[1]in!$H$1238</f>
        <v>0</v>
      </c>
      <c r="I25" s="55">
        <f>[1]in!$I$1238</f>
        <v>0</v>
      </c>
      <c r="J25" s="55">
        <f>[1]in!$J$1238</f>
        <v>0</v>
      </c>
      <c r="K25" s="55">
        <f>[1]in!$L$1238</f>
        <v>0</v>
      </c>
      <c r="L25" s="55">
        <f>[1]in!$M$1238</f>
        <v>0</v>
      </c>
      <c r="M25" s="55">
        <f>[1]in!$N$1238</f>
        <v>0</v>
      </c>
      <c r="N25" s="55">
        <f>[1]in!$P$1238</f>
        <v>0</v>
      </c>
      <c r="O25" s="55">
        <f>[1]in!$Q$1238</f>
        <v>0</v>
      </c>
      <c r="P25" s="55">
        <f>[1]in!$R$1238</f>
        <v>0</v>
      </c>
      <c r="Q25" s="27">
        <f t="shared" si="1"/>
        <v>181100</v>
      </c>
      <c r="R25" s="26">
        <f t="shared" si="2"/>
        <v>181100</v>
      </c>
      <c r="S25" s="26">
        <f t="shared" si="3"/>
        <v>0</v>
      </c>
      <c r="T25" s="26">
        <f t="shared" si="4"/>
        <v>0</v>
      </c>
      <c r="U25" s="26">
        <f t="shared" si="5"/>
        <v>0</v>
      </c>
      <c r="V25" s="26">
        <f t="shared" si="6"/>
        <v>181100</v>
      </c>
      <c r="W25" s="26">
        <f t="shared" si="7"/>
        <v>0</v>
      </c>
      <c r="X25" s="58">
        <f t="shared" si="12"/>
        <v>1.9097654289221371E-2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2">
        <f t="shared" si="8"/>
        <v>0</v>
      </c>
    </row>
    <row r="26" spans="1:37">
      <c r="A26" s="410"/>
      <c r="B26" s="2" t="s">
        <v>34</v>
      </c>
      <c r="C26" s="7" t="s">
        <v>82</v>
      </c>
      <c r="D26" s="6"/>
      <c r="E26" s="11">
        <v>3223</v>
      </c>
      <c r="F26" s="11">
        <f>[1]in!$E$1243</f>
        <v>5156</v>
      </c>
      <c r="G26" s="11">
        <f>[1]in!$F$1243</f>
        <v>6236</v>
      </c>
      <c r="H26" s="11">
        <f>[1]in!$H$1243</f>
        <v>421</v>
      </c>
      <c r="I26" s="11">
        <f>[1]in!$I$1243</f>
        <v>0</v>
      </c>
      <c r="J26" s="11">
        <f>[1]in!$J$1243</f>
        <v>0</v>
      </c>
      <c r="K26" s="11">
        <f>[1]in!$L$1243</f>
        <v>0</v>
      </c>
      <c r="L26" s="11">
        <f>[1]in!$M$1243</f>
        <v>0</v>
      </c>
      <c r="M26" s="11">
        <f>[1]in!$N$1243</f>
        <v>0</v>
      </c>
      <c r="N26" s="11">
        <f>[1]in!$P$1243</f>
        <v>0</v>
      </c>
      <c r="O26" s="11">
        <f>[1]in!$Q$1243</f>
        <v>0</v>
      </c>
      <c r="P26" s="11">
        <f>[1]in!$R$1243</f>
        <v>0</v>
      </c>
      <c r="Q26" s="27">
        <f t="shared" si="1"/>
        <v>15036</v>
      </c>
      <c r="R26" s="26">
        <f t="shared" si="2"/>
        <v>14615</v>
      </c>
      <c r="S26" s="26">
        <f t="shared" si="3"/>
        <v>421</v>
      </c>
      <c r="T26" s="26">
        <f t="shared" si="4"/>
        <v>0</v>
      </c>
      <c r="U26" s="26">
        <f t="shared" si="5"/>
        <v>0</v>
      </c>
      <c r="V26" s="26">
        <f t="shared" si="6"/>
        <v>15036</v>
      </c>
      <c r="W26" s="26">
        <f t="shared" si="7"/>
        <v>0</v>
      </c>
      <c r="X26" s="58">
        <f t="shared" si="12"/>
        <v>1.5856009381155856E-3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2">
        <f t="shared" si="8"/>
        <v>0</v>
      </c>
    </row>
    <row r="27" spans="1:37">
      <c r="A27" s="410"/>
      <c r="B27" s="2" t="s">
        <v>35</v>
      </c>
      <c r="C27" s="7" t="s">
        <v>82</v>
      </c>
      <c r="D27" s="6"/>
      <c r="E27" s="11">
        <v>6926</v>
      </c>
      <c r="F27" s="11">
        <f>[1]in!$E$1247</f>
        <v>1480</v>
      </c>
      <c r="G27" s="11">
        <f>[1]in!$F$1247</f>
        <v>1760</v>
      </c>
      <c r="H27" s="11">
        <f>[1]in!$H$1247</f>
        <v>1360</v>
      </c>
      <c r="I27" s="11">
        <f>[1]in!$I$1247</f>
        <v>0</v>
      </c>
      <c r="J27" s="11">
        <f>[1]in!$J$1247</f>
        <v>0</v>
      </c>
      <c r="K27" s="11">
        <f>[1]in!$L$1247</f>
        <v>0</v>
      </c>
      <c r="L27" s="11">
        <f>[1]in!$M$1247</f>
        <v>0</v>
      </c>
      <c r="M27" s="11">
        <f>[1]in!$N$1247</f>
        <v>0</v>
      </c>
      <c r="N27" s="11">
        <f>[1]in!$P$1247</f>
        <v>0</v>
      </c>
      <c r="O27" s="11">
        <f>[1]in!$Q$1247</f>
        <v>0</v>
      </c>
      <c r="P27" s="11">
        <f>[1]in!$R$1247</f>
        <v>0</v>
      </c>
      <c r="Q27" s="27">
        <f t="shared" si="1"/>
        <v>11526</v>
      </c>
      <c r="R27" s="26">
        <f t="shared" ref="R27:R34" si="13">SUM(E27:G27)</f>
        <v>10166</v>
      </c>
      <c r="S27" s="26">
        <f t="shared" ref="S27:S33" si="14">SUM(H27:J27)</f>
        <v>1360</v>
      </c>
      <c r="T27" s="26">
        <f t="shared" ref="T27:T33" si="15">SUM(K27:M27)</f>
        <v>0</v>
      </c>
      <c r="U27" s="26">
        <f t="shared" ref="U27:U31" si="16">SUM(N27:P27)</f>
        <v>0</v>
      </c>
      <c r="V27" s="26">
        <f t="shared" ref="V27:V30" si="17">SUM(E27:J27)</f>
        <v>11526</v>
      </c>
      <c r="W27" s="26">
        <f t="shared" ref="W27:W33" si="18">SUM(K27:P27)</f>
        <v>0</v>
      </c>
      <c r="X27" s="58">
        <f t="shared" si="12"/>
        <v>1.2154586600638627E-3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2">
        <f t="shared" ref="AK27:AK33" si="19">SUM(Y27:AJ27)</f>
        <v>0</v>
      </c>
    </row>
    <row r="28" spans="1:37">
      <c r="A28" s="410"/>
      <c r="B28" s="2" t="s">
        <v>36</v>
      </c>
      <c r="C28" s="7" t="s">
        <v>82</v>
      </c>
      <c r="D28" s="6"/>
      <c r="E28" s="11">
        <v>4130</v>
      </c>
      <c r="F28" s="11">
        <f>[1]in!$E$1248</f>
        <v>2626</v>
      </c>
      <c r="G28" s="11">
        <f>[1]in!$F$1248</f>
        <v>2208</v>
      </c>
      <c r="H28" s="11">
        <f>[1]in!$H$1248</f>
        <v>5495</v>
      </c>
      <c r="I28" s="11">
        <f>[1]in!$I$1248</f>
        <v>0</v>
      </c>
      <c r="J28" s="11">
        <f>[1]in!$J$1248</f>
        <v>0</v>
      </c>
      <c r="K28" s="11">
        <f>[1]in!$L$1248</f>
        <v>0</v>
      </c>
      <c r="L28" s="11">
        <f>[1]in!$M$1248</f>
        <v>0</v>
      </c>
      <c r="M28" s="11">
        <f>[1]in!$N$1248</f>
        <v>0</v>
      </c>
      <c r="N28" s="11">
        <f>[1]in!$P$1248</f>
        <v>0</v>
      </c>
      <c r="O28" s="11">
        <f>[1]in!$Q$1248</f>
        <v>0</v>
      </c>
      <c r="P28" s="11">
        <f>[1]in!$R$1248</f>
        <v>0</v>
      </c>
      <c r="Q28" s="27">
        <f t="shared" si="1"/>
        <v>14459</v>
      </c>
      <c r="R28" s="26">
        <f t="shared" si="13"/>
        <v>8964</v>
      </c>
      <c r="S28" s="26">
        <f t="shared" si="14"/>
        <v>5495</v>
      </c>
      <c r="T28" s="26">
        <f t="shared" si="15"/>
        <v>0</v>
      </c>
      <c r="U28" s="26">
        <f t="shared" si="16"/>
        <v>0</v>
      </c>
      <c r="V28" s="26">
        <f t="shared" si="17"/>
        <v>14459</v>
      </c>
      <c r="W28" s="26">
        <f t="shared" si="18"/>
        <v>0</v>
      </c>
      <c r="X28" s="58">
        <f t="shared" si="12"/>
        <v>1.5247541875640631E-3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2">
        <f t="shared" si="19"/>
        <v>0</v>
      </c>
    </row>
    <row r="29" spans="1:37">
      <c r="A29" s="410"/>
      <c r="B29" s="2" t="s">
        <v>37</v>
      </c>
      <c r="C29" s="7" t="s">
        <v>82</v>
      </c>
      <c r="D29" s="6"/>
      <c r="E29" s="11">
        <v>508460</v>
      </c>
      <c r="F29" s="11">
        <f>[1]in!$E$1254</f>
        <v>735340</v>
      </c>
      <c r="G29" s="11">
        <f>[1]in!$F$1254</f>
        <v>1071780</v>
      </c>
      <c r="H29" s="11">
        <f>[1]in!$H$1254</f>
        <v>1161850</v>
      </c>
      <c r="I29" s="11">
        <f>[1]in!$I$1254</f>
        <v>0</v>
      </c>
      <c r="J29" s="11">
        <f>[1]in!$J$1254</f>
        <v>0</v>
      </c>
      <c r="K29" s="11">
        <f>[1]in!$L$1254</f>
        <v>0</v>
      </c>
      <c r="L29" s="11">
        <f>[1]in!$M$1254</f>
        <v>0</v>
      </c>
      <c r="M29" s="11">
        <f>[1]in!$N$1254</f>
        <v>0</v>
      </c>
      <c r="N29" s="11">
        <f>[1]in!$P$1254</f>
        <v>0</v>
      </c>
      <c r="O29" s="11">
        <f>[1]in!$Q$1254</f>
        <v>0</v>
      </c>
      <c r="P29" s="11">
        <f>[1]in!$R$1254</f>
        <v>0</v>
      </c>
      <c r="Q29" s="27">
        <f t="shared" si="1"/>
        <v>3477430</v>
      </c>
      <c r="R29" s="26">
        <f t="shared" si="13"/>
        <v>2315580</v>
      </c>
      <c r="S29" s="26">
        <f t="shared" si="14"/>
        <v>1161850</v>
      </c>
      <c r="T29" s="26">
        <f t="shared" si="15"/>
        <v>0</v>
      </c>
      <c r="U29" s="26">
        <f t="shared" si="16"/>
        <v>0</v>
      </c>
      <c r="V29" s="26">
        <f t="shared" si="17"/>
        <v>3477430</v>
      </c>
      <c r="W29" s="26">
        <f t="shared" si="18"/>
        <v>0</v>
      </c>
      <c r="X29" s="58">
        <f t="shared" si="12"/>
        <v>0.36670765298159624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2">
        <f t="shared" si="19"/>
        <v>0</v>
      </c>
    </row>
    <row r="30" spans="1:37">
      <c r="A30" s="410"/>
      <c r="B30" s="23" t="s">
        <v>38</v>
      </c>
      <c r="C30" s="6" t="s">
        <v>82</v>
      </c>
      <c r="D30" s="6"/>
      <c r="E30" s="24">
        <v>49330</v>
      </c>
      <c r="F30" s="24">
        <f>[1]in!$E$1229</f>
        <v>34315</v>
      </c>
      <c r="G30" s="24">
        <f>[1]in!$F$1229</f>
        <v>65100</v>
      </c>
      <c r="H30" s="24">
        <f>[1]in!$H$1229</f>
        <v>0</v>
      </c>
      <c r="I30" s="24">
        <f>[1]in!$I$1229</f>
        <v>0</v>
      </c>
      <c r="J30" s="24">
        <f>[1]in!$J$1229</f>
        <v>0</v>
      </c>
      <c r="K30" s="24">
        <f>[1]in!$L$1229</f>
        <v>0</v>
      </c>
      <c r="L30" s="24">
        <f>[1]in!$M$1229</f>
        <v>0</v>
      </c>
      <c r="M30" s="24">
        <f>[1]in!$N$1229</f>
        <v>0</v>
      </c>
      <c r="N30" s="24">
        <f>[1]in!$P$1229</f>
        <v>0</v>
      </c>
      <c r="O30" s="24">
        <f>[1]in!$Q$1229</f>
        <v>0</v>
      </c>
      <c r="P30" s="24">
        <f>[1]in!$R$1229</f>
        <v>0</v>
      </c>
      <c r="Q30" s="27">
        <f t="shared" si="1"/>
        <v>148745</v>
      </c>
      <c r="R30" s="25">
        <f t="shared" si="13"/>
        <v>148745</v>
      </c>
      <c r="S30" s="25">
        <f t="shared" si="14"/>
        <v>0</v>
      </c>
      <c r="T30" s="25">
        <f t="shared" si="15"/>
        <v>0</v>
      </c>
      <c r="U30" s="25">
        <f t="shared" si="16"/>
        <v>0</v>
      </c>
      <c r="V30" s="25">
        <f t="shared" si="17"/>
        <v>148745</v>
      </c>
      <c r="W30" s="25">
        <f t="shared" si="18"/>
        <v>0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2">
        <f t="shared" si="19"/>
        <v>0</v>
      </c>
    </row>
    <row r="31" spans="1:37">
      <c r="A31" s="410"/>
      <c r="B31" s="23" t="s">
        <v>39</v>
      </c>
      <c r="C31" s="6" t="s">
        <v>82</v>
      </c>
      <c r="D31" s="6"/>
      <c r="E31" s="24">
        <v>0</v>
      </c>
      <c r="F31" s="24">
        <f>[1]in!$E$1237</f>
        <v>1985</v>
      </c>
      <c r="G31" s="24">
        <f>[1]in!$F$1237</f>
        <v>320</v>
      </c>
      <c r="H31" s="24">
        <f>[1]in!$H$1237</f>
        <v>0</v>
      </c>
      <c r="I31" s="24">
        <f>[1]in!$I$1237</f>
        <v>0</v>
      </c>
      <c r="J31" s="24">
        <f>[1]in!$J$1237</f>
        <v>0</v>
      </c>
      <c r="K31" s="24">
        <f>[1]in!$L$1237</f>
        <v>0</v>
      </c>
      <c r="L31" s="24">
        <f>[1]in!$M$1237</f>
        <v>0</v>
      </c>
      <c r="M31" s="24">
        <f>[1]in!$N$1237</f>
        <v>0</v>
      </c>
      <c r="N31" s="24">
        <f>[1]in!$P$1237</f>
        <v>0</v>
      </c>
      <c r="O31" s="24">
        <f>[1]in!$Q$1237</f>
        <v>0</v>
      </c>
      <c r="P31" s="24">
        <f>[1]in!$R$1237</f>
        <v>0</v>
      </c>
      <c r="Q31" s="27">
        <f t="shared" si="1"/>
        <v>2305</v>
      </c>
      <c r="R31" s="25">
        <f t="shared" si="13"/>
        <v>2305</v>
      </c>
      <c r="S31" s="25">
        <f>SUM(H31:J31)</f>
        <v>0</v>
      </c>
      <c r="T31" s="25">
        <f t="shared" si="15"/>
        <v>0</v>
      </c>
      <c r="U31" s="25">
        <f t="shared" si="16"/>
        <v>0</v>
      </c>
      <c r="V31" s="25">
        <f>SUM(E31:J31)</f>
        <v>2305</v>
      </c>
      <c r="W31" s="25">
        <f t="shared" si="18"/>
        <v>0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2">
        <f t="shared" si="19"/>
        <v>0</v>
      </c>
    </row>
    <row r="32" spans="1:37">
      <c r="A32" s="410"/>
      <c r="B32" s="2" t="s">
        <v>40</v>
      </c>
      <c r="C32" s="7" t="s">
        <v>82</v>
      </c>
      <c r="D32" s="6"/>
      <c r="E32" s="71">
        <f>SUM(E30:E31)</f>
        <v>49330</v>
      </c>
      <c r="F32" s="71">
        <f>SUM(F30:F31)</f>
        <v>36300</v>
      </c>
      <c r="G32" s="71">
        <f>SUM(G30:G31)</f>
        <v>65420</v>
      </c>
      <c r="H32" s="71">
        <f t="shared" ref="H32:P32" si="20">SUM(H30:H31)</f>
        <v>0</v>
      </c>
      <c r="I32" s="71">
        <f t="shared" si="20"/>
        <v>0</v>
      </c>
      <c r="J32" s="71">
        <f t="shared" si="20"/>
        <v>0</v>
      </c>
      <c r="K32" s="71">
        <f t="shared" si="20"/>
        <v>0</v>
      </c>
      <c r="L32" s="71">
        <f t="shared" si="20"/>
        <v>0</v>
      </c>
      <c r="M32" s="71">
        <f t="shared" si="20"/>
        <v>0</v>
      </c>
      <c r="N32" s="71">
        <f t="shared" si="20"/>
        <v>0</v>
      </c>
      <c r="O32" s="71">
        <f t="shared" si="20"/>
        <v>0</v>
      </c>
      <c r="P32" s="71">
        <f t="shared" si="20"/>
        <v>0</v>
      </c>
      <c r="Q32" s="27">
        <f>SUM(E32:P32)</f>
        <v>151050</v>
      </c>
      <c r="R32" s="26">
        <f>SUM(E32:G32)</f>
        <v>151050</v>
      </c>
      <c r="S32" s="26">
        <f>SUM(H32:J32)</f>
        <v>0</v>
      </c>
      <c r="T32" s="26">
        <f>SUM(K32:M32)</f>
        <v>0</v>
      </c>
      <c r="U32" s="26">
        <f>SUM(N32:P32)</f>
        <v>0</v>
      </c>
      <c r="V32" s="26">
        <f>SUM(E32:J32)</f>
        <v>151050</v>
      </c>
      <c r="W32" s="26">
        <f t="shared" si="18"/>
        <v>0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2"/>
    </row>
    <row r="33" spans="1:37">
      <c r="A33" s="410"/>
      <c r="B33" s="2" t="s">
        <v>42</v>
      </c>
      <c r="C33" s="7" t="s">
        <v>82</v>
      </c>
      <c r="D33" s="6"/>
      <c r="E33" s="11">
        <v>13250</v>
      </c>
      <c r="F33" s="11">
        <f>[1]in!$E$1239</f>
        <v>3210</v>
      </c>
      <c r="G33" s="11">
        <f>[1]in!$F$1239</f>
        <v>4320</v>
      </c>
      <c r="H33" s="11">
        <f>[1]in!$H$1239</f>
        <v>2350</v>
      </c>
      <c r="I33" s="11">
        <f>[1]in!$I$1239</f>
        <v>0</v>
      </c>
      <c r="J33" s="11">
        <f>[1]in!$J$1239</f>
        <v>0</v>
      </c>
      <c r="K33" s="11">
        <f>[1]in!$L$1239</f>
        <v>0</v>
      </c>
      <c r="L33" s="11">
        <f>[1]in!$M$1239</f>
        <v>0</v>
      </c>
      <c r="M33" s="11">
        <f>[1]in!$N$1239</f>
        <v>0</v>
      </c>
      <c r="N33" s="11">
        <f>[1]in!$P$1239</f>
        <v>0</v>
      </c>
      <c r="O33" s="11">
        <f>[1]in!$Q$1239</f>
        <v>0</v>
      </c>
      <c r="P33" s="11">
        <f>[1]in!$R$1239</f>
        <v>0</v>
      </c>
      <c r="Q33" s="27">
        <f t="shared" si="1"/>
        <v>23130</v>
      </c>
      <c r="R33" s="26">
        <f t="shared" si="13"/>
        <v>20780</v>
      </c>
      <c r="S33" s="26">
        <f t="shared" si="14"/>
        <v>2350</v>
      </c>
      <c r="T33" s="26">
        <f t="shared" si="15"/>
        <v>0</v>
      </c>
      <c r="U33" s="26">
        <f>SUM(N33:P33)</f>
        <v>0</v>
      </c>
      <c r="V33" s="26">
        <f>SUM(E33:J33)</f>
        <v>23130</v>
      </c>
      <c r="W33" s="26">
        <f t="shared" si="18"/>
        <v>0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2">
        <f t="shared" si="19"/>
        <v>0</v>
      </c>
    </row>
    <row r="34" spans="1:37">
      <c r="A34" s="72"/>
      <c r="B34" s="2" t="s">
        <v>43</v>
      </c>
      <c r="C34" s="7" t="s">
        <v>82</v>
      </c>
      <c r="D34" s="6"/>
      <c r="E34" s="11">
        <f>SUM(E8:E9,E25:E28,E33)</f>
        <v>272449</v>
      </c>
      <c r="F34" s="11">
        <f>SUM(F8:F9,F25:F28,F33)</f>
        <v>243647</v>
      </c>
      <c r="G34" s="11">
        <f t="shared" ref="G34:P34" si="21">SUM(G8:G9,G25:G28,G33)</f>
        <v>209868</v>
      </c>
      <c r="H34" s="11">
        <f t="shared" si="21"/>
        <v>154045</v>
      </c>
      <c r="I34" s="11">
        <f t="shared" si="21"/>
        <v>0</v>
      </c>
      <c r="J34" s="11">
        <f t="shared" si="21"/>
        <v>0</v>
      </c>
      <c r="K34" s="11">
        <f t="shared" si="21"/>
        <v>0</v>
      </c>
      <c r="L34" s="11">
        <f t="shared" si="21"/>
        <v>0</v>
      </c>
      <c r="M34" s="11">
        <f t="shared" si="21"/>
        <v>0</v>
      </c>
      <c r="N34" s="11">
        <f t="shared" si="21"/>
        <v>0</v>
      </c>
      <c r="O34" s="11">
        <f t="shared" si="21"/>
        <v>0</v>
      </c>
      <c r="P34" s="11">
        <f t="shared" si="21"/>
        <v>0</v>
      </c>
      <c r="Q34" s="27">
        <f>SUM(E34:P34)</f>
        <v>880009</v>
      </c>
      <c r="R34" s="26">
        <f t="shared" si="13"/>
        <v>725964</v>
      </c>
      <c r="S34" s="26">
        <f t="shared" ref="S34" si="22">SUM(H34:J34)</f>
        <v>154045</v>
      </c>
      <c r="T34" s="26">
        <f t="shared" ref="T34" si="23">SUM(K34:M34)</f>
        <v>0</v>
      </c>
      <c r="U34" s="26">
        <f>SUM(N34:P34)</f>
        <v>0</v>
      </c>
      <c r="V34" s="26">
        <f>SUM(E34:J34)</f>
        <v>880009</v>
      </c>
      <c r="W34" s="26">
        <f>SUM(K34:P34)</f>
        <v>0</v>
      </c>
      <c r="AK34" s="76"/>
    </row>
    <row r="36" spans="1:37" ht="16">
      <c r="A36" s="436" t="s">
        <v>44</v>
      </c>
      <c r="B36" s="436"/>
      <c r="C36" s="17" t="s">
        <v>82</v>
      </c>
      <c r="D36" s="323"/>
      <c r="E36" s="324">
        <f>SUM(E5:E29,E32:E33)</f>
        <v>2580705</v>
      </c>
      <c r="F36" s="324">
        <f>SUM(F5:F29,F32:F33)</f>
        <v>2325746</v>
      </c>
      <c r="G36" s="324">
        <f t="shared" ref="G36:P36" si="24">SUM(G5:G29,G32:G33)</f>
        <v>3096139</v>
      </c>
      <c r="H36" s="324">
        <f t="shared" si="24"/>
        <v>2753711</v>
      </c>
      <c r="I36" s="324">
        <f t="shared" si="24"/>
        <v>2110</v>
      </c>
      <c r="J36" s="324">
        <f t="shared" si="24"/>
        <v>0</v>
      </c>
      <c r="K36" s="324">
        <f t="shared" si="24"/>
        <v>0</v>
      </c>
      <c r="L36" s="324">
        <f t="shared" si="24"/>
        <v>0</v>
      </c>
      <c r="M36" s="324">
        <f t="shared" si="24"/>
        <v>0</v>
      </c>
      <c r="N36" s="324">
        <f t="shared" si="24"/>
        <v>0</v>
      </c>
      <c r="O36" s="324">
        <f t="shared" si="24"/>
        <v>0</v>
      </c>
      <c r="P36" s="324">
        <f t="shared" si="24"/>
        <v>0</v>
      </c>
      <c r="Q36" s="325">
        <f>SUM(Q5:Q33)</f>
        <v>10909461</v>
      </c>
      <c r="R36" s="324">
        <f>SUM(R5:R33)</f>
        <v>8153640</v>
      </c>
      <c r="S36" s="324">
        <f t="shared" ref="S36:W36" si="25">SUM(S5:S33)</f>
        <v>2712421</v>
      </c>
      <c r="T36" s="324">
        <f t="shared" si="25"/>
        <v>0</v>
      </c>
      <c r="U36" s="324">
        <f t="shared" si="25"/>
        <v>0</v>
      </c>
      <c r="V36" s="324">
        <f t="shared" si="25"/>
        <v>10909461</v>
      </c>
      <c r="W36" s="324">
        <f t="shared" si="25"/>
        <v>0</v>
      </c>
      <c r="Y36" s="30">
        <f>SUM(Y5:Y33)</f>
        <v>0</v>
      </c>
      <c r="Z36" s="30">
        <f t="shared" ref="Z36:AK36" si="26">SUM(Z5:Z33)</f>
        <v>0</v>
      </c>
      <c r="AA36" s="30">
        <f t="shared" si="26"/>
        <v>0</v>
      </c>
      <c r="AB36" s="30">
        <f t="shared" si="26"/>
        <v>0</v>
      </c>
      <c r="AC36" s="30">
        <f t="shared" si="26"/>
        <v>0</v>
      </c>
      <c r="AD36" s="30">
        <f t="shared" si="26"/>
        <v>0</v>
      </c>
      <c r="AE36" s="30">
        <f t="shared" si="26"/>
        <v>0</v>
      </c>
      <c r="AF36" s="30">
        <f t="shared" si="26"/>
        <v>0</v>
      </c>
      <c r="AG36" s="30">
        <f t="shared" si="26"/>
        <v>0</v>
      </c>
      <c r="AH36" s="30">
        <f t="shared" si="26"/>
        <v>0</v>
      </c>
      <c r="AI36" s="30">
        <f t="shared" si="26"/>
        <v>0</v>
      </c>
      <c r="AJ36" s="30">
        <f t="shared" si="26"/>
        <v>0</v>
      </c>
      <c r="AK36" s="30">
        <f t="shared" si="26"/>
        <v>0</v>
      </c>
    </row>
    <row r="37" spans="1:37" ht="18.5">
      <c r="A37" s="444" t="s">
        <v>45</v>
      </c>
      <c r="B37" s="444"/>
      <c r="C37" s="348" t="s">
        <v>82</v>
      </c>
      <c r="D37" s="348"/>
      <c r="E37" s="349">
        <f>SUM(E5:E15,E21:E29,E32:E33)</f>
        <v>2305075</v>
      </c>
      <c r="F37" s="349">
        <f>SUM(F5:F15,F21:F29,F32:F33)</f>
        <v>2039652</v>
      </c>
      <c r="G37" s="349">
        <f t="shared" ref="G37:P37" si="27">SUM(G5:G15,G21:G29,G32:G33)</f>
        <v>2654391</v>
      </c>
      <c r="H37" s="349">
        <f t="shared" si="27"/>
        <v>2481612</v>
      </c>
      <c r="I37" s="349">
        <f t="shared" si="27"/>
        <v>2110</v>
      </c>
      <c r="J37" s="349">
        <f t="shared" si="27"/>
        <v>0</v>
      </c>
      <c r="K37" s="349">
        <f t="shared" si="27"/>
        <v>0</v>
      </c>
      <c r="L37" s="349">
        <f t="shared" si="27"/>
        <v>0</v>
      </c>
      <c r="M37" s="349">
        <f t="shared" si="27"/>
        <v>0</v>
      </c>
      <c r="N37" s="349">
        <f t="shared" si="27"/>
        <v>0</v>
      </c>
      <c r="O37" s="349">
        <f t="shared" si="27"/>
        <v>0</v>
      </c>
      <c r="P37" s="349">
        <f t="shared" si="27"/>
        <v>0</v>
      </c>
      <c r="Q37" s="349">
        <f>SUM(Q5:Q15,Q21:Q29,Q32:Q33)</f>
        <v>9482840</v>
      </c>
      <c r="R37" s="347">
        <f>SUM(R5:R15,R21:R29,R32:R33)</f>
        <v>6999118</v>
      </c>
      <c r="S37" s="347">
        <f t="shared" ref="S37:U37" si="28">SUM(S5:S15,S21:S29,S32:S33)</f>
        <v>2440322</v>
      </c>
      <c r="T37" s="347">
        <f t="shared" si="28"/>
        <v>0</v>
      </c>
      <c r="U37" s="347">
        <f t="shared" si="28"/>
        <v>0</v>
      </c>
      <c r="V37" s="347">
        <f>SUM(V5:V15,V21:V29,V32:V33)</f>
        <v>9482840</v>
      </c>
      <c r="W37" s="347">
        <f>SUM(W5:W15,W21:W29,W32:W33)</f>
        <v>0</v>
      </c>
      <c r="Y37" s="26">
        <f t="shared" ref="Y37:AK37" si="29">SUM(Y5:Y15,Y21:Y33)</f>
        <v>0</v>
      </c>
      <c r="Z37" s="26">
        <f t="shared" si="29"/>
        <v>0</v>
      </c>
      <c r="AA37" s="26">
        <f t="shared" si="29"/>
        <v>0</v>
      </c>
      <c r="AB37" s="26">
        <f t="shared" si="29"/>
        <v>0</v>
      </c>
      <c r="AC37" s="26">
        <f t="shared" si="29"/>
        <v>0</v>
      </c>
      <c r="AD37" s="26">
        <f t="shared" si="29"/>
        <v>0</v>
      </c>
      <c r="AE37" s="26">
        <f t="shared" si="29"/>
        <v>0</v>
      </c>
      <c r="AF37" s="26">
        <f t="shared" si="29"/>
        <v>0</v>
      </c>
      <c r="AG37" s="26">
        <f t="shared" si="29"/>
        <v>0</v>
      </c>
      <c r="AH37" s="26">
        <f t="shared" si="29"/>
        <v>0</v>
      </c>
      <c r="AI37" s="26">
        <f t="shared" si="29"/>
        <v>0</v>
      </c>
      <c r="AJ37" s="26">
        <f t="shared" si="29"/>
        <v>0</v>
      </c>
      <c r="AK37" s="26">
        <f t="shared" si="29"/>
        <v>0</v>
      </c>
    </row>
    <row r="38" spans="1:37">
      <c r="A38" s="445"/>
      <c r="B38" s="445"/>
      <c r="C38" s="70"/>
      <c r="D38" s="7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Y38" s="26">
        <f t="shared" ref="Y38:AK38" si="30">SUM(Y16:Y20)</f>
        <v>0</v>
      </c>
      <c r="Z38" s="26">
        <f t="shared" si="30"/>
        <v>0</v>
      </c>
      <c r="AA38" s="26">
        <f t="shared" si="30"/>
        <v>0</v>
      </c>
      <c r="AB38" s="26">
        <f t="shared" si="30"/>
        <v>0</v>
      </c>
      <c r="AC38" s="26">
        <f t="shared" si="30"/>
        <v>0</v>
      </c>
      <c r="AD38" s="26">
        <f t="shared" si="30"/>
        <v>0</v>
      </c>
      <c r="AE38" s="26">
        <f t="shared" si="30"/>
        <v>0</v>
      </c>
      <c r="AF38" s="26">
        <f t="shared" si="30"/>
        <v>0</v>
      </c>
      <c r="AG38" s="26">
        <f t="shared" si="30"/>
        <v>0</v>
      </c>
      <c r="AH38" s="26">
        <f t="shared" si="30"/>
        <v>0</v>
      </c>
      <c r="AI38" s="26">
        <f t="shared" si="30"/>
        <v>0</v>
      </c>
      <c r="AJ38" s="26">
        <f t="shared" si="30"/>
        <v>0</v>
      </c>
      <c r="AK38" s="26">
        <f t="shared" si="30"/>
        <v>0</v>
      </c>
    </row>
    <row r="39" spans="1:37">
      <c r="A39" s="50"/>
      <c r="Q39" s="35"/>
    </row>
    <row r="40" spans="1:37">
      <c r="A40" s="408" t="s">
        <v>46</v>
      </c>
      <c r="B40" s="408"/>
      <c r="C40" s="7" t="s">
        <v>82</v>
      </c>
      <c r="D40" s="6"/>
      <c r="E40" s="26">
        <f>SUM(E5:E15)</f>
        <v>1364802</v>
      </c>
      <c r="F40" s="26">
        <f t="shared" ref="F40:P40" si="31">SUM(F5:F15)</f>
        <v>1171754</v>
      </c>
      <c r="G40" s="26">
        <f t="shared" si="31"/>
        <v>1226737</v>
      </c>
      <c r="H40" s="26">
        <f t="shared" si="31"/>
        <v>1290464</v>
      </c>
      <c r="I40" s="26">
        <f t="shared" si="31"/>
        <v>2110</v>
      </c>
      <c r="J40" s="26">
        <f t="shared" si="31"/>
        <v>0</v>
      </c>
      <c r="K40" s="26">
        <f t="shared" si="31"/>
        <v>0</v>
      </c>
      <c r="L40" s="26">
        <f t="shared" si="31"/>
        <v>0</v>
      </c>
      <c r="M40" s="26">
        <f t="shared" si="31"/>
        <v>0</v>
      </c>
      <c r="N40" s="26">
        <f t="shared" si="31"/>
        <v>0</v>
      </c>
      <c r="O40" s="26">
        <f t="shared" si="31"/>
        <v>0</v>
      </c>
      <c r="P40" s="26">
        <f t="shared" si="31"/>
        <v>0</v>
      </c>
      <c r="Q40" s="26">
        <f>SUM(Q5:Q15)</f>
        <v>5055867</v>
      </c>
      <c r="R40" s="197">
        <f>Q30+Q31</f>
        <v>151050</v>
      </c>
    </row>
    <row r="41" spans="1:37">
      <c r="A41" s="408" t="s">
        <v>47</v>
      </c>
      <c r="B41" s="408"/>
      <c r="C41" s="7" t="s">
        <v>82</v>
      </c>
      <c r="D41" s="6"/>
      <c r="E41" s="26">
        <f>SUM(E21:E29,E32:E33)</f>
        <v>940273</v>
      </c>
      <c r="F41" s="26">
        <f>SUM(F21:F29,F32:F33)</f>
        <v>867898</v>
      </c>
      <c r="G41" s="26">
        <f t="shared" ref="G41:P41" si="32">SUM(G21:G29,G32:G33)</f>
        <v>1427654</v>
      </c>
      <c r="H41" s="26">
        <f t="shared" si="32"/>
        <v>1191148</v>
      </c>
      <c r="I41" s="26">
        <f t="shared" si="32"/>
        <v>0</v>
      </c>
      <c r="J41" s="26">
        <f t="shared" si="32"/>
        <v>0</v>
      </c>
      <c r="K41" s="26">
        <f t="shared" si="32"/>
        <v>0</v>
      </c>
      <c r="L41" s="26">
        <f t="shared" si="32"/>
        <v>0</v>
      </c>
      <c r="M41" s="26">
        <f t="shared" si="32"/>
        <v>0</v>
      </c>
      <c r="N41" s="26">
        <f t="shared" si="32"/>
        <v>0</v>
      </c>
      <c r="O41" s="26">
        <f t="shared" si="32"/>
        <v>0</v>
      </c>
      <c r="P41" s="26">
        <f t="shared" si="32"/>
        <v>0</v>
      </c>
      <c r="Q41" s="26">
        <f>SUM(Q21:Q29,Q32:Q33)</f>
        <v>4426973</v>
      </c>
    </row>
    <row r="42" spans="1:37">
      <c r="A42" s="50"/>
      <c r="Q42" s="35"/>
    </row>
    <row r="43" spans="1:37">
      <c r="AH43" s="146" t="s">
        <v>85</v>
      </c>
      <c r="AI43" s="146"/>
      <c r="AJ43" s="146"/>
      <c r="AK43" s="154">
        <f>Q36-AK36</f>
        <v>10909461</v>
      </c>
    </row>
    <row r="44" spans="1:37" ht="15.5">
      <c r="A44" s="443" t="s">
        <v>125</v>
      </c>
      <c r="B44" s="443"/>
      <c r="C44" s="443"/>
      <c r="D44" s="443"/>
      <c r="E44" s="443"/>
      <c r="F44" s="443"/>
      <c r="G44" s="443"/>
      <c r="H44" s="443"/>
      <c r="I44" s="443"/>
      <c r="J44" s="443"/>
      <c r="K44" s="443"/>
      <c r="L44" s="443"/>
      <c r="M44" s="443"/>
      <c r="N44" s="443"/>
      <c r="O44" s="443"/>
      <c r="P44" s="443"/>
      <c r="Q44" s="443"/>
      <c r="R44" s="443"/>
      <c r="S44" s="443"/>
      <c r="T44" s="443"/>
      <c r="U44" s="443"/>
      <c r="V44" s="443"/>
      <c r="W44" s="443"/>
      <c r="AH44" s="146" t="s">
        <v>87</v>
      </c>
      <c r="AI44" s="146"/>
      <c r="AJ44" s="146"/>
      <c r="AK44" s="155"/>
    </row>
    <row r="45" spans="1:37">
      <c r="A45" s="1"/>
      <c r="B45" s="2" t="s">
        <v>2</v>
      </c>
      <c r="C45" s="2" t="s">
        <v>3</v>
      </c>
      <c r="D45" s="23" t="s">
        <v>4</v>
      </c>
      <c r="E45" s="3">
        <v>46023</v>
      </c>
      <c r="F45" s="3">
        <v>46054</v>
      </c>
      <c r="G45" s="3">
        <v>46082</v>
      </c>
      <c r="H45" s="3">
        <v>46113</v>
      </c>
      <c r="I45" s="3">
        <v>46143</v>
      </c>
      <c r="J45" s="3">
        <v>46174</v>
      </c>
      <c r="K45" s="3">
        <v>46204</v>
      </c>
      <c r="L45" s="3">
        <v>46235</v>
      </c>
      <c r="M45" s="3">
        <v>46266</v>
      </c>
      <c r="N45" s="3">
        <v>46296</v>
      </c>
      <c r="O45" s="3">
        <v>46327</v>
      </c>
      <c r="P45" s="3">
        <v>46357</v>
      </c>
      <c r="Q45" s="4" t="s">
        <v>81</v>
      </c>
      <c r="R45" s="5" t="s">
        <v>5</v>
      </c>
      <c r="S45" s="5" t="s">
        <v>6</v>
      </c>
      <c r="T45" s="5" t="s">
        <v>7</v>
      </c>
      <c r="U45" s="5" t="s">
        <v>8</v>
      </c>
      <c r="V45" s="5" t="s">
        <v>9</v>
      </c>
      <c r="W45" s="5" t="s">
        <v>10</v>
      </c>
    </row>
    <row r="46" spans="1:37">
      <c r="A46" s="414" t="s">
        <v>12</v>
      </c>
      <c r="B46" s="6" t="s">
        <v>13</v>
      </c>
      <c r="C46" s="6" t="s">
        <v>88</v>
      </c>
      <c r="D46" s="247">
        <v>1.44</v>
      </c>
      <c r="E46" s="11">
        <f>E3/Production!E3</f>
        <v>0.6239806320081549</v>
      </c>
      <c r="F46" s="84">
        <f>F3/Production!F3</f>
        <v>0.64903610578336535</v>
      </c>
      <c r="G46" s="84">
        <f>G3/Production!G3</f>
        <v>0.87442797836415342</v>
      </c>
      <c r="H46" s="84">
        <f>H3/Production!H3</f>
        <v>0.82099100982646878</v>
      </c>
      <c r="I46" s="84" t="e">
        <f>I3/Production!I3</f>
        <v>#DIV/0!</v>
      </c>
      <c r="J46" s="84" t="e">
        <f>J3/Production!J3</f>
        <v>#DIV/0!</v>
      </c>
      <c r="K46" s="84" t="e">
        <f>K3/Production!K3</f>
        <v>#DIV/0!</v>
      </c>
      <c r="L46" s="84" t="e">
        <f>L3/Production!L3</f>
        <v>#DIV/0!</v>
      </c>
      <c r="M46" s="84" t="e">
        <f>M3/Production!M3</f>
        <v>#DIV/0!</v>
      </c>
      <c r="N46" s="84" t="e">
        <f>N3/Production!N3</f>
        <v>#DIV/0!</v>
      </c>
      <c r="O46" s="84" t="e">
        <f>O3/Production!O3</f>
        <v>#DIV/0!</v>
      </c>
      <c r="P46" s="84" t="e">
        <f>P3/Production!P3</f>
        <v>#DIV/0!</v>
      </c>
      <c r="Q46" s="11">
        <f>Q3/Production!Q3</f>
        <v>0.74521492216646534</v>
      </c>
      <c r="R46" s="24"/>
      <c r="S46" s="24"/>
      <c r="T46" s="24"/>
      <c r="U46" s="24"/>
      <c r="V46" s="24"/>
      <c r="W46" s="24"/>
      <c r="AH46" t="s">
        <v>107</v>
      </c>
    </row>
    <row r="47" spans="1:37">
      <c r="A47" s="415"/>
      <c r="B47" s="6" t="s">
        <v>15</v>
      </c>
      <c r="C47" s="6" t="s">
        <v>88</v>
      </c>
      <c r="D47" s="248">
        <v>1.1299999999999999</v>
      </c>
      <c r="E47" s="11">
        <f>E4/Production!E4</f>
        <v>0.96841104875137218</v>
      </c>
      <c r="F47" s="84">
        <f>F4/Production!F4</f>
        <v>0.95933105178504241</v>
      </c>
      <c r="G47" s="84">
        <f>G4/Production!G4</f>
        <v>2.2901301185498268</v>
      </c>
      <c r="H47" s="84">
        <f>H4/Production!H4</f>
        <v>8.4016567529019355</v>
      </c>
      <c r="I47" s="84" t="e">
        <f>I4/Production!I4</f>
        <v>#DIV/0!</v>
      </c>
      <c r="J47" s="84" t="e">
        <f>J4/Production!J4</f>
        <v>#DIV/0!</v>
      </c>
      <c r="K47" s="84" t="e">
        <f>K4/Production!K4</f>
        <v>#DIV/0!</v>
      </c>
      <c r="L47" s="84" t="e">
        <f>L4/Production!L4</f>
        <v>#DIV/0!</v>
      </c>
      <c r="M47" s="84" t="e">
        <f>M4/Production!M4</f>
        <v>#DIV/0!</v>
      </c>
      <c r="N47" s="84" t="e">
        <f>N4/Production!N4</f>
        <v>#DIV/0!</v>
      </c>
      <c r="O47" s="84" t="e">
        <f>O4/Production!O4</f>
        <v>#DIV/0!</v>
      </c>
      <c r="P47" s="84" t="e">
        <f>P4/Production!P4</f>
        <v>#DIV/0!</v>
      </c>
      <c r="Q47" s="11">
        <f>Q4/Production!Q4</f>
        <v>1.2858091925785253</v>
      </c>
      <c r="R47" s="24"/>
      <c r="S47" s="24"/>
      <c r="T47" s="24"/>
      <c r="U47" s="24"/>
      <c r="V47" s="24"/>
      <c r="W47" s="24"/>
    </row>
    <row r="48" spans="1:37" ht="21">
      <c r="A48" s="415"/>
      <c r="B48" s="2" t="s">
        <v>16</v>
      </c>
      <c r="C48" s="7" t="s">
        <v>88</v>
      </c>
      <c r="D48" s="210">
        <v>0.99</v>
      </c>
      <c r="E48" s="11">
        <f>E5/Production!E5</f>
        <v>0.762915565882894</v>
      </c>
      <c r="F48" s="11">
        <f>F5/Production!F5</f>
        <v>0.77440138660731905</v>
      </c>
      <c r="G48" s="11">
        <f>G5/Production!G5</f>
        <v>1.1346179623662596</v>
      </c>
      <c r="H48" s="11">
        <f>H5/Production!H5</f>
        <v>1.0105277738706084</v>
      </c>
      <c r="I48" s="11" t="e">
        <f>I5/Production!I5</f>
        <v>#DIV/0!</v>
      </c>
      <c r="J48" s="11" t="e">
        <f>J5/Production!J5</f>
        <v>#DIV/0!</v>
      </c>
      <c r="K48" s="11" t="e">
        <f>K5/Production!K5</f>
        <v>#DIV/0!</v>
      </c>
      <c r="L48" s="11" t="e">
        <f>L5/Production!L5</f>
        <v>#DIV/0!</v>
      </c>
      <c r="M48" s="11" t="e">
        <f>M5/Production!M5</f>
        <v>#DIV/0!</v>
      </c>
      <c r="N48" s="11" t="e">
        <f>N5/Production!N5</f>
        <v>#DIV/0!</v>
      </c>
      <c r="O48" s="11" t="e">
        <f>O5/Production!O5</f>
        <v>#DIV/0!</v>
      </c>
      <c r="P48" s="11" t="e">
        <f>P5/Production!P5</f>
        <v>#DIV/0!</v>
      </c>
      <c r="Q48" s="11">
        <f>Q5/Production!Q5</f>
        <v>0.89759395813689935</v>
      </c>
      <c r="R48" s="26"/>
      <c r="S48" s="26"/>
      <c r="T48" s="26"/>
      <c r="U48" s="26"/>
      <c r="V48" s="26"/>
      <c r="W48" s="26"/>
      <c r="AH48" s="152" t="s">
        <v>89</v>
      </c>
      <c r="AI48" s="152"/>
      <c r="AJ48" s="152"/>
      <c r="AK48" s="153">
        <f>Q37-AK37</f>
        <v>9482840</v>
      </c>
    </row>
    <row r="49" spans="1:37">
      <c r="A49" s="415"/>
      <c r="B49" s="2" t="s">
        <v>17</v>
      </c>
      <c r="C49" s="7" t="s">
        <v>88</v>
      </c>
      <c r="D49" s="248">
        <v>3.08</v>
      </c>
      <c r="E49" s="11">
        <f>E6/Production!E6</f>
        <v>1.5617794770097302</v>
      </c>
      <c r="F49" s="11">
        <f>F6/Production!F6</f>
        <v>2.2897910323965172</v>
      </c>
      <c r="G49" s="11">
        <f>G6/Production!G6</f>
        <v>1.3352545718948376</v>
      </c>
      <c r="H49" s="11">
        <f>H6/Production!H6</f>
        <v>4.08142649090885</v>
      </c>
      <c r="I49" s="11" t="e">
        <f>I6/Production!I6</f>
        <v>#DIV/0!</v>
      </c>
      <c r="J49" s="11" t="e">
        <f>J6/Production!J6</f>
        <v>#DIV/0!</v>
      </c>
      <c r="K49" s="11" t="e">
        <f>K6/Production!K6</f>
        <v>#DIV/0!</v>
      </c>
      <c r="L49" s="11" t="e">
        <f>L6/Production!L6</f>
        <v>#DIV/0!</v>
      </c>
      <c r="M49" s="11" t="e">
        <f>M6/Production!M6</f>
        <v>#DIV/0!</v>
      </c>
      <c r="N49" s="11" t="e">
        <f>N6/Production!N6</f>
        <v>#DIV/0!</v>
      </c>
      <c r="O49" s="11" t="e">
        <f>O6/Production!O6</f>
        <v>#DIV/0!</v>
      </c>
      <c r="P49" s="11" t="e">
        <f>P6/Production!P6</f>
        <v>#DIV/0!</v>
      </c>
      <c r="Q49" s="11">
        <f>Q6/Production!Q6</f>
        <v>2.2417975021353413</v>
      </c>
      <c r="R49" s="26"/>
      <c r="S49" s="26"/>
      <c r="T49" s="26"/>
      <c r="U49" s="26"/>
      <c r="V49" s="26"/>
      <c r="W49" s="26"/>
      <c r="AK49" s="35"/>
    </row>
    <row r="50" spans="1:37">
      <c r="A50" s="415"/>
      <c r="B50" s="2" t="s">
        <v>18</v>
      </c>
      <c r="C50" s="7" t="s">
        <v>88</v>
      </c>
      <c r="D50" s="248">
        <v>3.4849999999999999</v>
      </c>
      <c r="E50" s="11">
        <f>E7/Production!E7</f>
        <v>4.6715696151521255</v>
      </c>
      <c r="F50" s="11">
        <f>F7/Production!F7</f>
        <v>2.5816149963950972</v>
      </c>
      <c r="G50" s="11">
        <f>G7/Production!G7</f>
        <v>4.0270972567143861</v>
      </c>
      <c r="H50" s="11">
        <f>H7/Production!H7</f>
        <v>3.2135939958842754</v>
      </c>
      <c r="I50" s="11" t="e">
        <f>I7/Production!I7</f>
        <v>#DIV/0!</v>
      </c>
      <c r="J50" s="11" t="e">
        <f>J7/Production!J7</f>
        <v>#DIV/0!</v>
      </c>
      <c r="K50" s="11" t="e">
        <f>K7/Production!K7</f>
        <v>#DIV/0!</v>
      </c>
      <c r="L50" s="11" t="e">
        <f>L7/Production!L7</f>
        <v>#DIV/0!</v>
      </c>
      <c r="M50" s="11" t="e">
        <f>M7/Production!M7</f>
        <v>#DIV/0!</v>
      </c>
      <c r="N50" s="11" t="e">
        <f>N7/Production!N7</f>
        <v>#DIV/0!</v>
      </c>
      <c r="O50" s="11" t="e">
        <f>O7/Production!O7</f>
        <v>#DIV/0!</v>
      </c>
      <c r="P50" s="11" t="e">
        <f>P7/Production!P7</f>
        <v>#DIV/0!</v>
      </c>
      <c r="Q50" s="11">
        <f>Q7/Production!Q7</f>
        <v>3.628886251343312</v>
      </c>
      <c r="R50" s="26"/>
      <c r="S50" s="26"/>
      <c r="T50" s="26"/>
      <c r="U50" s="26"/>
      <c r="V50" s="26"/>
      <c r="W50" s="26"/>
    </row>
    <row r="51" spans="1:37">
      <c r="A51" s="415"/>
      <c r="B51" s="2" t="s">
        <v>19</v>
      </c>
      <c r="C51" s="7" t="s">
        <v>88</v>
      </c>
      <c r="D51" s="248">
        <v>21.254000000000001</v>
      </c>
      <c r="E51" s="11">
        <f>(E8+E10)/Production!E8</f>
        <v>20.554842024145902</v>
      </c>
      <c r="F51" s="11">
        <f>(F8+F10)/Production!F8</f>
        <v>27.105908310860507</v>
      </c>
      <c r="G51" s="11">
        <f>(G8+G10)/Production!G8</f>
        <v>15.875484871993793</v>
      </c>
      <c r="H51" s="11">
        <f>(H8+H10)/Production!H8</f>
        <v>18.827594627594628</v>
      </c>
      <c r="I51" s="11" t="e">
        <f>(I8+I10)/Production!I8</f>
        <v>#DIV/0!</v>
      </c>
      <c r="J51" s="11" t="e">
        <f>(J8+J10)/Production!J8</f>
        <v>#DIV/0!</v>
      </c>
      <c r="K51" s="11" t="e">
        <f>(K8+K10)/Production!K8</f>
        <v>#DIV/0!</v>
      </c>
      <c r="L51" s="11" t="e">
        <f>(L8+L10)/Production!L8</f>
        <v>#DIV/0!</v>
      </c>
      <c r="M51" s="11" t="e">
        <f>(M8+M10)/Production!M8</f>
        <v>#DIV/0!</v>
      </c>
      <c r="N51" s="11" t="e">
        <f>(N8+N10)/Production!N8</f>
        <v>#DIV/0!</v>
      </c>
      <c r="O51" s="11" t="e">
        <f>(O8+O10)/Production!O8</f>
        <v>#DIV/0!</v>
      </c>
      <c r="P51" s="11" t="e">
        <f>(P8+P10)/Production!P8</f>
        <v>#DIV/0!</v>
      </c>
      <c r="Q51" s="11">
        <f>(Q8+Q10)/Production!Q8</f>
        <v>20.41734889392092</v>
      </c>
      <c r="R51" s="26"/>
      <c r="S51" s="26"/>
      <c r="T51" s="26"/>
      <c r="U51" s="26"/>
      <c r="V51" s="26"/>
      <c r="W51" s="26"/>
    </row>
    <row r="52" spans="1:37">
      <c r="A52" s="415"/>
      <c r="B52" s="2" t="s">
        <v>20</v>
      </c>
      <c r="C52" s="7" t="s">
        <v>88</v>
      </c>
      <c r="D52" s="248">
        <v>10.02</v>
      </c>
      <c r="E52" s="11">
        <f>E9/Production!E9</f>
        <v>9.541358001479086</v>
      </c>
      <c r="F52" s="11">
        <f>F9/Production!F9</f>
        <v>9.9230299328039102</v>
      </c>
      <c r="G52" s="11">
        <f>G9/Production!G9</f>
        <v>8.3962368566685122</v>
      </c>
      <c r="H52" s="11">
        <f>H9/Production!H9</f>
        <v>9.8825601879036995</v>
      </c>
      <c r="I52" s="11" t="e">
        <f>I9/Production!I9</f>
        <v>#DIV/0!</v>
      </c>
      <c r="J52" s="11" t="e">
        <f>J9/Production!J9</f>
        <v>#DIV/0!</v>
      </c>
      <c r="K52" s="11" t="e">
        <f>K9/Production!K9</f>
        <v>#DIV/0!</v>
      </c>
      <c r="L52" s="11" t="e">
        <f>L9/Production!L9</f>
        <v>#DIV/0!</v>
      </c>
      <c r="M52" s="11" t="e">
        <f>M9/Production!M9</f>
        <v>#DIV/0!</v>
      </c>
      <c r="N52" s="11" t="e">
        <f>N9/Production!N9</f>
        <v>#DIV/0!</v>
      </c>
      <c r="O52" s="11" t="e">
        <f>O9/Production!O9</f>
        <v>#DIV/0!</v>
      </c>
      <c r="P52" s="11" t="e">
        <f>P9/Production!P9</f>
        <v>#DIV/0!</v>
      </c>
      <c r="Q52" s="11">
        <f>Q9/Production!Q9</f>
        <v>9.388345480616934</v>
      </c>
      <c r="R52" s="26"/>
      <c r="S52" s="26"/>
      <c r="T52" s="26"/>
      <c r="U52" s="26"/>
      <c r="V52" s="26"/>
      <c r="W52" s="26"/>
    </row>
    <row r="53" spans="1:37">
      <c r="A53" s="415"/>
      <c r="B53" s="2" t="s">
        <v>21</v>
      </c>
      <c r="C53" s="7" t="s">
        <v>88</v>
      </c>
      <c r="D53" s="248">
        <v>6.5</v>
      </c>
      <c r="E53" s="11">
        <f>E11/Production!E10</f>
        <v>4.6004817847516657</v>
      </c>
      <c r="F53" s="11">
        <f>F11/Production!F10</f>
        <v>7.2423287877321254</v>
      </c>
      <c r="G53" s="11">
        <f>G11/Production!G10</f>
        <v>0.60923829050222367</v>
      </c>
      <c r="H53" s="11">
        <f>H11/Production!H10</f>
        <v>9.7593007493694923</v>
      </c>
      <c r="I53" s="11" t="e">
        <f>I11/Production!I10</f>
        <v>#DIV/0!</v>
      </c>
      <c r="J53" s="11" t="e">
        <f>J11/Production!J10</f>
        <v>#DIV/0!</v>
      </c>
      <c r="K53" s="11" t="e">
        <f>K11/Production!K10</f>
        <v>#DIV/0!</v>
      </c>
      <c r="L53" s="11" t="e">
        <f>L11/Production!L10</f>
        <v>#DIV/0!</v>
      </c>
      <c r="M53" s="11" t="e">
        <f>M11/Production!M10</f>
        <v>#DIV/0!</v>
      </c>
      <c r="N53" s="11" t="e">
        <f>N11/Production!N10</f>
        <v>#DIV/0!</v>
      </c>
      <c r="O53" s="11" t="e">
        <f>O11/Production!O10</f>
        <v>#DIV/0!</v>
      </c>
      <c r="P53" s="11" t="e">
        <f>P11/Production!P10</f>
        <v>#DIV/0!</v>
      </c>
      <c r="Q53" s="11">
        <f>Q11/Production!Q10</f>
        <v>5.4258139806815135</v>
      </c>
      <c r="R53" s="26"/>
      <c r="S53" s="26"/>
      <c r="T53" s="26"/>
      <c r="U53" s="26"/>
      <c r="V53" s="26"/>
      <c r="W53" s="26"/>
    </row>
    <row r="54" spans="1:37">
      <c r="A54" s="415"/>
      <c r="B54" s="2" t="s">
        <v>22</v>
      </c>
      <c r="C54" s="7" t="s">
        <v>88</v>
      </c>
      <c r="D54" s="249">
        <v>50</v>
      </c>
      <c r="E54" s="11">
        <f>E12/Production!E11</f>
        <v>0</v>
      </c>
      <c r="F54" s="11">
        <f>F12/Production!F11</f>
        <v>0</v>
      </c>
      <c r="G54" s="11">
        <f>G12/Production!G11</f>
        <v>0</v>
      </c>
      <c r="H54" s="11">
        <f>H12/Production!H11</f>
        <v>0</v>
      </c>
      <c r="I54" s="11" t="e">
        <f>I12/Production!I11</f>
        <v>#DIV/0!</v>
      </c>
      <c r="J54" s="11" t="e">
        <f>J12/Production!J11</f>
        <v>#DIV/0!</v>
      </c>
      <c r="K54" s="11" t="e">
        <f>K12/Production!K11</f>
        <v>#DIV/0!</v>
      </c>
      <c r="L54" s="11" t="e">
        <f>L12/Production!L11</f>
        <v>#DIV/0!</v>
      </c>
      <c r="M54" s="11" t="e">
        <f>M12/Production!M11</f>
        <v>#DIV/0!</v>
      </c>
      <c r="N54" s="11" t="e">
        <f>N12/Production!N11</f>
        <v>#DIV/0!</v>
      </c>
      <c r="O54" s="11" t="e">
        <f>O12/Production!O11</f>
        <v>#DIV/0!</v>
      </c>
      <c r="P54" s="11" t="e">
        <f>P12/Production!P11</f>
        <v>#DIV/0!</v>
      </c>
      <c r="Q54" s="11">
        <f>Q12/Production!Q11</f>
        <v>0</v>
      </c>
      <c r="R54" s="26"/>
      <c r="S54" s="26"/>
      <c r="T54" s="26"/>
      <c r="U54" s="26"/>
      <c r="V54" s="26"/>
      <c r="W54" s="26"/>
    </row>
    <row r="55" spans="1:37">
      <c r="A55" s="415"/>
      <c r="B55" s="257" t="s">
        <v>23</v>
      </c>
      <c r="C55" s="7" t="s">
        <v>88</v>
      </c>
      <c r="D55" s="209">
        <v>124</v>
      </c>
      <c r="E55" s="11">
        <f>E13/Production!E12</f>
        <v>0.30434104457455025</v>
      </c>
      <c r="F55" s="11">
        <f>F13/Production!F12</f>
        <v>4.8233089606836295</v>
      </c>
      <c r="G55" s="11">
        <f>G13/Production!G12</f>
        <v>27.451115462963877</v>
      </c>
      <c r="H55" s="11">
        <f>H13/Production!H12</f>
        <v>21.565524409415918</v>
      </c>
      <c r="I55" s="11" t="e">
        <f>I13/Production!I12</f>
        <v>#DIV/0!</v>
      </c>
      <c r="J55" s="11" t="e">
        <f>J13/Production!J12</f>
        <v>#DIV/0!</v>
      </c>
      <c r="K55" s="11" t="e">
        <f>K13/Production!K12</f>
        <v>#DIV/0!</v>
      </c>
      <c r="L55" s="11" t="e">
        <f>L13/Production!L12</f>
        <v>#DIV/0!</v>
      </c>
      <c r="M55" s="11" t="e">
        <f>M13/Production!M12</f>
        <v>#DIV/0!</v>
      </c>
      <c r="N55" s="11" t="e">
        <f>N13/Production!N12</f>
        <v>#DIV/0!</v>
      </c>
      <c r="O55" s="11" t="e">
        <f>O13/Production!O12</f>
        <v>#DIV/0!</v>
      </c>
      <c r="P55" s="11" t="e">
        <f>P13/Production!P12</f>
        <v>#DIV/0!</v>
      </c>
      <c r="Q55" s="11">
        <f>Q13/Production!Q12</f>
        <v>12.242119934203371</v>
      </c>
      <c r="R55" s="26"/>
      <c r="S55" s="26"/>
      <c r="T55" s="26"/>
      <c r="U55" s="26"/>
      <c r="V55" s="26"/>
      <c r="W55" s="26"/>
    </row>
    <row r="56" spans="1:37">
      <c r="A56" s="415"/>
      <c r="B56" s="2" t="s">
        <v>58</v>
      </c>
      <c r="C56" s="7" t="s">
        <v>82</v>
      </c>
      <c r="D56" s="215">
        <v>150000</v>
      </c>
      <c r="E56" s="11">
        <f>E14</f>
        <v>0</v>
      </c>
      <c r="F56" s="11">
        <f t="shared" ref="F56:Q56" si="33">F14</f>
        <v>0</v>
      </c>
      <c r="G56" s="11">
        <f t="shared" si="33"/>
        <v>39000</v>
      </c>
      <c r="H56" s="11">
        <f t="shared" si="33"/>
        <v>66550</v>
      </c>
      <c r="I56" s="11">
        <f t="shared" si="33"/>
        <v>0</v>
      </c>
      <c r="J56" s="11">
        <f t="shared" si="33"/>
        <v>0</v>
      </c>
      <c r="K56" s="11">
        <f t="shared" si="33"/>
        <v>0</v>
      </c>
      <c r="L56" s="11">
        <f t="shared" si="33"/>
        <v>0</v>
      </c>
      <c r="M56" s="11">
        <f t="shared" si="33"/>
        <v>0</v>
      </c>
      <c r="N56" s="11">
        <f t="shared" si="33"/>
        <v>0</v>
      </c>
      <c r="O56" s="11">
        <f t="shared" si="33"/>
        <v>0</v>
      </c>
      <c r="P56" s="11">
        <f t="shared" si="33"/>
        <v>0</v>
      </c>
      <c r="Q56" s="11">
        <f t="shared" si="33"/>
        <v>105550</v>
      </c>
      <c r="R56" s="26"/>
      <c r="S56" s="26"/>
      <c r="T56" s="26"/>
      <c r="U56" s="26"/>
      <c r="V56" s="26"/>
      <c r="W56" s="26"/>
    </row>
    <row r="57" spans="1:37">
      <c r="A57" s="415"/>
      <c r="B57" s="7" t="s">
        <v>24</v>
      </c>
      <c r="C57" s="7" t="s">
        <v>88</v>
      </c>
      <c r="D57" s="248">
        <v>3.65</v>
      </c>
      <c r="E57" s="11">
        <f>E16/Production!E13</f>
        <v>1.7161941629663364</v>
      </c>
      <c r="F57" s="11">
        <f>F16/Production!F13</f>
        <v>1.9895267343885346</v>
      </c>
      <c r="G57" s="11">
        <f>G16/Production!G13</f>
        <v>8.822112618166873</v>
      </c>
      <c r="H57" s="11">
        <f>H16/Production!H13</f>
        <v>1.599604526904792</v>
      </c>
      <c r="I57" s="11" t="e">
        <f>I16/Production!I13</f>
        <v>#DIV/0!</v>
      </c>
      <c r="J57" s="11" t="e">
        <f>J16/Production!J13</f>
        <v>#DIV/0!</v>
      </c>
      <c r="K57" s="11" t="e">
        <f>K16/Production!K13</f>
        <v>#DIV/0!</v>
      </c>
      <c r="L57" s="11" t="e">
        <f>L16/Production!L13</f>
        <v>#DIV/0!</v>
      </c>
      <c r="M57" s="11" t="e">
        <f>M16/Production!M13</f>
        <v>#DIV/0!</v>
      </c>
      <c r="N57" s="11" t="e">
        <f>N16/Production!N13</f>
        <v>#DIV/0!</v>
      </c>
      <c r="O57" s="11" t="e">
        <f>O16/Production!O13</f>
        <v>#DIV/0!</v>
      </c>
      <c r="P57" s="11" t="e">
        <f>P16/Production!P13</f>
        <v>#DIV/0!</v>
      </c>
      <c r="Q57" s="11">
        <f>Q16/Production!Q13</f>
        <v>3.4895038359072972</v>
      </c>
      <c r="R57" s="11"/>
      <c r="S57" s="11"/>
      <c r="T57" s="11"/>
      <c r="U57" s="11"/>
      <c r="V57" s="11"/>
      <c r="W57" s="11"/>
    </row>
    <row r="58" spans="1:37">
      <c r="A58" s="415"/>
      <c r="B58" s="7" t="s">
        <v>25</v>
      </c>
      <c r="C58" s="7" t="s">
        <v>88</v>
      </c>
      <c r="D58" s="248">
        <v>15.54</v>
      </c>
      <c r="E58" s="11">
        <f>E17/Production!E14</f>
        <v>13.025099823117706</v>
      </c>
      <c r="F58" s="11">
        <f>F17/Production!F14</f>
        <v>14.024960948474323</v>
      </c>
      <c r="G58" s="11">
        <f>G17/Production!G14</f>
        <v>14.469896753676945</v>
      </c>
      <c r="H58" s="11">
        <f>H17/Production!H14</f>
        <v>13.36942550017168</v>
      </c>
      <c r="I58" s="11" t="e">
        <f>I17/Production!I14</f>
        <v>#DIV/0!</v>
      </c>
      <c r="J58" s="11" t="e">
        <f>J17/Production!J14</f>
        <v>#DIV/0!</v>
      </c>
      <c r="K58" s="11" t="e">
        <f>K17/Production!K14</f>
        <v>#DIV/0!</v>
      </c>
      <c r="L58" s="11" t="e">
        <f>L17/Production!L14</f>
        <v>#DIV/0!</v>
      </c>
      <c r="M58" s="11" t="e">
        <f>M17/Production!M14</f>
        <v>#DIV/0!</v>
      </c>
      <c r="N58" s="11" t="e">
        <f>N17/Production!N14</f>
        <v>#DIV/0!</v>
      </c>
      <c r="O58" s="11" t="e">
        <f>O17/Production!O14</f>
        <v>#DIV/0!</v>
      </c>
      <c r="P58" s="11" t="e">
        <f>P17/Production!P14</f>
        <v>#DIV/0!</v>
      </c>
      <c r="Q58" s="11">
        <f>Q17/Production!Q14</f>
        <v>13.720584210156133</v>
      </c>
      <c r="R58" s="11"/>
      <c r="S58" s="11"/>
      <c r="T58" s="11"/>
      <c r="U58" s="11"/>
      <c r="V58" s="11"/>
      <c r="W58" s="11"/>
    </row>
    <row r="59" spans="1:37">
      <c r="A59" s="415"/>
      <c r="B59" s="7" t="s">
        <v>26</v>
      </c>
      <c r="C59" s="7" t="s">
        <v>88</v>
      </c>
      <c r="D59" s="248">
        <v>55</v>
      </c>
      <c r="E59" s="11">
        <f>E18/Production!E15</f>
        <v>79.097107120277499</v>
      </c>
      <c r="F59" s="11">
        <f>F18/Production!F15</f>
        <v>81.080450654288455</v>
      </c>
      <c r="G59" s="11">
        <f>G18/Production!G15</f>
        <v>29.015731967175952</v>
      </c>
      <c r="H59" s="11">
        <f>H18/Production!H15</f>
        <v>94.184235283231288</v>
      </c>
      <c r="I59" s="11" t="e">
        <f>I18/Production!I15</f>
        <v>#DIV/0!</v>
      </c>
      <c r="J59" s="11" t="e">
        <f>J18/Production!J15</f>
        <v>#DIV/0!</v>
      </c>
      <c r="K59" s="11" t="e">
        <f>K18/Production!K15</f>
        <v>#DIV/0!</v>
      </c>
      <c r="L59" s="11" t="e">
        <f>L18/Production!L15</f>
        <v>#DIV/0!</v>
      </c>
      <c r="M59" s="11" t="e">
        <f>M18/Production!M15</f>
        <v>#DIV/0!</v>
      </c>
      <c r="N59" s="11" t="e">
        <f>N18/Production!N15</f>
        <v>#DIV/0!</v>
      </c>
      <c r="O59" s="11" t="e">
        <f>O18/Production!O15</f>
        <v>#DIV/0!</v>
      </c>
      <c r="P59" s="11" t="e">
        <f>P18/Production!P15</f>
        <v>#DIV/0!</v>
      </c>
      <c r="Q59" s="11">
        <f>Q18/Production!Q15</f>
        <v>65.91135056963094</v>
      </c>
      <c r="R59" s="11"/>
      <c r="S59" s="11"/>
      <c r="T59" s="11"/>
      <c r="U59" s="11"/>
      <c r="V59" s="11"/>
      <c r="W59" s="11"/>
    </row>
    <row r="60" spans="1:37">
      <c r="A60" s="415"/>
      <c r="B60" s="7" t="s">
        <v>27</v>
      </c>
      <c r="C60" s="7" t="s">
        <v>88</v>
      </c>
      <c r="D60" s="248">
        <v>27.59</v>
      </c>
      <c r="E60" s="11">
        <f>E19/Production!E16</f>
        <v>15.211687622761616</v>
      </c>
      <c r="F60" s="11">
        <f>F19/Production!F16</f>
        <v>20.968823332215891</v>
      </c>
      <c r="G60" s="11">
        <f>G19/Production!G16</f>
        <v>19.297871205249958</v>
      </c>
      <c r="H60" s="11">
        <f>H19/Production!H16</f>
        <v>11.962932891355258</v>
      </c>
      <c r="I60" s="11" t="e">
        <f>I19/Production!I16</f>
        <v>#DIV/0!</v>
      </c>
      <c r="J60" s="11" t="e">
        <f>J19/Production!J16</f>
        <v>#DIV/0!</v>
      </c>
      <c r="K60" s="11" t="e">
        <f>K19/Production!K16</f>
        <v>#DIV/0!</v>
      </c>
      <c r="L60" s="11" t="e">
        <f>L19/Production!L16</f>
        <v>#DIV/0!</v>
      </c>
      <c r="M60" s="11" t="e">
        <f>M19/Production!M16</f>
        <v>#DIV/0!</v>
      </c>
      <c r="N60" s="11" t="e">
        <f>N19/Production!N16</f>
        <v>#DIV/0!</v>
      </c>
      <c r="O60" s="11" t="e">
        <f>O19/Production!O16</f>
        <v>#DIV/0!</v>
      </c>
      <c r="P60" s="11" t="e">
        <f>P19/Production!P16</f>
        <v>#DIV/0!</v>
      </c>
      <c r="Q60" s="11">
        <f>Q19/Production!Q16</f>
        <v>16.849908794418663</v>
      </c>
      <c r="R60" s="11"/>
      <c r="S60" s="11"/>
      <c r="T60" s="11"/>
      <c r="U60" s="11"/>
      <c r="V60" s="11"/>
      <c r="W60" s="11"/>
    </row>
    <row r="61" spans="1:37">
      <c r="A61" s="415"/>
      <c r="B61" s="7" t="s">
        <v>59</v>
      </c>
      <c r="C61" s="7" t="s">
        <v>82</v>
      </c>
      <c r="D61" s="215">
        <v>28000</v>
      </c>
      <c r="E61" s="11">
        <f t="shared" ref="E61:Q61" si="34">E20</f>
        <v>0</v>
      </c>
      <c r="F61" s="11">
        <f t="shared" si="34"/>
        <v>0</v>
      </c>
      <c r="G61" s="11">
        <f t="shared" si="34"/>
        <v>0</v>
      </c>
      <c r="H61" s="11">
        <f t="shared" si="34"/>
        <v>5000</v>
      </c>
      <c r="I61" s="11">
        <f t="shared" si="34"/>
        <v>0</v>
      </c>
      <c r="J61" s="11">
        <f t="shared" si="34"/>
        <v>0</v>
      </c>
      <c r="K61" s="11">
        <f t="shared" si="34"/>
        <v>0</v>
      </c>
      <c r="L61" s="11">
        <f t="shared" si="34"/>
        <v>0</v>
      </c>
      <c r="M61" s="11">
        <f t="shared" si="34"/>
        <v>0</v>
      </c>
      <c r="N61" s="11">
        <f t="shared" si="34"/>
        <v>0</v>
      </c>
      <c r="O61" s="11">
        <f t="shared" si="34"/>
        <v>0</v>
      </c>
      <c r="P61" s="11">
        <f t="shared" si="34"/>
        <v>0</v>
      </c>
      <c r="Q61" s="11">
        <f t="shared" si="34"/>
        <v>5000</v>
      </c>
      <c r="R61" s="26"/>
      <c r="S61" s="26"/>
      <c r="T61" s="26"/>
      <c r="U61" s="26"/>
      <c r="V61" s="26"/>
      <c r="W61" s="26"/>
    </row>
    <row r="62" spans="1:37">
      <c r="A62" s="410" t="s">
        <v>28</v>
      </c>
      <c r="B62" s="2" t="s">
        <v>29</v>
      </c>
      <c r="C62" s="7" t="s">
        <v>88</v>
      </c>
      <c r="D62" s="247">
        <v>10.220000000000001</v>
      </c>
      <c r="E62" s="11">
        <f>E21/Production!E17</f>
        <v>6.7637314043586727</v>
      </c>
      <c r="F62" s="11">
        <f>F21/Production!F17</f>
        <v>7.8506634680260881</v>
      </c>
      <c r="G62" s="11">
        <f>G21/Production!G17</f>
        <v>10.043740940750908</v>
      </c>
      <c r="H62" s="11">
        <f>H21/Production!H17</f>
        <v>7.6707596059573273</v>
      </c>
      <c r="I62" s="11" t="e">
        <f>I21/Production!I17</f>
        <v>#DIV/0!</v>
      </c>
      <c r="J62" s="11" t="e">
        <f>J21/Production!J17</f>
        <v>#DIV/0!</v>
      </c>
      <c r="K62" s="11" t="e">
        <f>K21/Production!K17</f>
        <v>#DIV/0!</v>
      </c>
      <c r="L62" s="11" t="e">
        <f>L21/Production!L17</f>
        <v>#DIV/0!</v>
      </c>
      <c r="M62" s="11" t="e">
        <f>M21/Production!M17</f>
        <v>#DIV/0!</v>
      </c>
      <c r="N62" s="11" t="e">
        <f>N21/Production!N17</f>
        <v>#DIV/0!</v>
      </c>
      <c r="O62" s="11" t="e">
        <f>O21/Production!O17</f>
        <v>#DIV/0!</v>
      </c>
      <c r="P62" s="11" t="e">
        <f>P21/Production!P17</f>
        <v>#DIV/0!</v>
      </c>
      <c r="Q62" s="11">
        <f>Q21/Production!Q17</f>
        <v>8.0898568054180675</v>
      </c>
      <c r="R62" s="11"/>
      <c r="S62" s="11"/>
      <c r="T62" s="11"/>
      <c r="U62" s="11"/>
      <c r="V62" s="11"/>
      <c r="W62" s="11"/>
    </row>
    <row r="63" spans="1:37">
      <c r="A63" s="410"/>
      <c r="B63" s="2" t="s">
        <v>30</v>
      </c>
      <c r="C63" s="7" t="s">
        <v>88</v>
      </c>
      <c r="D63" s="248">
        <v>0.23</v>
      </c>
      <c r="E63" s="11">
        <f>E22/Production!E18</f>
        <v>1.8973323844115049</v>
      </c>
      <c r="F63" s="11">
        <f>F22/Production!F18</f>
        <v>0.26793422710898968</v>
      </c>
      <c r="G63" s="11">
        <f>G22/Production!G18</f>
        <v>0</v>
      </c>
      <c r="H63" s="11" t="e">
        <f>H22/Production!H18</f>
        <v>#DIV/0!</v>
      </c>
      <c r="I63" s="11" t="e">
        <f>I22/Production!I18</f>
        <v>#DIV/0!</v>
      </c>
      <c r="J63" s="11" t="e">
        <f>J22/Production!J18</f>
        <v>#DIV/0!</v>
      </c>
      <c r="K63" s="11" t="e">
        <f>K22/Production!K18</f>
        <v>#DIV/0!</v>
      </c>
      <c r="L63" s="11" t="e">
        <f>L22/Production!L18</f>
        <v>#DIV/0!</v>
      </c>
      <c r="M63" s="11" t="e">
        <f>M22/Production!M18</f>
        <v>#DIV/0!</v>
      </c>
      <c r="N63" s="11" t="e">
        <f>N22/Production!N18</f>
        <v>#DIV/0!</v>
      </c>
      <c r="O63" s="11" t="e">
        <f>O22/Production!O18</f>
        <v>#DIV/0!</v>
      </c>
      <c r="P63" s="11" t="e">
        <f>P22/Production!P18</f>
        <v>#DIV/0!</v>
      </c>
      <c r="Q63" s="11">
        <f>Q22/Production!Q18</f>
        <v>0.63830422818343791</v>
      </c>
      <c r="R63" s="11"/>
      <c r="S63" s="11"/>
      <c r="T63" s="11"/>
      <c r="U63" s="11"/>
      <c r="V63" s="11"/>
      <c r="W63" s="11"/>
    </row>
    <row r="64" spans="1:37">
      <c r="A64" s="410"/>
      <c r="B64" s="2" t="s">
        <v>31</v>
      </c>
      <c r="C64" s="7" t="s">
        <v>88</v>
      </c>
      <c r="D64" s="248">
        <v>11.77</v>
      </c>
      <c r="E64" s="11">
        <f>E23/Production!E19</f>
        <v>15.485660085368949</v>
      </c>
      <c r="F64" s="11">
        <f>F23/Production!F19</f>
        <v>1.3256466796595019</v>
      </c>
      <c r="G64" s="11">
        <f>G23/Production!G19</f>
        <v>21.184191825330714</v>
      </c>
      <c r="H64" s="11">
        <f>H23/Production!H19</f>
        <v>0</v>
      </c>
      <c r="I64" s="11" t="e">
        <f>I23/Production!I19</f>
        <v>#DIV/0!</v>
      </c>
      <c r="J64" s="11" t="e">
        <f>J23/Production!J19</f>
        <v>#DIV/0!</v>
      </c>
      <c r="K64" s="11" t="e">
        <f>K23/Production!K19</f>
        <v>#DIV/0!</v>
      </c>
      <c r="L64" s="11" t="e">
        <f>L23/Production!L19</f>
        <v>#DIV/0!</v>
      </c>
      <c r="M64" s="11" t="e">
        <f>M23/Production!M19</f>
        <v>#DIV/0!</v>
      </c>
      <c r="N64" s="11" t="e">
        <f>N23/Production!N19</f>
        <v>#DIV/0!</v>
      </c>
      <c r="O64" s="11" t="e">
        <f>O23/Production!O19</f>
        <v>#DIV/0!</v>
      </c>
      <c r="P64" s="11" t="e">
        <f>P23/Production!P19</f>
        <v>#DIV/0!</v>
      </c>
      <c r="Q64" s="11">
        <f>Q23/Production!Q19</f>
        <v>10.703581099472439</v>
      </c>
      <c r="R64" s="11"/>
      <c r="S64" s="11"/>
      <c r="T64" s="11"/>
      <c r="U64" s="11"/>
      <c r="V64" s="11"/>
      <c r="W64" s="11"/>
    </row>
    <row r="65" spans="1:23">
      <c r="A65" s="410"/>
      <c r="B65" s="2" t="s">
        <v>32</v>
      </c>
      <c r="C65" s="7" t="s">
        <v>88</v>
      </c>
      <c r="D65" s="247">
        <v>14.5</v>
      </c>
      <c r="E65" s="11">
        <f>E24/Production!E20</f>
        <v>11.279032771237672</v>
      </c>
      <c r="F65" s="11">
        <f>F24/Production!F20</f>
        <v>9.9379630187315549</v>
      </c>
      <c r="G65" s="11">
        <f>G24/Production!G20</f>
        <v>16.596469217671832</v>
      </c>
      <c r="H65" s="11">
        <f>H24/Production!H20</f>
        <v>10.163705485297539</v>
      </c>
      <c r="I65" s="11" t="e">
        <f>I24/Production!I20</f>
        <v>#DIV/0!</v>
      </c>
      <c r="J65" s="11" t="e">
        <f>J24/Production!J20</f>
        <v>#DIV/0!</v>
      </c>
      <c r="K65" s="11" t="e">
        <f>K24/Production!K20</f>
        <v>#DIV/0!</v>
      </c>
      <c r="L65" s="11" t="e">
        <f>L24/Production!L20</f>
        <v>#DIV/0!</v>
      </c>
      <c r="M65" s="11" t="e">
        <f>M24/Production!M20</f>
        <v>#DIV/0!</v>
      </c>
      <c r="N65" s="11" t="e">
        <f>N24/Production!N20</f>
        <v>#DIV/0!</v>
      </c>
      <c r="O65" s="11" t="e">
        <f>O24/Production!O20</f>
        <v>#DIV/0!</v>
      </c>
      <c r="P65" s="11" t="e">
        <f>P24/Production!P20</f>
        <v>#DIV/0!</v>
      </c>
      <c r="Q65" s="11">
        <f>Q24/Production!Q20</f>
        <v>11.876794570608196</v>
      </c>
      <c r="R65" s="11"/>
      <c r="S65" s="11"/>
      <c r="T65" s="11"/>
      <c r="U65" s="11"/>
      <c r="V65" s="11"/>
      <c r="W65" s="11"/>
    </row>
    <row r="66" spans="1:23">
      <c r="A66" s="410"/>
      <c r="B66" s="2" t="s">
        <v>33</v>
      </c>
      <c r="C66" s="7" t="s">
        <v>88</v>
      </c>
      <c r="D66" s="247">
        <v>6.73</v>
      </c>
      <c r="E66" s="11">
        <f>E25/Production!E21</f>
        <v>12.407967486037892</v>
      </c>
      <c r="F66" s="11">
        <f>F25/Production!F21</f>
        <v>21.204249379652605</v>
      </c>
      <c r="G66" s="11">
        <f>G25/Production!G21</f>
        <v>3.7979563906192602</v>
      </c>
      <c r="H66" s="11" t="e">
        <f>H25/Production!H21</f>
        <v>#DIV/0!</v>
      </c>
      <c r="I66" s="11" t="e">
        <f>I25/Production!I21</f>
        <v>#DIV/0!</v>
      </c>
      <c r="J66" s="11" t="e">
        <f>J25/Production!J21</f>
        <v>#DIV/0!</v>
      </c>
      <c r="K66" s="11" t="e">
        <f>K25/Production!K21</f>
        <v>#DIV/0!</v>
      </c>
      <c r="L66" s="11" t="e">
        <f>L25/Production!L21</f>
        <v>#DIV/0!</v>
      </c>
      <c r="M66" s="11" t="e">
        <f>M25/Production!M21</f>
        <v>#DIV/0!</v>
      </c>
      <c r="N66" s="11" t="e">
        <f>N25/Production!N21</f>
        <v>#DIV/0!</v>
      </c>
      <c r="O66" s="11" t="e">
        <f>O25/Production!O21</f>
        <v>#DIV/0!</v>
      </c>
      <c r="P66" s="11" t="e">
        <f>P25/Production!P21</f>
        <v>#DIV/0!</v>
      </c>
      <c r="Q66" s="11">
        <f>Q25/Production!Q21</f>
        <v>9.2199260369489444</v>
      </c>
      <c r="R66" s="11"/>
      <c r="S66" s="11"/>
      <c r="T66" s="11"/>
      <c r="U66" s="11"/>
      <c r="V66" s="11"/>
      <c r="W66" s="11"/>
    </row>
    <row r="67" spans="1:23">
      <c r="A67" s="410"/>
      <c r="B67" s="2" t="s">
        <v>34</v>
      </c>
      <c r="C67" s="7" t="s">
        <v>88</v>
      </c>
      <c r="D67" s="246">
        <v>16.28</v>
      </c>
      <c r="E67" s="11">
        <f>E26/Production!E22</f>
        <v>9.0048055431381311</v>
      </c>
      <c r="F67" s="11">
        <f>F26/Production!F22</f>
        <v>17.016220854441347</v>
      </c>
      <c r="G67" s="11">
        <f>G26/Production!G22</f>
        <v>12.524477560980509</v>
      </c>
      <c r="H67" s="11">
        <f>H26/Production!H22</f>
        <v>0.94371343390643558</v>
      </c>
      <c r="I67" s="11" t="e">
        <f>I26/Production!I22</f>
        <v>#DIV/0!</v>
      </c>
      <c r="J67" s="11" t="e">
        <f>J26/Production!J22</f>
        <v>#DIV/0!</v>
      </c>
      <c r="K67" s="11" t="e">
        <f>K26/Production!K22</f>
        <v>#DIV/0!</v>
      </c>
      <c r="L67" s="11" t="e">
        <f>L26/Production!L22</f>
        <v>#DIV/0!</v>
      </c>
      <c r="M67" s="11" t="e">
        <f>M26/Production!M22</f>
        <v>#DIV/0!</v>
      </c>
      <c r="N67" s="11" t="e">
        <f>N26/Production!N22</f>
        <v>#DIV/0!</v>
      </c>
      <c r="O67" s="11" t="e">
        <f>O26/Production!O22</f>
        <v>#DIV/0!</v>
      </c>
      <c r="P67" s="11" t="e">
        <f>P26/Production!P22</f>
        <v>#DIV/0!</v>
      </c>
      <c r="Q67" s="11">
        <f>Q26/Production!Q22</f>
        <v>9.3685745261505105</v>
      </c>
      <c r="R67" s="11"/>
      <c r="S67" s="11"/>
      <c r="T67" s="11"/>
      <c r="U67" s="11"/>
      <c r="V67" s="11"/>
      <c r="W67" s="11"/>
    </row>
    <row r="68" spans="1:23">
      <c r="A68" s="410"/>
      <c r="B68" s="2" t="s">
        <v>35</v>
      </c>
      <c r="C68" s="7" t="s">
        <v>88</v>
      </c>
      <c r="D68" s="246">
        <v>6.08</v>
      </c>
      <c r="E68" s="11">
        <f>E27/Production!E23</f>
        <v>10.805801370461438</v>
      </c>
      <c r="F68" s="11">
        <f>F27/Production!F23</f>
        <v>3.1876285551212051</v>
      </c>
      <c r="G68" s="11">
        <f>G27/Production!G23</f>
        <v>1.8157339537091008</v>
      </c>
      <c r="H68" s="11">
        <f>H27/Production!H23</f>
        <v>2.0324838746316125</v>
      </c>
      <c r="I68" s="11" t="e">
        <f>I27/Production!I23</f>
        <v>#DIV/0!</v>
      </c>
      <c r="J68" s="11" t="e">
        <f>J27/Production!J23</f>
        <v>#DIV/0!</v>
      </c>
      <c r="K68" s="11" t="e">
        <f>K27/Production!K23</f>
        <v>#DIV/0!</v>
      </c>
      <c r="L68" s="11" t="e">
        <f>L27/Production!L23</f>
        <v>#DIV/0!</v>
      </c>
      <c r="M68" s="11" t="e">
        <f>M27/Production!M23</f>
        <v>#DIV/0!</v>
      </c>
      <c r="N68" s="11" t="e">
        <f>N27/Production!N23</f>
        <v>#DIV/0!</v>
      </c>
      <c r="O68" s="11" t="e">
        <f>O27/Production!O23</f>
        <v>#DIV/0!</v>
      </c>
      <c r="P68" s="11" t="e">
        <f>P27/Production!P23</f>
        <v>#DIV/0!</v>
      </c>
      <c r="Q68" s="11">
        <f>Q27/Production!Q23</f>
        <v>4.2009210973275346</v>
      </c>
      <c r="R68" s="11"/>
      <c r="S68" s="11"/>
      <c r="T68" s="11"/>
      <c r="U68" s="11"/>
      <c r="V68" s="11"/>
      <c r="W68" s="11"/>
    </row>
    <row r="69" spans="1:23">
      <c r="A69" s="410"/>
      <c r="B69" s="2" t="s">
        <v>36</v>
      </c>
      <c r="C69" s="7" t="s">
        <v>88</v>
      </c>
      <c r="D69" s="249">
        <v>3.84</v>
      </c>
      <c r="E69" s="11">
        <f>E28/Production!E24</f>
        <v>5.0737100737100738</v>
      </c>
      <c r="F69" s="11">
        <f>F28/Production!F24</f>
        <v>3.5800954328561692</v>
      </c>
      <c r="G69" s="11">
        <f>G28/Production!G24</f>
        <v>3.9669421487603302</v>
      </c>
      <c r="H69" s="11">
        <f>H28/Production!H24</f>
        <v>7.6150221729490024</v>
      </c>
      <c r="I69" s="11" t="e">
        <f>I28/Production!I24</f>
        <v>#DIV/0!</v>
      </c>
      <c r="J69" s="11" t="e">
        <f>J28/Production!J24</f>
        <v>#DIV/0!</v>
      </c>
      <c r="K69" s="11" t="e">
        <f>K28/Production!K24</f>
        <v>#DIV/0!</v>
      </c>
      <c r="L69" s="11" t="e">
        <f>L28/Production!L24</f>
        <v>#DIV/0!</v>
      </c>
      <c r="M69" s="11" t="e">
        <f>M28/Production!M24</f>
        <v>#DIV/0!</v>
      </c>
      <c r="N69" s="11" t="e">
        <f>N28/Production!N24</f>
        <v>#DIV/0!</v>
      </c>
      <c r="O69" s="11" t="e">
        <f>O28/Production!O24</f>
        <v>#DIV/0!</v>
      </c>
      <c r="P69" s="11" t="e">
        <f>P28/Production!P24</f>
        <v>#DIV/0!</v>
      </c>
      <c r="Q69" s="11">
        <f>Q28/Production!Q24</f>
        <v>5.1169621686661717</v>
      </c>
      <c r="R69" s="11"/>
      <c r="S69" s="11"/>
      <c r="T69" s="11"/>
      <c r="U69" s="11"/>
      <c r="V69" s="11"/>
      <c r="W69" s="11"/>
    </row>
    <row r="70" spans="1:23">
      <c r="A70" s="410"/>
      <c r="B70" s="2" t="s">
        <v>37</v>
      </c>
      <c r="C70" s="7" t="s">
        <v>88</v>
      </c>
      <c r="D70" s="209">
        <v>252.08</v>
      </c>
      <c r="E70" s="11">
        <f>E29/Production!E25</f>
        <v>278.53633391053597</v>
      </c>
      <c r="F70" s="11">
        <f>F29/Production!F25</f>
        <v>329.35793253478943</v>
      </c>
      <c r="G70" s="11">
        <f>G29/Production!G25</f>
        <v>380.26542440052435</v>
      </c>
      <c r="H70" s="11">
        <f>H29/Production!H25</f>
        <v>395.99887251859508</v>
      </c>
      <c r="I70" s="11" t="e">
        <f>I29/Production!I25</f>
        <v>#DIV/0!</v>
      </c>
      <c r="J70" s="11" t="e">
        <f>J29/Production!J25</f>
        <v>#DIV/0!</v>
      </c>
      <c r="K70" s="11" t="e">
        <f>K29/Production!K25</f>
        <v>#DIV/0!</v>
      </c>
      <c r="L70" s="11" t="e">
        <f>L29/Production!L25</f>
        <v>#DIV/0!</v>
      </c>
      <c r="M70" s="11" t="e">
        <f>M29/Production!M25</f>
        <v>#DIV/0!</v>
      </c>
      <c r="N70" s="11" t="e">
        <f>N29/Production!N25</f>
        <v>#DIV/0!</v>
      </c>
      <c r="O70" s="11" t="e">
        <f>O29/Production!O25</f>
        <v>#DIV/0!</v>
      </c>
      <c r="P70" s="11" t="e">
        <f>P29/Production!P25</f>
        <v>#DIV/0!</v>
      </c>
      <c r="Q70" s="11">
        <f>Q29/Production!Q25</f>
        <v>354.45654881721765</v>
      </c>
      <c r="R70" s="11"/>
      <c r="S70" s="11"/>
      <c r="T70" s="11"/>
      <c r="U70" s="11"/>
      <c r="V70" s="11"/>
      <c r="W70" s="11"/>
    </row>
    <row r="71" spans="1:23">
      <c r="A71" s="410"/>
      <c r="B71" s="2" t="s">
        <v>38</v>
      </c>
      <c r="C71" s="7" t="s">
        <v>88</v>
      </c>
      <c r="D71" s="209" t="s">
        <v>64</v>
      </c>
      <c r="E71" s="11">
        <f>E30/Production!E26</f>
        <v>0.2974117998870161</v>
      </c>
      <c r="F71" s="11">
        <f>F30/Production!F26</f>
        <v>0.23768302857287321</v>
      </c>
      <c r="G71" s="11">
        <f>G30/Production!G26</f>
        <v>0.35633161040705058</v>
      </c>
      <c r="H71" s="11">
        <f>H30/Production!H26</f>
        <v>0</v>
      </c>
      <c r="I71" s="11" t="e">
        <f>I30/Production!I26</f>
        <v>#DIV/0!</v>
      </c>
      <c r="J71" s="11" t="e">
        <f>J30/Production!J26</f>
        <v>#DIV/0!</v>
      </c>
      <c r="K71" s="11" t="e">
        <f>K30/Production!K26</f>
        <v>#DIV/0!</v>
      </c>
      <c r="L71" s="11" t="e">
        <f>L30/Production!L26</f>
        <v>#DIV/0!</v>
      </c>
      <c r="M71" s="11" t="e">
        <f>M30/Production!M26</f>
        <v>#DIV/0!</v>
      </c>
      <c r="N71" s="11" t="e">
        <f>N30/Production!N26</f>
        <v>#DIV/0!</v>
      </c>
      <c r="O71" s="11" t="e">
        <f>O30/Production!O26</f>
        <v>#DIV/0!</v>
      </c>
      <c r="P71" s="11" t="e">
        <f>P30/Production!P26</f>
        <v>#DIV/0!</v>
      </c>
      <c r="Q71" s="11">
        <f>Q30/Production!Q26</f>
        <v>0.2153382631214828</v>
      </c>
      <c r="R71" s="11"/>
      <c r="S71" s="11"/>
      <c r="T71" s="11"/>
      <c r="U71" s="11"/>
      <c r="V71" s="11"/>
      <c r="W71" s="11"/>
    </row>
    <row r="72" spans="1:23">
      <c r="A72" s="410"/>
      <c r="B72" s="2" t="s">
        <v>39</v>
      </c>
      <c r="C72" s="7" t="s">
        <v>88</v>
      </c>
      <c r="D72" s="209" t="s">
        <v>64</v>
      </c>
      <c r="E72" s="11">
        <f>E31/Production!E27</f>
        <v>0</v>
      </c>
      <c r="F72" s="11">
        <f>F31/Production!F27</f>
        <v>2.0632705821894741E-2</v>
      </c>
      <c r="G72" s="11">
        <f>G31/Production!G27</f>
        <v>2.5595918986676767E-3</v>
      </c>
      <c r="H72" s="11">
        <f>H31/Production!H27</f>
        <v>0</v>
      </c>
      <c r="I72" s="11" t="e">
        <f>I31/Production!I27</f>
        <v>#DIV/0!</v>
      </c>
      <c r="J72" s="11" t="e">
        <f>J31/Production!J27</f>
        <v>#DIV/0!</v>
      </c>
      <c r="K72" s="11" t="e">
        <f>K31/Production!K27</f>
        <v>#DIV/0!</v>
      </c>
      <c r="L72" s="11" t="e">
        <f>L31/Production!L27</f>
        <v>#DIV/0!</v>
      </c>
      <c r="M72" s="11" t="e">
        <f>M31/Production!M27</f>
        <v>#DIV/0!</v>
      </c>
      <c r="N72" s="11" t="e">
        <f>N31/Production!N27</f>
        <v>#DIV/0!</v>
      </c>
      <c r="O72" s="11" t="e">
        <f>O31/Production!O27</f>
        <v>#DIV/0!</v>
      </c>
      <c r="P72" s="11" t="e">
        <f>P31/Production!P27</f>
        <v>#DIV/0!</v>
      </c>
      <c r="Q72" s="11">
        <f>Q31/Production!Q27</f>
        <v>5.3049816700800369E-3</v>
      </c>
      <c r="R72" s="11"/>
      <c r="S72" s="11"/>
      <c r="T72" s="11"/>
      <c r="U72" s="11"/>
      <c r="V72" s="11"/>
      <c r="W72" s="11"/>
    </row>
    <row r="73" spans="1:23">
      <c r="A73" s="410"/>
      <c r="B73" s="2" t="s">
        <v>40</v>
      </c>
      <c r="C73" s="7" t="s">
        <v>88</v>
      </c>
      <c r="D73" s="209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>
      <c r="A74" s="410"/>
      <c r="B74" s="2" t="s">
        <v>42</v>
      </c>
      <c r="C74" s="7" t="s">
        <v>88</v>
      </c>
      <c r="D74" s="32">
        <v>11.3</v>
      </c>
      <c r="E74" s="11">
        <f>E33/Production!E29</f>
        <v>20.54996355289483</v>
      </c>
      <c r="F74" s="11">
        <f>F33/Production!F29</f>
        <v>6.6195120945291075</v>
      </c>
      <c r="G74" s="11">
        <f>G33/Production!G29</f>
        <v>5.4484228581518241</v>
      </c>
      <c r="H74" s="11">
        <f>H33/Production!H29</f>
        <v>6.535765936144176</v>
      </c>
      <c r="I74" s="11" t="e">
        <f>I33/Production!I29</f>
        <v>#DIV/0!</v>
      </c>
      <c r="J74" s="11" t="e">
        <f>J33/Production!J29</f>
        <v>#DIV/0!</v>
      </c>
      <c r="K74" s="11" t="e">
        <f>K33/Production!K29</f>
        <v>#DIV/0!</v>
      </c>
      <c r="L74" s="11" t="e">
        <f>L33/Production!L29</f>
        <v>#DIV/0!</v>
      </c>
      <c r="M74" s="11" t="e">
        <f>M33/Production!M29</f>
        <v>#DIV/0!</v>
      </c>
      <c r="N74" s="11" t="e">
        <f>N33/Production!N29</f>
        <v>#DIV/0!</v>
      </c>
      <c r="O74" s="11" t="e">
        <f>O33/Production!O29</f>
        <v>#DIV/0!</v>
      </c>
      <c r="P74" s="11" t="e">
        <f>P33/Production!P29</f>
        <v>#DIV/0!</v>
      </c>
      <c r="Q74" s="11">
        <f>Q33/Production!Q29</f>
        <v>10.135179545603926</v>
      </c>
      <c r="R74" s="11"/>
      <c r="S74" s="11"/>
      <c r="T74" s="11"/>
      <c r="U74" s="11"/>
      <c r="V74" s="11"/>
      <c r="W74" s="11"/>
    </row>
    <row r="75" spans="1:23">
      <c r="A75" s="72"/>
      <c r="B75" s="2" t="s">
        <v>43</v>
      </c>
      <c r="C75" s="7" t="s">
        <v>88</v>
      </c>
      <c r="D75" s="32"/>
      <c r="E75" s="400"/>
      <c r="F75" s="400"/>
      <c r="G75" s="400"/>
      <c r="H75" s="400"/>
      <c r="I75" s="400"/>
      <c r="J75" s="400"/>
      <c r="K75" s="400"/>
      <c r="L75" s="400"/>
      <c r="M75" s="400"/>
      <c r="N75" s="400"/>
      <c r="O75" s="400"/>
      <c r="P75" s="400"/>
      <c r="Q75" s="400"/>
      <c r="R75" s="11"/>
      <c r="S75" s="11"/>
      <c r="T75" s="11"/>
      <c r="U75" s="11"/>
      <c r="V75" s="11"/>
      <c r="W75" s="11"/>
    </row>
    <row r="76" spans="1:23">
      <c r="A76" s="72"/>
      <c r="B76" s="83"/>
      <c r="C76" s="70"/>
      <c r="D76" s="160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29"/>
      <c r="S76" s="129"/>
      <c r="T76" s="129"/>
      <c r="U76" s="129"/>
      <c r="V76" s="129"/>
      <c r="W76" s="129"/>
    </row>
    <row r="77" spans="1:23">
      <c r="Q77" s="29"/>
    </row>
    <row r="78" spans="1:23" ht="18.5">
      <c r="A78" s="446" t="s">
        <v>44</v>
      </c>
      <c r="B78" s="446"/>
      <c r="C78" s="7" t="s">
        <v>88</v>
      </c>
      <c r="D78" s="32"/>
      <c r="E78" s="131">
        <f>E36/Production!E32</f>
        <v>2.5595830747472106</v>
      </c>
      <c r="F78" s="131">
        <f>F36/Production!F32</f>
        <v>2.5462089883783112</v>
      </c>
      <c r="G78" s="131">
        <f>G36/Production!G32</f>
        <v>3.4569115581928993</v>
      </c>
      <c r="H78" s="131">
        <f>H36/Production!H32</f>
        <v>3.4617190377270606</v>
      </c>
      <c r="I78" s="131" t="e">
        <f>I36/Production!I32</f>
        <v>#DIV/0!</v>
      </c>
      <c r="J78" s="131" t="e">
        <f>J36/Production!J32</f>
        <v>#DIV/0!</v>
      </c>
      <c r="K78" s="131" t="e">
        <f>K36/Production!K32</f>
        <v>#DIV/0!</v>
      </c>
      <c r="L78" s="131" t="e">
        <f>L36/Production!L32</f>
        <v>#DIV/0!</v>
      </c>
      <c r="M78" s="131" t="e">
        <f>M36/Production!M32</f>
        <v>#DIV/0!</v>
      </c>
      <c r="N78" s="131" t="e">
        <f>N36/Production!N32</f>
        <v>#DIV/0!</v>
      </c>
      <c r="O78" s="131" t="e">
        <f>O36/Production!O32</f>
        <v>#DIV/0!</v>
      </c>
      <c r="P78" s="131" t="e">
        <f>P36/Production!P32</f>
        <v>#DIV/0!</v>
      </c>
      <c r="Q78" s="131">
        <f>Q36/Production!Q32</f>
        <v>3.0196862558042681</v>
      </c>
      <c r="R78" s="131">
        <f>R36/Production!R32</f>
        <v>2.8941279362926173</v>
      </c>
      <c r="S78" s="131">
        <f>S36/Production!S32</f>
        <v>3.4098129447972831</v>
      </c>
      <c r="T78" s="131" t="e">
        <f>T36/Production!T32</f>
        <v>#DIV/0!</v>
      </c>
      <c r="U78" s="131" t="e">
        <f>U36/Production!U32</f>
        <v>#DIV/0!</v>
      </c>
      <c r="V78" s="131">
        <f>V36/Production!V32</f>
        <v>3.0196862558042681</v>
      </c>
      <c r="W78" s="131" t="e">
        <f>W36/Production!W32</f>
        <v>#DIV/0!</v>
      </c>
    </row>
    <row r="79" spans="1:23" ht="24">
      <c r="A79" s="446" t="s">
        <v>45</v>
      </c>
      <c r="B79" s="446"/>
      <c r="C79" s="7" t="s">
        <v>88</v>
      </c>
      <c r="D79" s="147">
        <v>3.17</v>
      </c>
      <c r="E79" s="149">
        <f>E37/Production!E33</f>
        <v>2.3827126809602612</v>
      </c>
      <c r="F79" s="149">
        <f>F37/Production!F33</f>
        <v>2.3337518998379769</v>
      </c>
      <c r="G79" s="149">
        <f>G37/Production!G33</f>
        <v>3.097307669248706</v>
      </c>
      <c r="H79" s="149">
        <f>H37/Production!H33</f>
        <v>3.2724514677427048</v>
      </c>
      <c r="I79" s="149" t="e">
        <f>I37/Production!I33</f>
        <v>#DIV/0!</v>
      </c>
      <c r="J79" s="149" t="e">
        <f>J37/Production!J33</f>
        <v>#DIV/0!</v>
      </c>
      <c r="K79" s="149" t="e">
        <f>K37/Production!K33</f>
        <v>#DIV/0!</v>
      </c>
      <c r="L79" s="149" t="e">
        <f>L37/Production!L33</f>
        <v>#DIV/0!</v>
      </c>
      <c r="M79" s="149" t="e">
        <f>M37/Production!M33</f>
        <v>#DIV/0!</v>
      </c>
      <c r="N79" s="149" t="e">
        <f>N37/Production!N33</f>
        <v>#DIV/0!</v>
      </c>
      <c r="O79" s="149" t="e">
        <f>O37/Production!O33</f>
        <v>#DIV/0!</v>
      </c>
      <c r="P79" s="149" t="e">
        <f>P37/Production!P33</f>
        <v>#DIV/0!</v>
      </c>
      <c r="Q79" s="149">
        <f>Q37/Production!Q33</f>
        <v>2.7432980494922736</v>
      </c>
      <c r="R79" s="149">
        <f>R37/Production!R33</f>
        <v>2.5938073045626866</v>
      </c>
      <c r="S79" s="149">
        <f>S37/Production!S33</f>
        <v>3.2180031812647636</v>
      </c>
      <c r="T79" s="149" t="e">
        <f>T37/Production!T33</f>
        <v>#DIV/0!</v>
      </c>
      <c r="U79" s="149" t="e">
        <f>U37/Production!U33</f>
        <v>#DIV/0!</v>
      </c>
      <c r="V79" s="149">
        <f>V37/Production!V33</f>
        <v>2.7432980494922736</v>
      </c>
      <c r="W79" s="149" t="e">
        <f>W37/Production!W33</f>
        <v>#DIV/0!</v>
      </c>
    </row>
    <row r="80" spans="1:23">
      <c r="Q80" s="58"/>
    </row>
    <row r="81" spans="1:18" ht="18.5">
      <c r="A81" s="441" t="s">
        <v>46</v>
      </c>
      <c r="B81" s="441"/>
      <c r="C81" s="340" t="s">
        <v>88</v>
      </c>
      <c r="D81" s="357">
        <v>2.5870577073541514</v>
      </c>
      <c r="E81" s="337">
        <f>E40/Production!E36</f>
        <v>2.08321013517123</v>
      </c>
      <c r="F81" s="337">
        <f>F40/Production!F36</f>
        <v>1.934756393222784</v>
      </c>
      <c r="G81" s="337">
        <f>G40/Production!G36</f>
        <v>2.3977204630481483</v>
      </c>
      <c r="H81" s="337">
        <f>H40/Production!H36</f>
        <v>2.9287619170459616</v>
      </c>
      <c r="I81" s="337" t="e">
        <f>I40/Production!I36</f>
        <v>#DIV/0!</v>
      </c>
      <c r="J81" s="337" t="e">
        <f>J40/Production!J36</f>
        <v>#DIV/0!</v>
      </c>
      <c r="K81" s="337" t="e">
        <f>K40/Production!K36</f>
        <v>#DIV/0!</v>
      </c>
      <c r="L81" s="337" t="e">
        <f>L40/Production!L36</f>
        <v>#DIV/0!</v>
      </c>
      <c r="M81" s="337" t="e">
        <f>M40/Production!M36</f>
        <v>#DIV/0!</v>
      </c>
      <c r="N81" s="337" t="e">
        <f>N40/Production!N36</f>
        <v>#DIV/0!</v>
      </c>
      <c r="O81" s="337" t="e">
        <f>O40/Production!O36</f>
        <v>#DIV/0!</v>
      </c>
      <c r="P81" s="337" t="e">
        <f>P40/Production!P36</f>
        <v>#DIV/0!</v>
      </c>
      <c r="Q81" s="337">
        <f>Q40/Production!Q36</f>
        <v>2.2781243217743881</v>
      </c>
    </row>
    <row r="82" spans="1:18" ht="18.5">
      <c r="A82" s="441" t="s">
        <v>47</v>
      </c>
      <c r="B82" s="441"/>
      <c r="C82" s="340" t="s">
        <v>88</v>
      </c>
      <c r="D82" s="357">
        <v>4.3596743510252631</v>
      </c>
      <c r="E82" s="337">
        <f>E41/Production!E37</f>
        <v>3.0110650579668921</v>
      </c>
      <c r="F82" s="337">
        <f>F41/Production!F37</f>
        <v>3.262736006947708</v>
      </c>
      <c r="G82" s="337">
        <f>G41/Production!G37</f>
        <v>4.1581256256157202</v>
      </c>
      <c r="H82" s="337">
        <f>H41/Production!H37</f>
        <v>3.7718187286999267</v>
      </c>
      <c r="I82" s="337" t="e">
        <f>I41/Production!I37</f>
        <v>#DIV/0!</v>
      </c>
      <c r="J82" s="337" t="e">
        <f>J41/Production!J37</f>
        <v>#DIV/0!</v>
      </c>
      <c r="K82" s="337" t="e">
        <f>K41/Production!K37</f>
        <v>#DIV/0!</v>
      </c>
      <c r="L82" s="337" t="e">
        <f>L41/Production!L37</f>
        <v>#DIV/0!</v>
      </c>
      <c r="M82" s="337" t="e">
        <f>M41/Production!M37</f>
        <v>#DIV/0!</v>
      </c>
      <c r="N82" s="337" t="e">
        <f>N41/Production!N37</f>
        <v>#DIV/0!</v>
      </c>
      <c r="O82" s="337" t="e">
        <f>O41/Production!O37</f>
        <v>#DIV/0!</v>
      </c>
      <c r="P82" s="337" t="e">
        <f>P41/Production!P37</f>
        <v>#DIV/0!</v>
      </c>
      <c r="Q82" s="337">
        <f>Q41/Production!Q37</f>
        <v>3.5775875947622735</v>
      </c>
    </row>
    <row r="83" spans="1:18">
      <c r="Q83" s="58"/>
    </row>
    <row r="84" spans="1:18">
      <c r="Q84" s="58"/>
    </row>
    <row r="85" spans="1:18">
      <c r="Q85" s="58" t="e">
        <f>(D78-Q79)/D78</f>
        <v>#DIV/0!</v>
      </c>
    </row>
    <row r="86" spans="1:18">
      <c r="A86" s="36"/>
      <c r="B86" s="40">
        <f>'Water withdrawal'!C84</f>
        <v>2020</v>
      </c>
      <c r="C86" s="40">
        <f>'Water withdrawal'!D84</f>
        <v>2021</v>
      </c>
      <c r="D86" s="40">
        <f>'Water withdrawal'!E84</f>
        <v>2022</v>
      </c>
      <c r="E86" s="40">
        <f>'Water withdrawal'!F84</f>
        <v>2023</v>
      </c>
      <c r="F86" s="59">
        <f t="shared" ref="F86:Q86" si="35">E45</f>
        <v>46023</v>
      </c>
      <c r="G86" s="59">
        <f t="shared" si="35"/>
        <v>46054</v>
      </c>
      <c r="H86" s="59">
        <f t="shared" si="35"/>
        <v>46082</v>
      </c>
      <c r="I86" s="59">
        <f t="shared" si="35"/>
        <v>46113</v>
      </c>
      <c r="J86" s="59">
        <f t="shared" si="35"/>
        <v>46143</v>
      </c>
      <c r="K86" s="59">
        <f t="shared" si="35"/>
        <v>46174</v>
      </c>
      <c r="L86" s="59">
        <f t="shared" si="35"/>
        <v>46204</v>
      </c>
      <c r="M86" s="59">
        <f t="shared" si="35"/>
        <v>46235</v>
      </c>
      <c r="N86" s="59">
        <f t="shared" si="35"/>
        <v>46266</v>
      </c>
      <c r="O86" s="59">
        <f t="shared" si="35"/>
        <v>46296</v>
      </c>
      <c r="P86" s="59">
        <f t="shared" si="35"/>
        <v>46327</v>
      </c>
      <c r="Q86" s="59">
        <f t="shared" si="35"/>
        <v>46357</v>
      </c>
      <c r="R86" s="133" t="str">
        <f>$Q$2</f>
        <v>YTD 2026</v>
      </c>
    </row>
    <row r="87" spans="1:18">
      <c r="A87" s="37" t="s">
        <v>4</v>
      </c>
      <c r="B87" s="7"/>
      <c r="C87" s="1"/>
      <c r="D87" s="1"/>
      <c r="E87" s="1"/>
      <c r="F87" s="38">
        <f t="shared" ref="F87:R87" si="36">$D$78</f>
        <v>0</v>
      </c>
      <c r="G87" s="38">
        <f t="shared" si="36"/>
        <v>0</v>
      </c>
      <c r="H87" s="38">
        <f t="shared" si="36"/>
        <v>0</v>
      </c>
      <c r="I87" s="38">
        <f t="shared" si="36"/>
        <v>0</v>
      </c>
      <c r="J87" s="38">
        <f t="shared" si="36"/>
        <v>0</v>
      </c>
      <c r="K87" s="38">
        <f t="shared" si="36"/>
        <v>0</v>
      </c>
      <c r="L87" s="38">
        <f t="shared" si="36"/>
        <v>0</v>
      </c>
      <c r="M87" s="38">
        <f t="shared" si="36"/>
        <v>0</v>
      </c>
      <c r="N87" s="38">
        <f t="shared" si="36"/>
        <v>0</v>
      </c>
      <c r="O87" s="38">
        <f t="shared" si="36"/>
        <v>0</v>
      </c>
      <c r="P87" s="38">
        <f t="shared" si="36"/>
        <v>0</v>
      </c>
      <c r="Q87" s="38">
        <f t="shared" si="36"/>
        <v>0</v>
      </c>
      <c r="R87" s="108">
        <f t="shared" si="36"/>
        <v>0</v>
      </c>
    </row>
    <row r="88" spans="1:18">
      <c r="A88" s="37" t="s">
        <v>66</v>
      </c>
      <c r="B88" s="60">
        <f t="shared" ref="B88:D88" si="37">E135</f>
        <v>2.8904757535949304</v>
      </c>
      <c r="C88" s="26">
        <f t="shared" si="37"/>
        <v>2.2005739439560581</v>
      </c>
      <c r="D88" s="26">
        <f t="shared" si="37"/>
        <v>2.4475783136484255</v>
      </c>
      <c r="E88" s="26">
        <f>'[3]Non-hz waste gen'!$Q$59</f>
        <v>2.5242002367409522</v>
      </c>
      <c r="F88" s="38">
        <f t="shared" ref="F88:R88" si="38">E78</f>
        <v>2.5595830747472106</v>
      </c>
      <c r="G88" s="38">
        <f t="shared" si="38"/>
        <v>2.5462089883783112</v>
      </c>
      <c r="H88" s="38">
        <f t="shared" si="38"/>
        <v>3.4569115581928993</v>
      </c>
      <c r="I88" s="38">
        <f t="shared" si="38"/>
        <v>3.4617190377270606</v>
      </c>
      <c r="J88" s="38" t="e">
        <f t="shared" si="38"/>
        <v>#DIV/0!</v>
      </c>
      <c r="K88" s="38" t="e">
        <f t="shared" si="38"/>
        <v>#DIV/0!</v>
      </c>
      <c r="L88" s="38" t="e">
        <f t="shared" si="38"/>
        <v>#DIV/0!</v>
      </c>
      <c r="M88" s="38" t="e">
        <f t="shared" si="38"/>
        <v>#DIV/0!</v>
      </c>
      <c r="N88" s="38" t="e">
        <f t="shared" si="38"/>
        <v>#DIV/0!</v>
      </c>
      <c r="O88" s="38" t="e">
        <f t="shared" si="38"/>
        <v>#DIV/0!</v>
      </c>
      <c r="P88" s="38" t="e">
        <f t="shared" si="38"/>
        <v>#DIV/0!</v>
      </c>
      <c r="Q88" s="38" t="e">
        <f t="shared" si="38"/>
        <v>#DIV/0!</v>
      </c>
      <c r="R88" s="108">
        <f t="shared" si="38"/>
        <v>3.0196862558042681</v>
      </c>
    </row>
    <row r="89" spans="1:18">
      <c r="A89" s="37" t="s">
        <v>90</v>
      </c>
      <c r="B89" s="7"/>
      <c r="C89" s="1"/>
      <c r="D89" s="1"/>
      <c r="E89" s="1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61"/>
    </row>
    <row r="90" spans="1:18">
      <c r="A90" s="37" t="s">
        <v>67</v>
      </c>
      <c r="B90" s="60">
        <f>'Water withdrawal'!C87</f>
        <v>9.0561442384612807</v>
      </c>
      <c r="C90" s="26">
        <f>'Water withdrawal'!D87</f>
        <v>10.3315058334617</v>
      </c>
      <c r="D90" s="26">
        <f>'Water withdrawal'!E87</f>
        <v>8.0495006936000006</v>
      </c>
      <c r="E90" s="26">
        <f>'Water withdrawal'!F87</f>
        <v>8.2806149300000023</v>
      </c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61"/>
    </row>
    <row r="134" spans="2:11">
      <c r="C134" s="36"/>
      <c r="D134" s="36"/>
      <c r="E134" s="40">
        <v>2020</v>
      </c>
      <c r="F134" s="40">
        <v>2021</v>
      </c>
      <c r="G134" s="40">
        <v>2022</v>
      </c>
      <c r="H134" s="40" t="s">
        <v>74</v>
      </c>
      <c r="I134" s="40" t="s">
        <v>75</v>
      </c>
      <c r="J134" s="40" t="s">
        <v>100</v>
      </c>
      <c r="K134" s="40" t="s">
        <v>101</v>
      </c>
    </row>
    <row r="135" spans="2:11">
      <c r="B135" s="417" t="s">
        <v>77</v>
      </c>
      <c r="C135" s="37" t="s">
        <v>102</v>
      </c>
      <c r="D135" s="37" t="s">
        <v>88</v>
      </c>
      <c r="E135" s="41">
        <f>'[2]Non-hz waste gen'!C58</f>
        <v>2.8904757535949304</v>
      </c>
      <c r="F135" s="41">
        <f>'[2]Non-hz waste gen'!D58</f>
        <v>2.2005739439560581</v>
      </c>
      <c r="G135" s="41">
        <f>'[2]Non-hz waste gen'!E58</f>
        <v>2.4475783136484255</v>
      </c>
      <c r="H135" s="41">
        <f>[6]Sheet1!$E$64</f>
        <v>2.8936871866971146</v>
      </c>
      <c r="I135" s="42">
        <f>$Q$78</f>
        <v>3.0196862558042681</v>
      </c>
      <c r="J135" s="73">
        <v>2.14</v>
      </c>
      <c r="K135" s="1">
        <v>3.08</v>
      </c>
    </row>
    <row r="136" spans="2:11">
      <c r="B136" s="417"/>
      <c r="C136" s="37" t="s">
        <v>80</v>
      </c>
      <c r="D136" s="37" t="s">
        <v>88</v>
      </c>
      <c r="E136" s="41">
        <f>E135-E137</f>
        <v>7.8968486054227238E-2</v>
      </c>
      <c r="F136" s="41">
        <f t="shared" ref="F136:I136" si="39">F135-F137</f>
        <v>2.7909644821711765E-2</v>
      </c>
      <c r="G136" s="41">
        <f t="shared" si="39"/>
        <v>0.10989479118032897</v>
      </c>
      <c r="H136" s="41">
        <f t="shared" si="39"/>
        <v>0.50999104769778336</v>
      </c>
      <c r="I136" s="41">
        <f t="shared" si="39"/>
        <v>3.0196862558042681</v>
      </c>
      <c r="J136" s="74"/>
      <c r="K136" s="1"/>
    </row>
    <row r="137" spans="2:11">
      <c r="B137" s="417"/>
      <c r="C137" s="37" t="s">
        <v>103</v>
      </c>
      <c r="D137" s="37" t="s">
        <v>88</v>
      </c>
      <c r="E137" s="41">
        <f>'[2]Non-hz waste gen'!U58</f>
        <v>2.8115072675407031</v>
      </c>
      <c r="F137" s="41">
        <f>'[2]Non-hz waste gen'!V58</f>
        <v>2.1726642991343463</v>
      </c>
      <c r="G137" s="41">
        <f>'[2]Non-hz waste gen'!W58</f>
        <v>2.3376835224680965</v>
      </c>
      <c r="H137" s="41">
        <f>[6]Sheet1!$E$63</f>
        <v>2.3836961389993312</v>
      </c>
      <c r="I137" s="42">
        <f>$AK$44</f>
        <v>0</v>
      </c>
      <c r="J137" s="63"/>
      <c r="K137" s="1">
        <v>3.08</v>
      </c>
    </row>
    <row r="138" spans="2:11">
      <c r="C138" s="37" t="s">
        <v>67</v>
      </c>
      <c r="D138" s="37" t="s">
        <v>68</v>
      </c>
      <c r="E138" s="38">
        <f>'[3]Water withdrawal'!E101</f>
        <v>9.0561442384612842</v>
      </c>
      <c r="F138" s="38">
        <f>'[3]Water withdrawal'!F101</f>
        <v>10.344745617753649</v>
      </c>
      <c r="G138" s="38">
        <f>'[3]Water withdrawal'!G101</f>
        <v>8.5988598636000013</v>
      </c>
      <c r="H138" s="38">
        <f>'[3]Water withdrawal'!H101</f>
        <v>9.1984955120831806</v>
      </c>
      <c r="I138" s="39">
        <f>'[3]Water withdrawal'!I101</f>
        <v>8280614.9300000016</v>
      </c>
      <c r="J138" s="63"/>
      <c r="K138" s="26">
        <f>'[3]Hz waste gen'!$K$103</f>
        <v>8.5300867756288596</v>
      </c>
    </row>
    <row r="139" spans="2:11">
      <c r="B139" s="420" t="s">
        <v>78</v>
      </c>
      <c r="C139" s="64" t="s">
        <v>102</v>
      </c>
      <c r="D139" s="64" t="s">
        <v>88</v>
      </c>
      <c r="E139" s="65">
        <f>'[2]Non-hz waste gen'!C59</f>
        <v>2.7225056093766744</v>
      </c>
      <c r="F139" s="65">
        <f>'[2]Non-hz waste gen'!D59</f>
        <v>1.9630567142674102</v>
      </c>
      <c r="G139" s="65">
        <f>'[2]Non-hz waste gen'!E59</f>
        <v>2.1730824336399555</v>
      </c>
      <c r="H139" s="66">
        <f>$H$135</f>
        <v>2.8936871866971146</v>
      </c>
      <c r="I139" s="65">
        <f>$Q$79</f>
        <v>2.7432980494922736</v>
      </c>
      <c r="J139" s="67"/>
      <c r="K139" s="1">
        <v>2.8</v>
      </c>
    </row>
    <row r="140" spans="2:11">
      <c r="B140" s="420"/>
      <c r="C140" s="64" t="s">
        <v>80</v>
      </c>
      <c r="D140" s="64" t="s">
        <v>88</v>
      </c>
      <c r="E140" s="75">
        <f>E139-E141</f>
        <v>8.3669257673708586E-2</v>
      </c>
      <c r="F140" s="75">
        <f t="shared" ref="F140:I140" si="40">F139-F141</f>
        <v>2.9709495962868981E-2</v>
      </c>
      <c r="G140" s="75">
        <f t="shared" si="40"/>
        <v>0.11540806228618461</v>
      </c>
      <c r="H140" s="75">
        <f t="shared" si="40"/>
        <v>0.50999104769778336</v>
      </c>
      <c r="I140" s="75">
        <f t="shared" si="40"/>
        <v>2.7432980494922736</v>
      </c>
      <c r="J140" s="67"/>
      <c r="K140" s="1"/>
    </row>
    <row r="141" spans="2:11">
      <c r="B141" s="420"/>
      <c r="C141" s="64" t="s">
        <v>103</v>
      </c>
      <c r="D141" s="64" t="s">
        <v>88</v>
      </c>
      <c r="E141" s="65">
        <f>'[2]Non-hz waste gen'!U59</f>
        <v>2.6388363517029658</v>
      </c>
      <c r="F141" s="65">
        <f>'[2]Non-hz waste gen'!V59</f>
        <v>1.9333472183045413</v>
      </c>
      <c r="G141" s="65">
        <f>'[2]Non-hz waste gen'!W59</f>
        <v>2.0576743713537708</v>
      </c>
      <c r="H141" s="69">
        <f>$H$137</f>
        <v>2.3836961389993312</v>
      </c>
      <c r="I141" s="68">
        <f>$AK$49</f>
        <v>0</v>
      </c>
      <c r="J141" s="67"/>
      <c r="K141" s="1">
        <v>2.8</v>
      </c>
    </row>
    <row r="142" spans="2:11">
      <c r="B142" s="420"/>
      <c r="C142" s="64" t="s">
        <v>67</v>
      </c>
      <c r="D142" s="64" t="s">
        <v>68</v>
      </c>
      <c r="E142" s="68">
        <f>'[3]Water withdrawal'!E103</f>
        <v>8.5473448657681743</v>
      </c>
      <c r="F142" s="68">
        <f>'[3]Water withdrawal'!F103</f>
        <v>9.7048037773794942</v>
      </c>
      <c r="G142" s="68">
        <f>'[3]Water withdrawal'!G103</f>
        <v>7.5174074896</v>
      </c>
      <c r="H142" s="68">
        <f>'[3]Water withdrawal'!H103</f>
        <v>8.6185785120831842</v>
      </c>
      <c r="I142" s="68">
        <f>'[3]Water withdrawal'!I103</f>
        <v>7.7716394509999995</v>
      </c>
      <c r="J142" s="67"/>
      <c r="K142" s="26">
        <f>'[3]Hz waste gen'!$K$107</f>
        <v>8.0037267756288593</v>
      </c>
    </row>
    <row r="143" spans="2:11">
      <c r="J143" s="44">
        <f>(E135-J135)/E135</f>
        <v>0.25963744987708398</v>
      </c>
    </row>
    <row r="211" spans="3:11">
      <c r="E211" s="40">
        <v>2020</v>
      </c>
      <c r="F211" s="40">
        <v>2021</v>
      </c>
      <c r="G211" s="40">
        <v>2022</v>
      </c>
      <c r="H211" s="40">
        <v>2023</v>
      </c>
      <c r="I211" s="40" t="s">
        <v>101</v>
      </c>
    </row>
    <row r="212" spans="3:11">
      <c r="C212" s="2" t="s">
        <v>66</v>
      </c>
      <c r="D212" s="37" t="s">
        <v>63</v>
      </c>
      <c r="E212" s="26">
        <f t="shared" ref="E212:G212" si="41">E135</f>
        <v>2.8904757535949304</v>
      </c>
      <c r="F212" s="26">
        <f t="shared" si="41"/>
        <v>2.2005739439560581</v>
      </c>
      <c r="G212" s="26">
        <f t="shared" si="41"/>
        <v>2.4475783136484255</v>
      </c>
      <c r="H212" s="50">
        <f>H214-H213</f>
        <v>0.87968625580426796</v>
      </c>
      <c r="I212" s="26">
        <f>I214-I213</f>
        <v>0.52848433472690548</v>
      </c>
      <c r="K212" s="50">
        <f>'[2]Non-hz waste gen'!$G$27</f>
        <v>26394.780496963631</v>
      </c>
    </row>
    <row r="213" spans="3:11">
      <c r="C213" s="2" t="s">
        <v>90</v>
      </c>
      <c r="D213" s="37" t="s">
        <v>63</v>
      </c>
      <c r="E213" s="1"/>
      <c r="F213" s="1"/>
      <c r="G213" s="1"/>
      <c r="H213" s="26">
        <f>$J$135</f>
        <v>2.14</v>
      </c>
      <c r="I213" s="50">
        <f>K212*1000/K213</f>
        <v>2.5515156652730946</v>
      </c>
      <c r="K213">
        <f>'[3]Hz waste gen'!$L$179</f>
        <v>10344745.617753649</v>
      </c>
    </row>
    <row r="214" spans="3:11">
      <c r="H214" s="50">
        <f>$Q$78</f>
        <v>3.0196862558042681</v>
      </c>
      <c r="I214">
        <v>3.08</v>
      </c>
    </row>
  </sheetData>
  <mergeCells count="17">
    <mergeCell ref="B135:B137"/>
    <mergeCell ref="B139:B142"/>
    <mergeCell ref="A36:B36"/>
    <mergeCell ref="A37:B37"/>
    <mergeCell ref="A38:B38"/>
    <mergeCell ref="A78:B78"/>
    <mergeCell ref="A79:B79"/>
    <mergeCell ref="A62:A74"/>
    <mergeCell ref="A40:B40"/>
    <mergeCell ref="A41:B41"/>
    <mergeCell ref="A81:B81"/>
    <mergeCell ref="A82:B82"/>
    <mergeCell ref="A1:W1"/>
    <mergeCell ref="A3:A20"/>
    <mergeCell ref="A44:W44"/>
    <mergeCell ref="A46:A61"/>
    <mergeCell ref="A21:A33"/>
  </mergeCells>
  <conditionalFormatting sqref="E46">
    <cfRule type="cellIs" dxfId="1384" priority="779" operator="greaterThan">
      <formula>$D46</formula>
    </cfRule>
    <cfRule type="cellIs" dxfId="1383" priority="780" operator="lessThanOrEqual">
      <formula>$D46</formula>
    </cfRule>
  </conditionalFormatting>
  <conditionalFormatting sqref="E47">
    <cfRule type="cellIs" dxfId="1382" priority="777" operator="greaterThan">
      <formula>$D47</formula>
    </cfRule>
    <cfRule type="cellIs" dxfId="1381" priority="778" operator="lessThanOrEqual">
      <formula>$D47</formula>
    </cfRule>
  </conditionalFormatting>
  <conditionalFormatting sqref="E48">
    <cfRule type="cellIs" dxfId="1380" priority="775" operator="greaterThan">
      <formula>$D48</formula>
    </cfRule>
    <cfRule type="cellIs" dxfId="1379" priority="776" operator="lessThanOrEqual">
      <formula>$D48</formula>
    </cfRule>
  </conditionalFormatting>
  <conditionalFormatting sqref="E49">
    <cfRule type="cellIs" dxfId="1378" priority="773" operator="greaterThan">
      <formula>$D49</formula>
    </cfRule>
    <cfRule type="cellIs" dxfId="1377" priority="774" operator="lessThanOrEqual">
      <formula>$D49</formula>
    </cfRule>
  </conditionalFormatting>
  <conditionalFormatting sqref="E50">
    <cfRule type="cellIs" dxfId="1376" priority="771" operator="greaterThan">
      <formula>$D50</formula>
    </cfRule>
    <cfRule type="cellIs" dxfId="1375" priority="772" operator="lessThanOrEqual">
      <formula>$D50</formula>
    </cfRule>
  </conditionalFormatting>
  <conditionalFormatting sqref="E51">
    <cfRule type="cellIs" dxfId="1374" priority="769" operator="greaterThan">
      <formula>$D51</formula>
    </cfRule>
    <cfRule type="cellIs" dxfId="1373" priority="770" operator="lessThanOrEqual">
      <formula>$D51</formula>
    </cfRule>
  </conditionalFormatting>
  <conditionalFormatting sqref="E52">
    <cfRule type="cellIs" dxfId="1372" priority="767" operator="greaterThan">
      <formula>$D52</formula>
    </cfRule>
    <cfRule type="cellIs" dxfId="1371" priority="768" operator="lessThanOrEqual">
      <formula>$D52</formula>
    </cfRule>
  </conditionalFormatting>
  <conditionalFormatting sqref="E53">
    <cfRule type="cellIs" dxfId="1370" priority="765" operator="greaterThan">
      <formula>$D53</formula>
    </cfRule>
    <cfRule type="cellIs" dxfId="1369" priority="766" operator="lessThanOrEqual">
      <formula>$D53</formula>
    </cfRule>
  </conditionalFormatting>
  <conditionalFormatting sqref="E54:E55">
    <cfRule type="cellIs" dxfId="1368" priority="763" operator="greaterThan">
      <formula>$D54</formula>
    </cfRule>
    <cfRule type="cellIs" dxfId="1367" priority="764" operator="lessThanOrEqual">
      <formula>$D54</formula>
    </cfRule>
  </conditionalFormatting>
  <conditionalFormatting sqref="E56">
    <cfRule type="cellIs" dxfId="1366" priority="761" operator="greaterThan">
      <formula>$D56</formula>
    </cfRule>
    <cfRule type="cellIs" dxfId="1365" priority="762" operator="lessThanOrEqual">
      <formula>$D56</formula>
    </cfRule>
  </conditionalFormatting>
  <conditionalFormatting sqref="E57">
    <cfRule type="cellIs" dxfId="1364" priority="759" operator="greaterThan">
      <formula>$D57</formula>
    </cfRule>
    <cfRule type="cellIs" dxfId="1363" priority="760" operator="lessThanOrEqual">
      <formula>$D57</formula>
    </cfRule>
  </conditionalFormatting>
  <conditionalFormatting sqref="E58">
    <cfRule type="cellIs" dxfId="1362" priority="757" operator="greaterThan">
      <formula>$D58</formula>
    </cfRule>
    <cfRule type="cellIs" dxfId="1361" priority="758" operator="lessThanOrEqual">
      <formula>$D58</formula>
    </cfRule>
  </conditionalFormatting>
  <conditionalFormatting sqref="E59">
    <cfRule type="cellIs" dxfId="1360" priority="755" operator="greaterThan">
      <formula>$D59</formula>
    </cfRule>
    <cfRule type="cellIs" dxfId="1359" priority="756" operator="lessThanOrEqual">
      <formula>$D59</formula>
    </cfRule>
  </conditionalFormatting>
  <conditionalFormatting sqref="E60">
    <cfRule type="cellIs" dxfId="1358" priority="753" operator="greaterThan">
      <formula>$D60</formula>
    </cfRule>
    <cfRule type="cellIs" dxfId="1357" priority="754" operator="lessThanOrEqual">
      <formula>$D60</formula>
    </cfRule>
  </conditionalFormatting>
  <conditionalFormatting sqref="E61">
    <cfRule type="cellIs" dxfId="1356" priority="751" operator="greaterThan">
      <formula>$D61</formula>
    </cfRule>
    <cfRule type="cellIs" dxfId="1355" priority="752" operator="lessThanOrEqual">
      <formula>$D61</formula>
    </cfRule>
  </conditionalFormatting>
  <conditionalFormatting sqref="E62">
    <cfRule type="cellIs" dxfId="1354" priority="749" operator="greaterThan">
      <formula>$D62</formula>
    </cfRule>
    <cfRule type="cellIs" dxfId="1353" priority="750" operator="lessThanOrEqual">
      <formula>$D62</formula>
    </cfRule>
  </conditionalFormatting>
  <conditionalFormatting sqref="E63">
    <cfRule type="cellIs" dxfId="1352" priority="747" operator="greaterThan">
      <formula>$D63</formula>
    </cfRule>
    <cfRule type="cellIs" dxfId="1351" priority="748" operator="lessThanOrEqual">
      <formula>$D63</formula>
    </cfRule>
  </conditionalFormatting>
  <conditionalFormatting sqref="E64">
    <cfRule type="cellIs" dxfId="1350" priority="745" operator="greaterThan">
      <formula>$D64</formula>
    </cfRule>
    <cfRule type="cellIs" dxfId="1349" priority="746" operator="lessThanOrEqual">
      <formula>$D64</formula>
    </cfRule>
  </conditionalFormatting>
  <conditionalFormatting sqref="E65">
    <cfRule type="cellIs" dxfId="1348" priority="743" operator="greaterThan">
      <formula>$D65</formula>
    </cfRule>
    <cfRule type="cellIs" dxfId="1347" priority="744" operator="lessThanOrEqual">
      <formula>$D65</formula>
    </cfRule>
  </conditionalFormatting>
  <conditionalFormatting sqref="E66">
    <cfRule type="cellIs" dxfId="1346" priority="741" operator="greaterThan">
      <formula>$D66</formula>
    </cfRule>
    <cfRule type="cellIs" dxfId="1345" priority="742" operator="lessThanOrEqual">
      <formula>$D66</formula>
    </cfRule>
  </conditionalFormatting>
  <conditionalFormatting sqref="E67">
    <cfRule type="cellIs" dxfId="1344" priority="739" operator="greaterThan">
      <formula>$D67</formula>
    </cfRule>
    <cfRule type="cellIs" dxfId="1343" priority="740" operator="lessThanOrEqual">
      <formula>$D67</formula>
    </cfRule>
  </conditionalFormatting>
  <conditionalFormatting sqref="E68">
    <cfRule type="cellIs" dxfId="1342" priority="737" operator="greaterThan">
      <formula>$D68</formula>
    </cfRule>
    <cfRule type="cellIs" dxfId="1341" priority="738" operator="lessThanOrEqual">
      <formula>$D68</formula>
    </cfRule>
  </conditionalFormatting>
  <conditionalFormatting sqref="E69">
    <cfRule type="cellIs" dxfId="1340" priority="735" operator="greaterThan">
      <formula>$D69</formula>
    </cfRule>
    <cfRule type="cellIs" dxfId="1339" priority="736" operator="lessThanOrEqual">
      <formula>$D69</formula>
    </cfRule>
  </conditionalFormatting>
  <conditionalFormatting sqref="E70">
    <cfRule type="cellIs" dxfId="1338" priority="733" operator="greaterThan">
      <formula>$D70</formula>
    </cfRule>
    <cfRule type="cellIs" dxfId="1337" priority="734" operator="lessThanOrEqual">
      <formula>$D70</formula>
    </cfRule>
  </conditionalFormatting>
  <conditionalFormatting sqref="E71">
    <cfRule type="cellIs" dxfId="1336" priority="731" operator="greaterThan">
      <formula>$D71</formula>
    </cfRule>
    <cfRule type="cellIs" dxfId="1335" priority="732" operator="lessThanOrEqual">
      <formula>$D71</formula>
    </cfRule>
  </conditionalFormatting>
  <conditionalFormatting sqref="E72">
    <cfRule type="cellIs" dxfId="1334" priority="729" operator="greaterThan">
      <formula>$D72</formula>
    </cfRule>
    <cfRule type="cellIs" dxfId="1333" priority="730" operator="lessThanOrEqual">
      <formula>$D72</formula>
    </cfRule>
  </conditionalFormatting>
  <conditionalFormatting sqref="E74">
    <cfRule type="cellIs" dxfId="1332" priority="727" operator="greaterThan">
      <formula>$D74</formula>
    </cfRule>
    <cfRule type="cellIs" dxfId="1331" priority="728" operator="lessThanOrEqual">
      <formula>$D74</formula>
    </cfRule>
  </conditionalFormatting>
  <conditionalFormatting sqref="E79">
    <cfRule type="cellIs" dxfId="1330" priority="725" operator="greaterThan">
      <formula>$D79</formula>
    </cfRule>
    <cfRule type="cellIs" dxfId="1329" priority="726" operator="lessThanOrEqual">
      <formula>$D79</formula>
    </cfRule>
  </conditionalFormatting>
  <conditionalFormatting sqref="F46">
    <cfRule type="cellIs" dxfId="1328" priority="723" operator="greaterThan">
      <formula>$D46</formula>
    </cfRule>
    <cfRule type="cellIs" dxfId="1327" priority="724" operator="lessThanOrEqual">
      <formula>$D46</formula>
    </cfRule>
  </conditionalFormatting>
  <conditionalFormatting sqref="F47">
    <cfRule type="cellIs" dxfId="1326" priority="721" operator="greaterThan">
      <formula>$D47</formula>
    </cfRule>
    <cfRule type="cellIs" dxfId="1325" priority="722" operator="lessThanOrEqual">
      <formula>$D47</formula>
    </cfRule>
  </conditionalFormatting>
  <conditionalFormatting sqref="F48">
    <cfRule type="cellIs" dxfId="1324" priority="719" operator="greaterThan">
      <formula>$D48</formula>
    </cfRule>
    <cfRule type="cellIs" dxfId="1323" priority="720" operator="lessThanOrEqual">
      <formula>$D48</formula>
    </cfRule>
  </conditionalFormatting>
  <conditionalFormatting sqref="F49">
    <cfRule type="cellIs" dxfId="1322" priority="717" operator="greaterThan">
      <formula>$D49</formula>
    </cfRule>
    <cfRule type="cellIs" dxfId="1321" priority="718" operator="lessThanOrEqual">
      <formula>$D49</formula>
    </cfRule>
  </conditionalFormatting>
  <conditionalFormatting sqref="F50">
    <cfRule type="cellIs" dxfId="1320" priority="715" operator="greaterThan">
      <formula>$D50</formula>
    </cfRule>
    <cfRule type="cellIs" dxfId="1319" priority="716" operator="lessThanOrEqual">
      <formula>$D50</formula>
    </cfRule>
  </conditionalFormatting>
  <conditionalFormatting sqref="F51">
    <cfRule type="cellIs" dxfId="1318" priority="713" operator="greaterThan">
      <formula>$D51</formula>
    </cfRule>
    <cfRule type="cellIs" dxfId="1317" priority="714" operator="lessThanOrEqual">
      <formula>$D51</formula>
    </cfRule>
  </conditionalFormatting>
  <conditionalFormatting sqref="F52">
    <cfRule type="cellIs" dxfId="1316" priority="711" operator="greaterThan">
      <formula>$D52</formula>
    </cfRule>
    <cfRule type="cellIs" dxfId="1315" priority="712" operator="lessThanOrEqual">
      <formula>$D52</formula>
    </cfRule>
  </conditionalFormatting>
  <conditionalFormatting sqref="F53">
    <cfRule type="cellIs" dxfId="1314" priority="709" operator="greaterThan">
      <formula>$D53</formula>
    </cfRule>
    <cfRule type="cellIs" dxfId="1313" priority="710" operator="lessThanOrEqual">
      <formula>$D53</formula>
    </cfRule>
  </conditionalFormatting>
  <conditionalFormatting sqref="F54:F55 G55:P55">
    <cfRule type="cellIs" dxfId="1312" priority="707" operator="greaterThan">
      <formula>$D54</formula>
    </cfRule>
    <cfRule type="cellIs" dxfId="1311" priority="708" operator="lessThanOrEqual">
      <formula>$D54</formula>
    </cfRule>
  </conditionalFormatting>
  <conditionalFormatting sqref="F56">
    <cfRule type="cellIs" dxfId="1310" priority="705" operator="greaterThan">
      <formula>$D56</formula>
    </cfRule>
    <cfRule type="cellIs" dxfId="1309" priority="706" operator="lessThanOrEqual">
      <formula>$D56</formula>
    </cfRule>
  </conditionalFormatting>
  <conditionalFormatting sqref="F57">
    <cfRule type="cellIs" dxfId="1308" priority="703" operator="greaterThan">
      <formula>$D57</formula>
    </cfRule>
    <cfRule type="cellIs" dxfId="1307" priority="704" operator="lessThanOrEqual">
      <formula>$D57</formula>
    </cfRule>
  </conditionalFormatting>
  <conditionalFormatting sqref="F58">
    <cfRule type="cellIs" dxfId="1306" priority="701" operator="greaterThan">
      <formula>$D58</formula>
    </cfRule>
    <cfRule type="cellIs" dxfId="1305" priority="702" operator="lessThanOrEqual">
      <formula>$D58</formula>
    </cfRule>
  </conditionalFormatting>
  <conditionalFormatting sqref="F59">
    <cfRule type="cellIs" dxfId="1304" priority="699" operator="greaterThan">
      <formula>$D59</formula>
    </cfRule>
    <cfRule type="cellIs" dxfId="1303" priority="700" operator="lessThanOrEqual">
      <formula>$D59</formula>
    </cfRule>
  </conditionalFormatting>
  <conditionalFormatting sqref="F60">
    <cfRule type="cellIs" dxfId="1302" priority="697" operator="greaterThan">
      <formula>$D60</formula>
    </cfRule>
    <cfRule type="cellIs" dxfId="1301" priority="698" operator="lessThanOrEqual">
      <formula>$D60</formula>
    </cfRule>
  </conditionalFormatting>
  <conditionalFormatting sqref="F61">
    <cfRule type="cellIs" dxfId="1300" priority="695" operator="greaterThan">
      <formula>$D61</formula>
    </cfRule>
    <cfRule type="cellIs" dxfId="1299" priority="696" operator="lessThanOrEqual">
      <formula>$D61</formula>
    </cfRule>
  </conditionalFormatting>
  <conditionalFormatting sqref="F62">
    <cfRule type="cellIs" dxfId="1298" priority="693" operator="greaterThan">
      <formula>$D62</formula>
    </cfRule>
    <cfRule type="cellIs" dxfId="1297" priority="694" operator="lessThanOrEqual">
      <formula>$D62</formula>
    </cfRule>
  </conditionalFormatting>
  <conditionalFormatting sqref="F63">
    <cfRule type="cellIs" dxfId="1296" priority="691" operator="greaterThan">
      <formula>$D63</formula>
    </cfRule>
    <cfRule type="cellIs" dxfId="1295" priority="692" operator="lessThanOrEqual">
      <formula>$D63</formula>
    </cfRule>
  </conditionalFormatting>
  <conditionalFormatting sqref="F64">
    <cfRule type="cellIs" dxfId="1294" priority="689" operator="greaterThan">
      <formula>$D64</formula>
    </cfRule>
    <cfRule type="cellIs" dxfId="1293" priority="690" operator="lessThanOrEqual">
      <formula>$D64</formula>
    </cfRule>
  </conditionalFormatting>
  <conditionalFormatting sqref="F65">
    <cfRule type="cellIs" dxfId="1292" priority="687" operator="greaterThan">
      <formula>$D65</formula>
    </cfRule>
    <cfRule type="cellIs" dxfId="1291" priority="688" operator="lessThanOrEqual">
      <formula>$D65</formula>
    </cfRule>
  </conditionalFormatting>
  <conditionalFormatting sqref="F66">
    <cfRule type="cellIs" dxfId="1290" priority="685" operator="greaterThan">
      <formula>$D66</formula>
    </cfRule>
    <cfRule type="cellIs" dxfId="1289" priority="686" operator="lessThanOrEqual">
      <formula>$D66</formula>
    </cfRule>
  </conditionalFormatting>
  <conditionalFormatting sqref="F67">
    <cfRule type="cellIs" dxfId="1288" priority="683" operator="greaterThan">
      <formula>$D67</formula>
    </cfRule>
    <cfRule type="cellIs" dxfId="1287" priority="684" operator="lessThanOrEqual">
      <formula>$D67</formula>
    </cfRule>
  </conditionalFormatting>
  <conditionalFormatting sqref="F68">
    <cfRule type="cellIs" dxfId="1286" priority="681" operator="greaterThan">
      <formula>$D68</formula>
    </cfRule>
    <cfRule type="cellIs" dxfId="1285" priority="682" operator="lessThanOrEqual">
      <formula>$D68</formula>
    </cfRule>
  </conditionalFormatting>
  <conditionalFormatting sqref="F69">
    <cfRule type="cellIs" dxfId="1284" priority="679" operator="greaterThan">
      <formula>$D69</formula>
    </cfRule>
    <cfRule type="cellIs" dxfId="1283" priority="680" operator="lessThanOrEqual">
      <formula>$D69</formula>
    </cfRule>
  </conditionalFormatting>
  <conditionalFormatting sqref="F70">
    <cfRule type="cellIs" dxfId="1282" priority="677" operator="greaterThan">
      <formula>$D70</formula>
    </cfRule>
    <cfRule type="cellIs" dxfId="1281" priority="678" operator="lessThanOrEqual">
      <formula>$D70</formula>
    </cfRule>
  </conditionalFormatting>
  <conditionalFormatting sqref="F71">
    <cfRule type="cellIs" dxfId="1280" priority="675" operator="greaterThan">
      <formula>$D71</formula>
    </cfRule>
    <cfRule type="cellIs" dxfId="1279" priority="676" operator="lessThanOrEqual">
      <formula>$D71</formula>
    </cfRule>
  </conditionalFormatting>
  <conditionalFormatting sqref="F72">
    <cfRule type="cellIs" dxfId="1278" priority="673" operator="greaterThan">
      <formula>$D72</formula>
    </cfRule>
    <cfRule type="cellIs" dxfId="1277" priority="674" operator="lessThanOrEqual">
      <formula>$D72</formula>
    </cfRule>
  </conditionalFormatting>
  <conditionalFormatting sqref="F74">
    <cfRule type="cellIs" dxfId="1276" priority="671" operator="greaterThan">
      <formula>$D74</formula>
    </cfRule>
    <cfRule type="cellIs" dxfId="1275" priority="672" operator="lessThanOrEqual">
      <formula>$D74</formula>
    </cfRule>
  </conditionalFormatting>
  <conditionalFormatting sqref="G46">
    <cfRule type="cellIs" dxfId="1274" priority="669" operator="greaterThan">
      <formula>$D46</formula>
    </cfRule>
    <cfRule type="cellIs" dxfId="1273" priority="670" operator="lessThanOrEqual">
      <formula>$D46</formula>
    </cfRule>
  </conditionalFormatting>
  <conditionalFormatting sqref="G47">
    <cfRule type="cellIs" dxfId="1272" priority="667" operator="greaterThan">
      <formula>$D47</formula>
    </cfRule>
    <cfRule type="cellIs" dxfId="1271" priority="668" operator="lessThanOrEqual">
      <formula>$D47</formula>
    </cfRule>
  </conditionalFormatting>
  <conditionalFormatting sqref="G48">
    <cfRule type="cellIs" dxfId="1270" priority="665" operator="greaterThan">
      <formula>$D48</formula>
    </cfRule>
    <cfRule type="cellIs" dxfId="1269" priority="666" operator="lessThanOrEqual">
      <formula>$D48</formula>
    </cfRule>
  </conditionalFormatting>
  <conditionalFormatting sqref="G49">
    <cfRule type="cellIs" dxfId="1268" priority="663" operator="greaterThan">
      <formula>$D49</formula>
    </cfRule>
    <cfRule type="cellIs" dxfId="1267" priority="664" operator="lessThanOrEqual">
      <formula>$D49</formula>
    </cfRule>
  </conditionalFormatting>
  <conditionalFormatting sqref="G50">
    <cfRule type="cellIs" dxfId="1266" priority="661" operator="greaterThan">
      <formula>$D50</formula>
    </cfRule>
    <cfRule type="cellIs" dxfId="1265" priority="662" operator="lessThanOrEqual">
      <formula>$D50</formula>
    </cfRule>
  </conditionalFormatting>
  <conditionalFormatting sqref="G51">
    <cfRule type="cellIs" dxfId="1264" priority="659" operator="greaterThan">
      <formula>$D51</formula>
    </cfRule>
    <cfRule type="cellIs" dxfId="1263" priority="660" operator="lessThanOrEqual">
      <formula>$D51</formula>
    </cfRule>
  </conditionalFormatting>
  <conditionalFormatting sqref="G52">
    <cfRule type="cellIs" dxfId="1262" priority="657" operator="greaterThan">
      <formula>$D52</formula>
    </cfRule>
    <cfRule type="cellIs" dxfId="1261" priority="658" operator="lessThanOrEqual">
      <formula>$D52</formula>
    </cfRule>
  </conditionalFormatting>
  <conditionalFormatting sqref="G53">
    <cfRule type="cellIs" dxfId="1260" priority="655" operator="greaterThan">
      <formula>$D53</formula>
    </cfRule>
    <cfRule type="cellIs" dxfId="1259" priority="656" operator="lessThanOrEqual">
      <formula>$D53</formula>
    </cfRule>
  </conditionalFormatting>
  <conditionalFormatting sqref="G54">
    <cfRule type="cellIs" dxfId="1258" priority="653" operator="greaterThan">
      <formula>$D54</formula>
    </cfRule>
    <cfRule type="cellIs" dxfId="1257" priority="654" operator="lessThanOrEqual">
      <formula>$D54</formula>
    </cfRule>
  </conditionalFormatting>
  <conditionalFormatting sqref="G56">
    <cfRule type="cellIs" dxfId="1256" priority="651" operator="greaterThan">
      <formula>$D56</formula>
    </cfRule>
    <cfRule type="cellIs" dxfId="1255" priority="652" operator="lessThanOrEqual">
      <formula>$D56</formula>
    </cfRule>
  </conditionalFormatting>
  <conditionalFormatting sqref="G57">
    <cfRule type="cellIs" dxfId="1254" priority="649" operator="greaterThan">
      <formula>$D57</formula>
    </cfRule>
    <cfRule type="cellIs" dxfId="1253" priority="650" operator="lessThanOrEqual">
      <formula>$D57</formula>
    </cfRule>
  </conditionalFormatting>
  <conditionalFormatting sqref="G58">
    <cfRule type="cellIs" dxfId="1252" priority="647" operator="greaterThan">
      <formula>$D58</formula>
    </cfRule>
    <cfRule type="cellIs" dxfId="1251" priority="648" operator="lessThanOrEqual">
      <formula>$D58</formula>
    </cfRule>
  </conditionalFormatting>
  <conditionalFormatting sqref="G59">
    <cfRule type="cellIs" dxfId="1250" priority="645" operator="greaterThan">
      <formula>$D59</formula>
    </cfRule>
    <cfRule type="cellIs" dxfId="1249" priority="646" operator="lessThanOrEqual">
      <formula>$D59</formula>
    </cfRule>
  </conditionalFormatting>
  <conditionalFormatting sqref="G60">
    <cfRule type="cellIs" dxfId="1248" priority="643" operator="greaterThan">
      <formula>$D60</formula>
    </cfRule>
    <cfRule type="cellIs" dxfId="1247" priority="644" operator="lessThanOrEqual">
      <formula>$D60</formula>
    </cfRule>
  </conditionalFormatting>
  <conditionalFormatting sqref="G61">
    <cfRule type="cellIs" dxfId="1246" priority="641" operator="greaterThan">
      <formula>$D61</formula>
    </cfRule>
    <cfRule type="cellIs" dxfId="1245" priority="642" operator="lessThanOrEqual">
      <formula>$D61</formula>
    </cfRule>
  </conditionalFormatting>
  <conditionalFormatting sqref="G62">
    <cfRule type="cellIs" dxfId="1244" priority="639" operator="greaterThan">
      <formula>$D62</formula>
    </cfRule>
    <cfRule type="cellIs" dxfId="1243" priority="640" operator="lessThanOrEqual">
      <formula>$D62</formula>
    </cfRule>
  </conditionalFormatting>
  <conditionalFormatting sqref="G63">
    <cfRule type="cellIs" dxfId="1242" priority="637" operator="greaterThan">
      <formula>$D63</formula>
    </cfRule>
    <cfRule type="cellIs" dxfId="1241" priority="638" operator="lessThanOrEqual">
      <formula>$D63</formula>
    </cfRule>
  </conditionalFormatting>
  <conditionalFormatting sqref="G64">
    <cfRule type="cellIs" dxfId="1240" priority="635" operator="greaterThan">
      <formula>$D64</formula>
    </cfRule>
    <cfRule type="cellIs" dxfId="1239" priority="636" operator="lessThanOrEqual">
      <formula>$D64</formula>
    </cfRule>
  </conditionalFormatting>
  <conditionalFormatting sqref="G65">
    <cfRule type="cellIs" dxfId="1238" priority="633" operator="greaterThan">
      <formula>$D65</formula>
    </cfRule>
    <cfRule type="cellIs" dxfId="1237" priority="634" operator="lessThanOrEqual">
      <formula>$D65</formula>
    </cfRule>
  </conditionalFormatting>
  <conditionalFormatting sqref="G66">
    <cfRule type="cellIs" dxfId="1236" priority="631" operator="greaterThan">
      <formula>$D66</formula>
    </cfRule>
    <cfRule type="cellIs" dxfId="1235" priority="632" operator="lessThanOrEqual">
      <formula>$D66</formula>
    </cfRule>
  </conditionalFormatting>
  <conditionalFormatting sqref="G67">
    <cfRule type="cellIs" dxfId="1234" priority="629" operator="greaterThan">
      <formula>$D67</formula>
    </cfRule>
    <cfRule type="cellIs" dxfId="1233" priority="630" operator="lessThanOrEqual">
      <formula>$D67</formula>
    </cfRule>
  </conditionalFormatting>
  <conditionalFormatting sqref="G68">
    <cfRule type="cellIs" dxfId="1232" priority="627" operator="greaterThan">
      <formula>$D68</formula>
    </cfRule>
    <cfRule type="cellIs" dxfId="1231" priority="628" operator="lessThanOrEqual">
      <formula>$D68</formula>
    </cfRule>
  </conditionalFormatting>
  <conditionalFormatting sqref="G69">
    <cfRule type="cellIs" dxfId="1230" priority="625" operator="greaterThan">
      <formula>$D69</formula>
    </cfRule>
    <cfRule type="cellIs" dxfId="1229" priority="626" operator="lessThanOrEqual">
      <formula>$D69</formula>
    </cfRule>
  </conditionalFormatting>
  <conditionalFormatting sqref="G70">
    <cfRule type="cellIs" dxfId="1228" priority="623" operator="greaterThan">
      <formula>$D70</formula>
    </cfRule>
    <cfRule type="cellIs" dxfId="1227" priority="624" operator="lessThanOrEqual">
      <formula>$D70</formula>
    </cfRule>
  </conditionalFormatting>
  <conditionalFormatting sqref="G71">
    <cfRule type="cellIs" dxfId="1226" priority="621" operator="greaterThan">
      <formula>$D71</formula>
    </cfRule>
    <cfRule type="cellIs" dxfId="1225" priority="622" operator="lessThanOrEqual">
      <formula>$D71</formula>
    </cfRule>
  </conditionalFormatting>
  <conditionalFormatting sqref="G72:G73 E73:F73">
    <cfRule type="cellIs" dxfId="1224" priority="619" operator="greaterThan">
      <formula>$D72</formula>
    </cfRule>
    <cfRule type="cellIs" dxfId="1223" priority="620" operator="lessThanOrEqual">
      <formula>$D72</formula>
    </cfRule>
  </conditionalFormatting>
  <conditionalFormatting sqref="G74">
    <cfRule type="cellIs" dxfId="1222" priority="617" operator="greaterThan">
      <formula>$D74</formula>
    </cfRule>
    <cfRule type="cellIs" dxfId="1221" priority="618" operator="lessThanOrEqual">
      <formula>$D74</formula>
    </cfRule>
  </conditionalFormatting>
  <conditionalFormatting sqref="H46">
    <cfRule type="cellIs" dxfId="1220" priority="615" operator="greaterThan">
      <formula>$D46</formula>
    </cfRule>
    <cfRule type="cellIs" dxfId="1219" priority="616" operator="lessThanOrEqual">
      <formula>$D46</formula>
    </cfRule>
  </conditionalFormatting>
  <conditionalFormatting sqref="H47">
    <cfRule type="cellIs" dxfId="1218" priority="613" operator="greaterThan">
      <formula>$D47</formula>
    </cfRule>
    <cfRule type="cellIs" dxfId="1217" priority="614" operator="lessThanOrEqual">
      <formula>$D47</formula>
    </cfRule>
  </conditionalFormatting>
  <conditionalFormatting sqref="H48">
    <cfRule type="cellIs" dxfId="1216" priority="611" operator="greaterThan">
      <formula>$D48</formula>
    </cfRule>
    <cfRule type="cellIs" dxfId="1215" priority="612" operator="lessThanOrEqual">
      <formula>$D48</formula>
    </cfRule>
  </conditionalFormatting>
  <conditionalFormatting sqref="H49">
    <cfRule type="cellIs" dxfId="1214" priority="609" operator="greaterThan">
      <formula>$D49</formula>
    </cfRule>
    <cfRule type="cellIs" dxfId="1213" priority="610" operator="lessThanOrEqual">
      <formula>$D49</formula>
    </cfRule>
  </conditionalFormatting>
  <conditionalFormatting sqref="H50">
    <cfRule type="cellIs" dxfId="1212" priority="607" operator="greaterThan">
      <formula>$D50</formula>
    </cfRule>
    <cfRule type="cellIs" dxfId="1211" priority="608" operator="lessThanOrEqual">
      <formula>$D50</formula>
    </cfRule>
  </conditionalFormatting>
  <conditionalFormatting sqref="H51">
    <cfRule type="cellIs" dxfId="1210" priority="605" operator="greaterThan">
      <formula>$D51</formula>
    </cfRule>
    <cfRule type="cellIs" dxfId="1209" priority="606" operator="lessThanOrEqual">
      <formula>$D51</formula>
    </cfRule>
  </conditionalFormatting>
  <conditionalFormatting sqref="H52">
    <cfRule type="cellIs" dxfId="1208" priority="603" operator="greaterThan">
      <formula>$D52</formula>
    </cfRule>
    <cfRule type="cellIs" dxfId="1207" priority="604" operator="lessThanOrEqual">
      <formula>$D52</formula>
    </cfRule>
  </conditionalFormatting>
  <conditionalFormatting sqref="H53">
    <cfRule type="cellIs" dxfId="1206" priority="601" operator="greaterThan">
      <formula>$D53</formula>
    </cfRule>
    <cfRule type="cellIs" dxfId="1205" priority="602" operator="lessThanOrEqual">
      <formula>$D53</formula>
    </cfRule>
  </conditionalFormatting>
  <conditionalFormatting sqref="H54">
    <cfRule type="cellIs" dxfId="1204" priority="599" operator="greaterThan">
      <formula>$D54</formula>
    </cfRule>
    <cfRule type="cellIs" dxfId="1203" priority="600" operator="lessThanOrEqual">
      <formula>$D54</formula>
    </cfRule>
  </conditionalFormatting>
  <conditionalFormatting sqref="H56">
    <cfRule type="cellIs" dxfId="1202" priority="597" operator="greaterThan">
      <formula>$D56</formula>
    </cfRule>
    <cfRule type="cellIs" dxfId="1201" priority="598" operator="lessThanOrEqual">
      <formula>$D56</formula>
    </cfRule>
  </conditionalFormatting>
  <conditionalFormatting sqref="H57">
    <cfRule type="cellIs" dxfId="1200" priority="595" operator="greaterThan">
      <formula>$D57</formula>
    </cfRule>
    <cfRule type="cellIs" dxfId="1199" priority="596" operator="lessThanOrEqual">
      <formula>$D57</formula>
    </cfRule>
  </conditionalFormatting>
  <conditionalFormatting sqref="H58">
    <cfRule type="cellIs" dxfId="1198" priority="593" operator="greaterThan">
      <formula>$D58</formula>
    </cfRule>
    <cfRule type="cellIs" dxfId="1197" priority="594" operator="lessThanOrEqual">
      <formula>$D58</formula>
    </cfRule>
  </conditionalFormatting>
  <conditionalFormatting sqref="H59">
    <cfRule type="cellIs" dxfId="1196" priority="591" operator="greaterThan">
      <formula>$D59</formula>
    </cfRule>
    <cfRule type="cellIs" dxfId="1195" priority="592" operator="lessThanOrEqual">
      <formula>$D59</formula>
    </cfRule>
  </conditionalFormatting>
  <conditionalFormatting sqref="H60">
    <cfRule type="cellIs" dxfId="1194" priority="589" operator="greaterThan">
      <formula>$D60</formula>
    </cfRule>
    <cfRule type="cellIs" dxfId="1193" priority="590" operator="lessThanOrEqual">
      <formula>$D60</formula>
    </cfRule>
  </conditionalFormatting>
  <conditionalFormatting sqref="H61">
    <cfRule type="cellIs" dxfId="1192" priority="587" operator="greaterThan">
      <formula>$D61</formula>
    </cfRule>
    <cfRule type="cellIs" dxfId="1191" priority="588" operator="lessThanOrEqual">
      <formula>$D61</formula>
    </cfRule>
  </conditionalFormatting>
  <conditionalFormatting sqref="H62">
    <cfRule type="cellIs" dxfId="1190" priority="585" operator="greaterThan">
      <formula>$D62</formula>
    </cfRule>
    <cfRule type="cellIs" dxfId="1189" priority="586" operator="lessThanOrEqual">
      <formula>$D62</formula>
    </cfRule>
  </conditionalFormatting>
  <conditionalFormatting sqref="H63">
    <cfRule type="cellIs" dxfId="1188" priority="583" operator="greaterThan">
      <formula>$D63</formula>
    </cfRule>
    <cfRule type="cellIs" dxfId="1187" priority="584" operator="lessThanOrEqual">
      <formula>$D63</formula>
    </cfRule>
  </conditionalFormatting>
  <conditionalFormatting sqref="H64">
    <cfRule type="cellIs" dxfId="1186" priority="581" operator="greaterThan">
      <formula>$D64</formula>
    </cfRule>
    <cfRule type="cellIs" dxfId="1185" priority="582" operator="lessThanOrEqual">
      <formula>$D64</formula>
    </cfRule>
  </conditionalFormatting>
  <conditionalFormatting sqref="H65">
    <cfRule type="cellIs" dxfId="1184" priority="579" operator="greaterThan">
      <formula>$D65</formula>
    </cfRule>
    <cfRule type="cellIs" dxfId="1183" priority="580" operator="lessThanOrEqual">
      <formula>$D65</formula>
    </cfRule>
  </conditionalFormatting>
  <conditionalFormatting sqref="H66">
    <cfRule type="cellIs" dxfId="1182" priority="577" operator="greaterThan">
      <formula>$D66</formula>
    </cfRule>
    <cfRule type="cellIs" dxfId="1181" priority="578" operator="lessThanOrEqual">
      <formula>$D66</formula>
    </cfRule>
  </conditionalFormatting>
  <conditionalFormatting sqref="H67">
    <cfRule type="cellIs" dxfId="1180" priority="575" operator="greaterThan">
      <formula>$D67</formula>
    </cfRule>
    <cfRule type="cellIs" dxfId="1179" priority="576" operator="lessThanOrEqual">
      <formula>$D67</formula>
    </cfRule>
  </conditionalFormatting>
  <conditionalFormatting sqref="H68">
    <cfRule type="cellIs" dxfId="1178" priority="573" operator="greaterThan">
      <formula>$D68</formula>
    </cfRule>
    <cfRule type="cellIs" dxfId="1177" priority="574" operator="lessThanOrEqual">
      <formula>$D68</formula>
    </cfRule>
  </conditionalFormatting>
  <conditionalFormatting sqref="H69">
    <cfRule type="cellIs" dxfId="1176" priority="571" operator="greaterThan">
      <formula>$D69</formula>
    </cfRule>
    <cfRule type="cellIs" dxfId="1175" priority="572" operator="lessThanOrEqual">
      <formula>$D69</formula>
    </cfRule>
  </conditionalFormatting>
  <conditionalFormatting sqref="H70">
    <cfRule type="cellIs" dxfId="1174" priority="569" operator="greaterThan">
      <formula>$D70</formula>
    </cfRule>
    <cfRule type="cellIs" dxfId="1173" priority="570" operator="lessThanOrEqual">
      <formula>$D70</formula>
    </cfRule>
  </conditionalFormatting>
  <conditionalFormatting sqref="H71">
    <cfRule type="cellIs" dxfId="1172" priority="567" operator="greaterThan">
      <formula>$D71</formula>
    </cfRule>
    <cfRule type="cellIs" dxfId="1171" priority="568" operator="lessThanOrEqual">
      <formula>$D71</formula>
    </cfRule>
  </conditionalFormatting>
  <conditionalFormatting sqref="H72:H73">
    <cfRule type="cellIs" dxfId="1170" priority="565" operator="greaterThan">
      <formula>$D72</formula>
    </cfRule>
    <cfRule type="cellIs" dxfId="1169" priority="566" operator="lessThanOrEqual">
      <formula>$D72</formula>
    </cfRule>
  </conditionalFormatting>
  <conditionalFormatting sqref="H74">
    <cfRule type="cellIs" dxfId="1168" priority="563" operator="greaterThan">
      <formula>$D74</formula>
    </cfRule>
    <cfRule type="cellIs" dxfId="1167" priority="564" operator="lessThanOrEqual">
      <formula>$D74</formula>
    </cfRule>
  </conditionalFormatting>
  <conditionalFormatting sqref="I46">
    <cfRule type="cellIs" dxfId="1166" priority="561" operator="greaterThan">
      <formula>$D46</formula>
    </cfRule>
    <cfRule type="cellIs" dxfId="1165" priority="562" operator="lessThanOrEqual">
      <formula>$D46</formula>
    </cfRule>
  </conditionalFormatting>
  <conditionalFormatting sqref="I47">
    <cfRule type="cellIs" dxfId="1164" priority="559" operator="greaterThan">
      <formula>$D47</formula>
    </cfRule>
    <cfRule type="cellIs" dxfId="1163" priority="560" operator="lessThanOrEqual">
      <formula>$D47</formula>
    </cfRule>
  </conditionalFormatting>
  <conditionalFormatting sqref="I48">
    <cfRule type="cellIs" dxfId="1162" priority="557" operator="greaterThan">
      <formula>$D48</formula>
    </cfRule>
    <cfRule type="cellIs" dxfId="1161" priority="558" operator="lessThanOrEqual">
      <formula>$D48</formula>
    </cfRule>
  </conditionalFormatting>
  <conditionalFormatting sqref="I49">
    <cfRule type="cellIs" dxfId="1160" priority="555" operator="greaterThan">
      <formula>$D49</formula>
    </cfRule>
    <cfRule type="cellIs" dxfId="1159" priority="556" operator="lessThanOrEqual">
      <formula>$D49</formula>
    </cfRule>
  </conditionalFormatting>
  <conditionalFormatting sqref="I50">
    <cfRule type="cellIs" dxfId="1158" priority="553" operator="greaterThan">
      <formula>$D50</formula>
    </cfRule>
    <cfRule type="cellIs" dxfId="1157" priority="554" operator="lessThanOrEqual">
      <formula>$D50</formula>
    </cfRule>
  </conditionalFormatting>
  <conditionalFormatting sqref="I51">
    <cfRule type="cellIs" dxfId="1156" priority="551" operator="greaterThan">
      <formula>$D51</formula>
    </cfRule>
    <cfRule type="cellIs" dxfId="1155" priority="552" operator="lessThanOrEqual">
      <formula>$D51</formula>
    </cfRule>
  </conditionalFormatting>
  <conditionalFormatting sqref="I52">
    <cfRule type="cellIs" dxfId="1154" priority="549" operator="greaterThan">
      <formula>$D52</formula>
    </cfRule>
    <cfRule type="cellIs" dxfId="1153" priority="550" operator="lessThanOrEqual">
      <formula>$D52</formula>
    </cfRule>
  </conditionalFormatting>
  <conditionalFormatting sqref="I53">
    <cfRule type="cellIs" dxfId="1152" priority="547" operator="greaterThan">
      <formula>$D53</formula>
    </cfRule>
    <cfRule type="cellIs" dxfId="1151" priority="548" operator="lessThanOrEqual">
      <formula>$D53</formula>
    </cfRule>
  </conditionalFormatting>
  <conditionalFormatting sqref="I54">
    <cfRule type="cellIs" dxfId="1150" priority="545" operator="greaterThan">
      <formula>$D54</formula>
    </cfRule>
    <cfRule type="cellIs" dxfId="1149" priority="546" operator="lessThanOrEqual">
      <formula>$D54</formula>
    </cfRule>
  </conditionalFormatting>
  <conditionalFormatting sqref="I56">
    <cfRule type="cellIs" dxfId="1148" priority="543" operator="greaterThan">
      <formula>$D56</formula>
    </cfRule>
    <cfRule type="cellIs" dxfId="1147" priority="544" operator="lessThanOrEqual">
      <formula>$D56</formula>
    </cfRule>
  </conditionalFormatting>
  <conditionalFormatting sqref="I57">
    <cfRule type="cellIs" dxfId="1146" priority="541" operator="greaterThan">
      <formula>$D57</formula>
    </cfRule>
    <cfRule type="cellIs" dxfId="1145" priority="542" operator="lessThanOrEqual">
      <formula>$D57</formula>
    </cfRule>
  </conditionalFormatting>
  <conditionalFormatting sqref="I58">
    <cfRule type="cellIs" dxfId="1144" priority="539" operator="greaterThan">
      <formula>$D58</formula>
    </cfRule>
    <cfRule type="cellIs" dxfId="1143" priority="540" operator="lessThanOrEqual">
      <formula>$D58</formula>
    </cfRule>
  </conditionalFormatting>
  <conditionalFormatting sqref="I59">
    <cfRule type="cellIs" dxfId="1142" priority="537" operator="greaterThan">
      <formula>$D59</formula>
    </cfRule>
    <cfRule type="cellIs" dxfId="1141" priority="538" operator="lessThanOrEqual">
      <formula>$D59</formula>
    </cfRule>
  </conditionalFormatting>
  <conditionalFormatting sqref="I60">
    <cfRule type="cellIs" dxfId="1140" priority="535" operator="greaterThan">
      <formula>$D60</formula>
    </cfRule>
    <cfRule type="cellIs" dxfId="1139" priority="536" operator="lessThanOrEqual">
      <formula>$D60</formula>
    </cfRule>
  </conditionalFormatting>
  <conditionalFormatting sqref="I61">
    <cfRule type="cellIs" dxfId="1138" priority="533" operator="greaterThan">
      <formula>$D61</formula>
    </cfRule>
    <cfRule type="cellIs" dxfId="1137" priority="534" operator="lessThanOrEqual">
      <formula>$D61</formula>
    </cfRule>
  </conditionalFormatting>
  <conditionalFormatting sqref="I62">
    <cfRule type="cellIs" dxfId="1136" priority="531" operator="greaterThan">
      <formula>$D62</formula>
    </cfRule>
    <cfRule type="cellIs" dxfId="1135" priority="532" operator="lessThanOrEqual">
      <formula>$D62</formula>
    </cfRule>
  </conditionalFormatting>
  <conditionalFormatting sqref="I63">
    <cfRule type="cellIs" dxfId="1134" priority="529" operator="greaterThan">
      <formula>$D63</formula>
    </cfRule>
    <cfRule type="cellIs" dxfId="1133" priority="530" operator="lessThanOrEqual">
      <formula>$D63</formula>
    </cfRule>
  </conditionalFormatting>
  <conditionalFormatting sqref="I64">
    <cfRule type="cellIs" dxfId="1132" priority="527" operator="greaterThan">
      <formula>$D64</formula>
    </cfRule>
    <cfRule type="cellIs" dxfId="1131" priority="528" operator="lessThanOrEqual">
      <formula>$D64</formula>
    </cfRule>
  </conditionalFormatting>
  <conditionalFormatting sqref="I65">
    <cfRule type="cellIs" dxfId="1130" priority="525" operator="greaterThan">
      <formula>$D65</formula>
    </cfRule>
    <cfRule type="cellIs" dxfId="1129" priority="526" operator="lessThanOrEqual">
      <formula>$D65</formula>
    </cfRule>
  </conditionalFormatting>
  <conditionalFormatting sqref="I66">
    <cfRule type="cellIs" dxfId="1128" priority="523" operator="greaterThan">
      <formula>$D66</formula>
    </cfRule>
    <cfRule type="cellIs" dxfId="1127" priority="524" operator="lessThanOrEqual">
      <formula>$D66</formula>
    </cfRule>
  </conditionalFormatting>
  <conditionalFormatting sqref="I67">
    <cfRule type="cellIs" dxfId="1126" priority="521" operator="greaterThan">
      <formula>$D67</formula>
    </cfRule>
    <cfRule type="cellIs" dxfId="1125" priority="522" operator="lessThanOrEqual">
      <formula>$D67</formula>
    </cfRule>
  </conditionalFormatting>
  <conditionalFormatting sqref="I68">
    <cfRule type="cellIs" dxfId="1124" priority="519" operator="greaterThan">
      <formula>$D68</formula>
    </cfRule>
    <cfRule type="cellIs" dxfId="1123" priority="520" operator="lessThanOrEqual">
      <formula>$D68</formula>
    </cfRule>
  </conditionalFormatting>
  <conditionalFormatting sqref="I69">
    <cfRule type="cellIs" dxfId="1122" priority="517" operator="greaterThan">
      <formula>$D69</formula>
    </cfRule>
    <cfRule type="cellIs" dxfId="1121" priority="518" operator="lessThanOrEqual">
      <formula>$D69</formula>
    </cfRule>
  </conditionalFormatting>
  <conditionalFormatting sqref="I70">
    <cfRule type="cellIs" dxfId="1120" priority="515" operator="greaterThan">
      <formula>$D70</formula>
    </cfRule>
    <cfRule type="cellIs" dxfId="1119" priority="516" operator="lessThanOrEqual">
      <formula>$D70</formula>
    </cfRule>
  </conditionalFormatting>
  <conditionalFormatting sqref="I71">
    <cfRule type="cellIs" dxfId="1118" priority="513" operator="greaterThan">
      <formula>$D71</formula>
    </cfRule>
    <cfRule type="cellIs" dxfId="1117" priority="514" operator="lessThanOrEqual">
      <formula>$D71</formula>
    </cfRule>
  </conditionalFormatting>
  <conditionalFormatting sqref="I72:I73">
    <cfRule type="cellIs" dxfId="1116" priority="511" operator="greaterThan">
      <formula>$D72</formula>
    </cfRule>
    <cfRule type="cellIs" dxfId="1115" priority="512" operator="lessThanOrEqual">
      <formula>$D72</formula>
    </cfRule>
  </conditionalFormatting>
  <conditionalFormatting sqref="I74">
    <cfRule type="cellIs" dxfId="1114" priority="509" operator="greaterThan">
      <formula>$D74</formula>
    </cfRule>
    <cfRule type="cellIs" dxfId="1113" priority="510" operator="lessThanOrEqual">
      <formula>$D74</formula>
    </cfRule>
  </conditionalFormatting>
  <conditionalFormatting sqref="J46">
    <cfRule type="cellIs" dxfId="1112" priority="507" operator="greaterThan">
      <formula>$D46</formula>
    </cfRule>
    <cfRule type="cellIs" dxfId="1111" priority="508" operator="lessThanOrEqual">
      <formula>$D46</formula>
    </cfRule>
  </conditionalFormatting>
  <conditionalFormatting sqref="J47">
    <cfRule type="cellIs" dxfId="1110" priority="505" operator="greaterThan">
      <formula>$D47</formula>
    </cfRule>
    <cfRule type="cellIs" dxfId="1109" priority="506" operator="lessThanOrEqual">
      <formula>$D47</formula>
    </cfRule>
  </conditionalFormatting>
  <conditionalFormatting sqref="J48">
    <cfRule type="cellIs" dxfId="1108" priority="503" operator="greaterThan">
      <formula>$D48</formula>
    </cfRule>
    <cfRule type="cellIs" dxfId="1107" priority="504" operator="lessThanOrEqual">
      <formula>$D48</formula>
    </cfRule>
  </conditionalFormatting>
  <conditionalFormatting sqref="J49">
    <cfRule type="cellIs" dxfId="1106" priority="501" operator="greaterThan">
      <formula>$D49</formula>
    </cfRule>
    <cfRule type="cellIs" dxfId="1105" priority="502" operator="lessThanOrEqual">
      <formula>$D49</formula>
    </cfRule>
  </conditionalFormatting>
  <conditionalFormatting sqref="J50">
    <cfRule type="cellIs" dxfId="1104" priority="499" operator="greaterThan">
      <formula>$D50</formula>
    </cfRule>
    <cfRule type="cellIs" dxfId="1103" priority="500" operator="lessThanOrEqual">
      <formula>$D50</formula>
    </cfRule>
  </conditionalFormatting>
  <conditionalFormatting sqref="J51">
    <cfRule type="cellIs" dxfId="1102" priority="497" operator="greaterThan">
      <formula>$D51</formula>
    </cfRule>
    <cfRule type="cellIs" dxfId="1101" priority="498" operator="lessThanOrEqual">
      <formula>$D51</formula>
    </cfRule>
  </conditionalFormatting>
  <conditionalFormatting sqref="J52">
    <cfRule type="cellIs" dxfId="1100" priority="495" operator="greaterThan">
      <formula>$D52</formula>
    </cfRule>
    <cfRule type="cellIs" dxfId="1099" priority="496" operator="lessThanOrEqual">
      <formula>$D52</formula>
    </cfRule>
  </conditionalFormatting>
  <conditionalFormatting sqref="J53">
    <cfRule type="cellIs" dxfId="1098" priority="493" operator="greaterThan">
      <formula>$D53</formula>
    </cfRule>
    <cfRule type="cellIs" dxfId="1097" priority="494" operator="lessThanOrEqual">
      <formula>$D53</formula>
    </cfRule>
  </conditionalFormatting>
  <conditionalFormatting sqref="J54">
    <cfRule type="cellIs" dxfId="1096" priority="491" operator="greaterThan">
      <formula>$D54</formula>
    </cfRule>
    <cfRule type="cellIs" dxfId="1095" priority="492" operator="lessThanOrEqual">
      <formula>$D54</formula>
    </cfRule>
  </conditionalFormatting>
  <conditionalFormatting sqref="J56">
    <cfRule type="cellIs" dxfId="1094" priority="489" operator="greaterThan">
      <formula>$D56</formula>
    </cfRule>
    <cfRule type="cellIs" dxfId="1093" priority="490" operator="lessThanOrEqual">
      <formula>$D56</formula>
    </cfRule>
  </conditionalFormatting>
  <conditionalFormatting sqref="J57">
    <cfRule type="cellIs" dxfId="1092" priority="487" operator="greaterThan">
      <formula>$D57</formula>
    </cfRule>
    <cfRule type="cellIs" dxfId="1091" priority="488" operator="lessThanOrEqual">
      <formula>$D57</formula>
    </cfRule>
  </conditionalFormatting>
  <conditionalFormatting sqref="J58">
    <cfRule type="cellIs" dxfId="1090" priority="485" operator="greaterThan">
      <formula>$D58</formula>
    </cfRule>
    <cfRule type="cellIs" dxfId="1089" priority="486" operator="lessThanOrEqual">
      <formula>$D58</formula>
    </cfRule>
  </conditionalFormatting>
  <conditionalFormatting sqref="J59">
    <cfRule type="cellIs" dxfId="1088" priority="483" operator="greaterThan">
      <formula>$D59</formula>
    </cfRule>
    <cfRule type="cellIs" dxfId="1087" priority="484" operator="lessThanOrEqual">
      <formula>$D59</formula>
    </cfRule>
  </conditionalFormatting>
  <conditionalFormatting sqref="J60">
    <cfRule type="cellIs" dxfId="1086" priority="481" operator="greaterThan">
      <formula>$D60</formula>
    </cfRule>
    <cfRule type="cellIs" dxfId="1085" priority="482" operator="lessThanOrEqual">
      <formula>$D60</formula>
    </cfRule>
  </conditionalFormatting>
  <conditionalFormatting sqref="J61">
    <cfRule type="cellIs" dxfId="1084" priority="479" operator="greaterThan">
      <formula>$D61</formula>
    </cfRule>
    <cfRule type="cellIs" dxfId="1083" priority="480" operator="lessThanOrEqual">
      <formula>$D61</formula>
    </cfRule>
  </conditionalFormatting>
  <conditionalFormatting sqref="J62">
    <cfRule type="cellIs" dxfId="1082" priority="477" operator="greaterThan">
      <formula>$D62</formula>
    </cfRule>
    <cfRule type="cellIs" dxfId="1081" priority="478" operator="lessThanOrEqual">
      <formula>$D62</formula>
    </cfRule>
  </conditionalFormatting>
  <conditionalFormatting sqref="J63">
    <cfRule type="cellIs" dxfId="1080" priority="475" operator="greaterThan">
      <formula>$D63</formula>
    </cfRule>
    <cfRule type="cellIs" dxfId="1079" priority="476" operator="lessThanOrEqual">
      <formula>$D63</formula>
    </cfRule>
  </conditionalFormatting>
  <conditionalFormatting sqref="J64">
    <cfRule type="cellIs" dxfId="1078" priority="473" operator="greaterThan">
      <formula>$D64</formula>
    </cfRule>
    <cfRule type="cellIs" dxfId="1077" priority="474" operator="lessThanOrEqual">
      <formula>$D64</formula>
    </cfRule>
  </conditionalFormatting>
  <conditionalFormatting sqref="J65">
    <cfRule type="cellIs" dxfId="1076" priority="471" operator="greaterThan">
      <formula>$D65</formula>
    </cfRule>
    <cfRule type="cellIs" dxfId="1075" priority="472" operator="lessThanOrEqual">
      <formula>$D65</formula>
    </cfRule>
  </conditionalFormatting>
  <conditionalFormatting sqref="J66">
    <cfRule type="cellIs" dxfId="1074" priority="469" operator="greaterThan">
      <formula>$D66</formula>
    </cfRule>
    <cfRule type="cellIs" dxfId="1073" priority="470" operator="lessThanOrEqual">
      <formula>$D66</formula>
    </cfRule>
  </conditionalFormatting>
  <conditionalFormatting sqref="J67">
    <cfRule type="cellIs" dxfId="1072" priority="467" operator="greaterThan">
      <formula>$D67</formula>
    </cfRule>
    <cfRule type="cellIs" dxfId="1071" priority="468" operator="lessThanOrEqual">
      <formula>$D67</formula>
    </cfRule>
  </conditionalFormatting>
  <conditionalFormatting sqref="J68">
    <cfRule type="cellIs" dxfId="1070" priority="465" operator="greaterThan">
      <formula>$D68</formula>
    </cfRule>
    <cfRule type="cellIs" dxfId="1069" priority="466" operator="lessThanOrEqual">
      <formula>$D68</formula>
    </cfRule>
  </conditionalFormatting>
  <conditionalFormatting sqref="J69">
    <cfRule type="cellIs" dxfId="1068" priority="463" operator="greaterThan">
      <formula>$D69</formula>
    </cfRule>
    <cfRule type="cellIs" dxfId="1067" priority="464" operator="lessThanOrEqual">
      <formula>$D69</formula>
    </cfRule>
  </conditionalFormatting>
  <conditionalFormatting sqref="J70">
    <cfRule type="cellIs" dxfId="1066" priority="461" operator="greaterThan">
      <formula>$D70</formula>
    </cfRule>
    <cfRule type="cellIs" dxfId="1065" priority="462" operator="lessThanOrEqual">
      <formula>$D70</formula>
    </cfRule>
  </conditionalFormatting>
  <conditionalFormatting sqref="J71">
    <cfRule type="cellIs" dxfId="1064" priority="459" operator="greaterThan">
      <formula>$D71</formula>
    </cfRule>
    <cfRule type="cellIs" dxfId="1063" priority="460" operator="lessThanOrEqual">
      <formula>$D71</formula>
    </cfRule>
  </conditionalFormatting>
  <conditionalFormatting sqref="J72:J73">
    <cfRule type="cellIs" dxfId="1062" priority="457" operator="greaterThan">
      <formula>$D72</formula>
    </cfRule>
    <cfRule type="cellIs" dxfId="1061" priority="458" operator="lessThanOrEqual">
      <formula>$D72</formula>
    </cfRule>
  </conditionalFormatting>
  <conditionalFormatting sqref="J74">
    <cfRule type="cellIs" dxfId="1060" priority="455" operator="greaterThan">
      <formula>$D74</formula>
    </cfRule>
    <cfRule type="cellIs" dxfId="1059" priority="456" operator="lessThanOrEqual">
      <formula>$D74</formula>
    </cfRule>
  </conditionalFormatting>
  <conditionalFormatting sqref="K46">
    <cfRule type="cellIs" dxfId="1058" priority="453" operator="greaterThan">
      <formula>$D46</formula>
    </cfRule>
    <cfRule type="cellIs" dxfId="1057" priority="454" operator="lessThanOrEqual">
      <formula>$D46</formula>
    </cfRule>
  </conditionalFormatting>
  <conditionalFormatting sqref="K47">
    <cfRule type="cellIs" dxfId="1056" priority="451" operator="greaterThan">
      <formula>$D47</formula>
    </cfRule>
    <cfRule type="cellIs" dxfId="1055" priority="452" operator="lessThanOrEqual">
      <formula>$D47</formula>
    </cfRule>
  </conditionalFormatting>
  <conditionalFormatting sqref="K48">
    <cfRule type="cellIs" dxfId="1054" priority="449" operator="greaterThan">
      <formula>$D48</formula>
    </cfRule>
    <cfRule type="cellIs" dxfId="1053" priority="450" operator="lessThanOrEqual">
      <formula>$D48</formula>
    </cfRule>
  </conditionalFormatting>
  <conditionalFormatting sqref="K49">
    <cfRule type="cellIs" dxfId="1052" priority="447" operator="greaterThan">
      <formula>$D49</formula>
    </cfRule>
    <cfRule type="cellIs" dxfId="1051" priority="448" operator="lessThanOrEqual">
      <formula>$D49</formula>
    </cfRule>
  </conditionalFormatting>
  <conditionalFormatting sqref="K50">
    <cfRule type="cellIs" dxfId="1050" priority="445" operator="greaterThan">
      <formula>$D50</formula>
    </cfRule>
    <cfRule type="cellIs" dxfId="1049" priority="446" operator="lessThanOrEqual">
      <formula>$D50</formula>
    </cfRule>
  </conditionalFormatting>
  <conditionalFormatting sqref="K51">
    <cfRule type="cellIs" dxfId="1048" priority="443" operator="greaterThan">
      <formula>$D51</formula>
    </cfRule>
    <cfRule type="cellIs" dxfId="1047" priority="444" operator="lessThanOrEqual">
      <formula>$D51</formula>
    </cfRule>
  </conditionalFormatting>
  <conditionalFormatting sqref="K52">
    <cfRule type="cellIs" dxfId="1046" priority="441" operator="greaterThan">
      <formula>$D52</formula>
    </cfRule>
    <cfRule type="cellIs" dxfId="1045" priority="442" operator="lessThanOrEqual">
      <formula>$D52</formula>
    </cfRule>
  </conditionalFormatting>
  <conditionalFormatting sqref="K53">
    <cfRule type="cellIs" dxfId="1044" priority="439" operator="greaterThan">
      <formula>$D53</formula>
    </cfRule>
    <cfRule type="cellIs" dxfId="1043" priority="440" operator="lessThanOrEqual">
      <formula>$D53</formula>
    </cfRule>
  </conditionalFormatting>
  <conditionalFormatting sqref="K54">
    <cfRule type="cellIs" dxfId="1042" priority="437" operator="greaterThan">
      <formula>$D54</formula>
    </cfRule>
    <cfRule type="cellIs" dxfId="1041" priority="438" operator="lessThanOrEqual">
      <formula>$D54</formula>
    </cfRule>
  </conditionalFormatting>
  <conditionalFormatting sqref="K56">
    <cfRule type="cellIs" dxfId="1040" priority="435" operator="greaterThan">
      <formula>$D56</formula>
    </cfRule>
    <cfRule type="cellIs" dxfId="1039" priority="436" operator="lessThanOrEqual">
      <formula>$D56</formula>
    </cfRule>
  </conditionalFormatting>
  <conditionalFormatting sqref="K57">
    <cfRule type="cellIs" dxfId="1038" priority="433" operator="greaterThan">
      <formula>$D57</formula>
    </cfRule>
    <cfRule type="cellIs" dxfId="1037" priority="434" operator="lessThanOrEqual">
      <formula>$D57</formula>
    </cfRule>
  </conditionalFormatting>
  <conditionalFormatting sqref="K58">
    <cfRule type="cellIs" dxfId="1036" priority="431" operator="greaterThan">
      <formula>$D58</formula>
    </cfRule>
    <cfRule type="cellIs" dxfId="1035" priority="432" operator="lessThanOrEqual">
      <formula>$D58</formula>
    </cfRule>
  </conditionalFormatting>
  <conditionalFormatting sqref="K59">
    <cfRule type="cellIs" dxfId="1034" priority="429" operator="greaterThan">
      <formula>$D59</formula>
    </cfRule>
    <cfRule type="cellIs" dxfId="1033" priority="430" operator="lessThanOrEqual">
      <formula>$D59</formula>
    </cfRule>
  </conditionalFormatting>
  <conditionalFormatting sqref="K60">
    <cfRule type="cellIs" dxfId="1032" priority="427" operator="greaterThan">
      <formula>$D60</formula>
    </cfRule>
    <cfRule type="cellIs" dxfId="1031" priority="428" operator="lessThanOrEqual">
      <formula>$D60</formula>
    </cfRule>
  </conditionalFormatting>
  <conditionalFormatting sqref="K61">
    <cfRule type="cellIs" dxfId="1030" priority="425" operator="greaterThan">
      <formula>$D61</formula>
    </cfRule>
    <cfRule type="cellIs" dxfId="1029" priority="426" operator="lessThanOrEqual">
      <formula>$D61</formula>
    </cfRule>
  </conditionalFormatting>
  <conditionalFormatting sqref="K62">
    <cfRule type="cellIs" dxfId="1028" priority="423" operator="greaterThan">
      <formula>$D62</formula>
    </cfRule>
    <cfRule type="cellIs" dxfId="1027" priority="424" operator="lessThanOrEqual">
      <formula>$D62</formula>
    </cfRule>
  </conditionalFormatting>
  <conditionalFormatting sqref="K63">
    <cfRule type="cellIs" dxfId="1026" priority="421" operator="greaterThan">
      <formula>$D63</formula>
    </cfRule>
    <cfRule type="cellIs" dxfId="1025" priority="422" operator="lessThanOrEqual">
      <formula>$D63</formula>
    </cfRule>
  </conditionalFormatting>
  <conditionalFormatting sqref="K64">
    <cfRule type="cellIs" dxfId="1024" priority="419" operator="greaterThan">
      <formula>$D64</formula>
    </cfRule>
    <cfRule type="cellIs" dxfId="1023" priority="420" operator="lessThanOrEqual">
      <formula>$D64</formula>
    </cfRule>
  </conditionalFormatting>
  <conditionalFormatting sqref="K65">
    <cfRule type="cellIs" dxfId="1022" priority="417" operator="greaterThan">
      <formula>$D65</formula>
    </cfRule>
    <cfRule type="cellIs" dxfId="1021" priority="418" operator="lessThanOrEqual">
      <formula>$D65</formula>
    </cfRule>
  </conditionalFormatting>
  <conditionalFormatting sqref="K66">
    <cfRule type="cellIs" dxfId="1020" priority="415" operator="greaterThan">
      <formula>$D66</formula>
    </cfRule>
    <cfRule type="cellIs" dxfId="1019" priority="416" operator="lessThanOrEqual">
      <formula>$D66</formula>
    </cfRule>
  </conditionalFormatting>
  <conditionalFormatting sqref="K67">
    <cfRule type="cellIs" dxfId="1018" priority="413" operator="greaterThan">
      <formula>$D67</formula>
    </cfRule>
    <cfRule type="cellIs" dxfId="1017" priority="414" operator="lessThanOrEqual">
      <formula>$D67</formula>
    </cfRule>
  </conditionalFormatting>
  <conditionalFormatting sqref="K68">
    <cfRule type="cellIs" dxfId="1016" priority="411" operator="greaterThan">
      <formula>$D68</formula>
    </cfRule>
    <cfRule type="cellIs" dxfId="1015" priority="412" operator="lessThanOrEqual">
      <formula>$D68</formula>
    </cfRule>
  </conditionalFormatting>
  <conditionalFormatting sqref="K69">
    <cfRule type="cellIs" dxfId="1014" priority="409" operator="greaterThan">
      <formula>$D69</formula>
    </cfRule>
    <cfRule type="cellIs" dxfId="1013" priority="410" operator="lessThanOrEqual">
      <formula>$D69</formula>
    </cfRule>
  </conditionalFormatting>
  <conditionalFormatting sqref="K70">
    <cfRule type="cellIs" dxfId="1012" priority="407" operator="greaterThan">
      <formula>$D70</formula>
    </cfRule>
    <cfRule type="cellIs" dxfId="1011" priority="408" operator="lessThanOrEqual">
      <formula>$D70</formula>
    </cfRule>
  </conditionalFormatting>
  <conditionalFormatting sqref="K71">
    <cfRule type="cellIs" dxfId="1010" priority="405" operator="greaterThan">
      <formula>$D71</formula>
    </cfRule>
    <cfRule type="cellIs" dxfId="1009" priority="406" operator="lessThanOrEqual">
      <formula>$D71</formula>
    </cfRule>
  </conditionalFormatting>
  <conditionalFormatting sqref="K72:K73">
    <cfRule type="cellIs" dxfId="1008" priority="403" operator="greaterThan">
      <formula>$D72</formula>
    </cfRule>
    <cfRule type="cellIs" dxfId="1007" priority="404" operator="lessThanOrEqual">
      <formula>$D72</formula>
    </cfRule>
  </conditionalFormatting>
  <conditionalFormatting sqref="K74">
    <cfRule type="cellIs" dxfId="1006" priority="401" operator="greaterThan">
      <formula>$D74</formula>
    </cfRule>
    <cfRule type="cellIs" dxfId="1005" priority="402" operator="lessThanOrEqual">
      <formula>$D74</formula>
    </cfRule>
  </conditionalFormatting>
  <conditionalFormatting sqref="L46">
    <cfRule type="cellIs" dxfId="1004" priority="399" operator="greaterThan">
      <formula>$D46</formula>
    </cfRule>
    <cfRule type="cellIs" dxfId="1003" priority="400" operator="lessThanOrEqual">
      <formula>$D46</formula>
    </cfRule>
  </conditionalFormatting>
  <conditionalFormatting sqref="L47">
    <cfRule type="cellIs" dxfId="1002" priority="397" operator="greaterThan">
      <formula>$D47</formula>
    </cfRule>
    <cfRule type="cellIs" dxfId="1001" priority="398" operator="lessThanOrEqual">
      <formula>$D47</formula>
    </cfRule>
  </conditionalFormatting>
  <conditionalFormatting sqref="L48">
    <cfRule type="cellIs" dxfId="1000" priority="395" operator="greaterThan">
      <formula>$D48</formula>
    </cfRule>
    <cfRule type="cellIs" dxfId="999" priority="396" operator="lessThanOrEqual">
      <formula>$D48</formula>
    </cfRule>
  </conditionalFormatting>
  <conditionalFormatting sqref="L49">
    <cfRule type="cellIs" dxfId="998" priority="393" operator="greaterThan">
      <formula>$D49</formula>
    </cfRule>
    <cfRule type="cellIs" dxfId="997" priority="394" operator="lessThanOrEqual">
      <formula>$D49</formula>
    </cfRule>
  </conditionalFormatting>
  <conditionalFormatting sqref="L50">
    <cfRule type="cellIs" dxfId="996" priority="391" operator="greaterThan">
      <formula>$D50</formula>
    </cfRule>
    <cfRule type="cellIs" dxfId="995" priority="392" operator="lessThanOrEqual">
      <formula>$D50</formula>
    </cfRule>
  </conditionalFormatting>
  <conditionalFormatting sqref="L51">
    <cfRule type="cellIs" dxfId="994" priority="389" operator="greaterThan">
      <formula>$D51</formula>
    </cfRule>
    <cfRule type="cellIs" dxfId="993" priority="390" operator="lessThanOrEqual">
      <formula>$D51</formula>
    </cfRule>
  </conditionalFormatting>
  <conditionalFormatting sqref="L52">
    <cfRule type="cellIs" dxfId="992" priority="387" operator="greaterThan">
      <formula>$D52</formula>
    </cfRule>
    <cfRule type="cellIs" dxfId="991" priority="388" operator="lessThanOrEqual">
      <formula>$D52</formula>
    </cfRule>
  </conditionalFormatting>
  <conditionalFormatting sqref="L53">
    <cfRule type="cellIs" dxfId="990" priority="385" operator="greaterThan">
      <formula>$D53</formula>
    </cfRule>
    <cfRule type="cellIs" dxfId="989" priority="386" operator="lessThanOrEqual">
      <formula>$D53</formula>
    </cfRule>
  </conditionalFormatting>
  <conditionalFormatting sqref="L54">
    <cfRule type="cellIs" dxfId="988" priority="383" operator="greaterThan">
      <formula>$D54</formula>
    </cfRule>
    <cfRule type="cellIs" dxfId="987" priority="384" operator="lessThanOrEqual">
      <formula>$D54</formula>
    </cfRule>
  </conditionalFormatting>
  <conditionalFormatting sqref="L56">
    <cfRule type="cellIs" dxfId="986" priority="381" operator="greaterThan">
      <formula>$D56</formula>
    </cfRule>
    <cfRule type="cellIs" dxfId="985" priority="382" operator="lessThanOrEqual">
      <formula>$D56</formula>
    </cfRule>
  </conditionalFormatting>
  <conditionalFormatting sqref="L57">
    <cfRule type="cellIs" dxfId="984" priority="379" operator="greaterThan">
      <formula>$D57</formula>
    </cfRule>
    <cfRule type="cellIs" dxfId="983" priority="380" operator="lessThanOrEqual">
      <formula>$D57</formula>
    </cfRule>
  </conditionalFormatting>
  <conditionalFormatting sqref="L58">
    <cfRule type="cellIs" dxfId="982" priority="377" operator="greaterThan">
      <formula>$D58</formula>
    </cfRule>
    <cfRule type="cellIs" dxfId="981" priority="378" operator="lessThanOrEqual">
      <formula>$D58</formula>
    </cfRule>
  </conditionalFormatting>
  <conditionalFormatting sqref="L59">
    <cfRule type="cellIs" dxfId="980" priority="375" operator="greaterThan">
      <formula>$D59</formula>
    </cfRule>
    <cfRule type="cellIs" dxfId="979" priority="376" operator="lessThanOrEqual">
      <formula>$D59</formula>
    </cfRule>
  </conditionalFormatting>
  <conditionalFormatting sqref="L60">
    <cfRule type="cellIs" dxfId="978" priority="373" operator="greaterThan">
      <formula>$D60</formula>
    </cfRule>
    <cfRule type="cellIs" dxfId="977" priority="374" operator="lessThanOrEqual">
      <formula>$D60</formula>
    </cfRule>
  </conditionalFormatting>
  <conditionalFormatting sqref="L61">
    <cfRule type="cellIs" dxfId="976" priority="371" operator="greaterThan">
      <formula>$D61</formula>
    </cfRule>
    <cfRule type="cellIs" dxfId="975" priority="372" operator="lessThanOrEqual">
      <formula>$D61</formula>
    </cfRule>
  </conditionalFormatting>
  <conditionalFormatting sqref="L62">
    <cfRule type="cellIs" dxfId="974" priority="369" operator="greaterThan">
      <formula>$D62</formula>
    </cfRule>
    <cfRule type="cellIs" dxfId="973" priority="370" operator="lessThanOrEqual">
      <formula>$D62</formula>
    </cfRule>
  </conditionalFormatting>
  <conditionalFormatting sqref="L63">
    <cfRule type="cellIs" dxfId="972" priority="367" operator="greaterThan">
      <formula>$D63</formula>
    </cfRule>
    <cfRule type="cellIs" dxfId="971" priority="368" operator="lessThanOrEqual">
      <formula>$D63</formula>
    </cfRule>
  </conditionalFormatting>
  <conditionalFormatting sqref="L64">
    <cfRule type="cellIs" dxfId="970" priority="365" operator="greaterThan">
      <formula>$D64</formula>
    </cfRule>
    <cfRule type="cellIs" dxfId="969" priority="366" operator="lessThanOrEqual">
      <formula>$D64</formula>
    </cfRule>
  </conditionalFormatting>
  <conditionalFormatting sqref="L65">
    <cfRule type="cellIs" dxfId="968" priority="363" operator="greaterThan">
      <formula>$D65</formula>
    </cfRule>
    <cfRule type="cellIs" dxfId="967" priority="364" operator="lessThanOrEqual">
      <formula>$D65</formula>
    </cfRule>
  </conditionalFormatting>
  <conditionalFormatting sqref="L66">
    <cfRule type="cellIs" dxfId="966" priority="361" operator="greaterThan">
      <formula>$D66</formula>
    </cfRule>
    <cfRule type="cellIs" dxfId="965" priority="362" operator="lessThanOrEqual">
      <formula>$D66</formula>
    </cfRule>
  </conditionalFormatting>
  <conditionalFormatting sqref="L67">
    <cfRule type="cellIs" dxfId="964" priority="359" operator="greaterThan">
      <formula>$D67</formula>
    </cfRule>
    <cfRule type="cellIs" dxfId="963" priority="360" operator="lessThanOrEqual">
      <formula>$D67</formula>
    </cfRule>
  </conditionalFormatting>
  <conditionalFormatting sqref="L68">
    <cfRule type="cellIs" dxfId="962" priority="357" operator="greaterThan">
      <formula>$D68</formula>
    </cfRule>
    <cfRule type="cellIs" dxfId="961" priority="358" operator="lessThanOrEqual">
      <formula>$D68</formula>
    </cfRule>
  </conditionalFormatting>
  <conditionalFormatting sqref="L69">
    <cfRule type="cellIs" dxfId="960" priority="355" operator="greaterThan">
      <formula>$D69</formula>
    </cfRule>
    <cfRule type="cellIs" dxfId="959" priority="356" operator="lessThanOrEqual">
      <formula>$D69</formula>
    </cfRule>
  </conditionalFormatting>
  <conditionalFormatting sqref="L70">
    <cfRule type="cellIs" dxfId="958" priority="353" operator="greaterThan">
      <formula>$D70</formula>
    </cfRule>
    <cfRule type="cellIs" dxfId="957" priority="354" operator="lessThanOrEqual">
      <formula>$D70</formula>
    </cfRule>
  </conditionalFormatting>
  <conditionalFormatting sqref="L71">
    <cfRule type="cellIs" dxfId="956" priority="351" operator="greaterThan">
      <formula>$D71</formula>
    </cfRule>
    <cfRule type="cellIs" dxfId="955" priority="352" operator="lessThanOrEqual">
      <formula>$D71</formula>
    </cfRule>
  </conditionalFormatting>
  <conditionalFormatting sqref="L72:L73">
    <cfRule type="cellIs" dxfId="954" priority="349" operator="greaterThan">
      <formula>$D72</formula>
    </cfRule>
    <cfRule type="cellIs" dxfId="953" priority="350" operator="lessThanOrEqual">
      <formula>$D72</formula>
    </cfRule>
  </conditionalFormatting>
  <conditionalFormatting sqref="L74">
    <cfRule type="cellIs" dxfId="952" priority="347" operator="greaterThan">
      <formula>$D74</formula>
    </cfRule>
    <cfRule type="cellIs" dxfId="951" priority="348" operator="lessThanOrEqual">
      <formula>$D74</formula>
    </cfRule>
  </conditionalFormatting>
  <conditionalFormatting sqref="M46">
    <cfRule type="cellIs" dxfId="950" priority="345" operator="greaterThan">
      <formula>$D46</formula>
    </cfRule>
    <cfRule type="cellIs" dxfId="949" priority="346" operator="lessThanOrEqual">
      <formula>$D46</formula>
    </cfRule>
  </conditionalFormatting>
  <conditionalFormatting sqref="M47">
    <cfRule type="cellIs" dxfId="948" priority="343" operator="greaterThan">
      <formula>$D47</formula>
    </cfRule>
    <cfRule type="cellIs" dxfId="947" priority="344" operator="lessThanOrEqual">
      <formula>$D47</formula>
    </cfRule>
  </conditionalFormatting>
  <conditionalFormatting sqref="M48">
    <cfRule type="cellIs" dxfId="946" priority="341" operator="greaterThan">
      <formula>$D48</formula>
    </cfRule>
    <cfRule type="cellIs" dxfId="945" priority="342" operator="lessThanOrEqual">
      <formula>$D48</formula>
    </cfRule>
  </conditionalFormatting>
  <conditionalFormatting sqref="M49">
    <cfRule type="cellIs" dxfId="944" priority="339" operator="greaterThan">
      <formula>$D49</formula>
    </cfRule>
    <cfRule type="cellIs" dxfId="943" priority="340" operator="lessThanOrEqual">
      <formula>$D49</formula>
    </cfRule>
  </conditionalFormatting>
  <conditionalFormatting sqref="M50">
    <cfRule type="cellIs" dxfId="942" priority="337" operator="greaterThan">
      <formula>$D50</formula>
    </cfRule>
    <cfRule type="cellIs" dxfId="941" priority="338" operator="lessThanOrEqual">
      <formula>$D50</formula>
    </cfRule>
  </conditionalFormatting>
  <conditionalFormatting sqref="M51">
    <cfRule type="cellIs" dxfId="940" priority="335" operator="greaterThan">
      <formula>$D51</formula>
    </cfRule>
    <cfRule type="cellIs" dxfId="939" priority="336" operator="lessThanOrEqual">
      <formula>$D51</formula>
    </cfRule>
  </conditionalFormatting>
  <conditionalFormatting sqref="M52">
    <cfRule type="cellIs" dxfId="938" priority="333" operator="greaterThan">
      <formula>$D52</formula>
    </cfRule>
    <cfRule type="cellIs" dxfId="937" priority="334" operator="lessThanOrEqual">
      <formula>$D52</formula>
    </cfRule>
  </conditionalFormatting>
  <conditionalFormatting sqref="M53">
    <cfRule type="cellIs" dxfId="936" priority="331" operator="greaterThan">
      <formula>$D53</formula>
    </cfRule>
    <cfRule type="cellIs" dxfId="935" priority="332" operator="lessThanOrEqual">
      <formula>$D53</formula>
    </cfRule>
  </conditionalFormatting>
  <conditionalFormatting sqref="M54">
    <cfRule type="cellIs" dxfId="934" priority="329" operator="greaterThan">
      <formula>$D54</formula>
    </cfRule>
    <cfRule type="cellIs" dxfId="933" priority="330" operator="lessThanOrEqual">
      <formula>$D54</formula>
    </cfRule>
  </conditionalFormatting>
  <conditionalFormatting sqref="M56">
    <cfRule type="cellIs" dxfId="932" priority="327" operator="greaterThan">
      <formula>$D56</formula>
    </cfRule>
    <cfRule type="cellIs" dxfId="931" priority="328" operator="lessThanOrEqual">
      <formula>$D56</formula>
    </cfRule>
  </conditionalFormatting>
  <conditionalFormatting sqref="M57">
    <cfRule type="cellIs" dxfId="930" priority="325" operator="greaterThan">
      <formula>$D57</formula>
    </cfRule>
    <cfRule type="cellIs" dxfId="929" priority="326" operator="lessThanOrEqual">
      <formula>$D57</formula>
    </cfRule>
  </conditionalFormatting>
  <conditionalFormatting sqref="M58">
    <cfRule type="cellIs" dxfId="928" priority="323" operator="greaterThan">
      <formula>$D58</formula>
    </cfRule>
    <cfRule type="cellIs" dxfId="927" priority="324" operator="lessThanOrEqual">
      <formula>$D58</formula>
    </cfRule>
  </conditionalFormatting>
  <conditionalFormatting sqref="M59">
    <cfRule type="cellIs" dxfId="926" priority="321" operator="greaterThan">
      <formula>$D59</formula>
    </cfRule>
    <cfRule type="cellIs" dxfId="925" priority="322" operator="lessThanOrEqual">
      <formula>$D59</formula>
    </cfRule>
  </conditionalFormatting>
  <conditionalFormatting sqref="M60">
    <cfRule type="cellIs" dxfId="924" priority="319" operator="greaterThan">
      <formula>$D60</formula>
    </cfRule>
    <cfRule type="cellIs" dxfId="923" priority="320" operator="lessThanOrEqual">
      <formula>$D60</formula>
    </cfRule>
  </conditionalFormatting>
  <conditionalFormatting sqref="M61">
    <cfRule type="cellIs" dxfId="922" priority="317" operator="greaterThan">
      <formula>$D61</formula>
    </cfRule>
    <cfRule type="cellIs" dxfId="921" priority="318" operator="lessThanOrEqual">
      <formula>$D61</formula>
    </cfRule>
  </conditionalFormatting>
  <conditionalFormatting sqref="M62">
    <cfRule type="cellIs" dxfId="920" priority="315" operator="greaterThan">
      <formula>$D62</formula>
    </cfRule>
    <cfRule type="cellIs" dxfId="919" priority="316" operator="lessThanOrEqual">
      <formula>$D62</formula>
    </cfRule>
  </conditionalFormatting>
  <conditionalFormatting sqref="M63">
    <cfRule type="cellIs" dxfId="918" priority="313" operator="greaterThan">
      <formula>$D63</formula>
    </cfRule>
    <cfRule type="cellIs" dxfId="917" priority="314" operator="lessThanOrEqual">
      <formula>$D63</formula>
    </cfRule>
  </conditionalFormatting>
  <conditionalFormatting sqref="M64">
    <cfRule type="cellIs" dxfId="916" priority="311" operator="greaterThan">
      <formula>$D64</formula>
    </cfRule>
    <cfRule type="cellIs" dxfId="915" priority="312" operator="lessThanOrEqual">
      <formula>$D64</formula>
    </cfRule>
  </conditionalFormatting>
  <conditionalFormatting sqref="M65">
    <cfRule type="cellIs" dxfId="914" priority="309" operator="greaterThan">
      <formula>$D65</formula>
    </cfRule>
    <cfRule type="cellIs" dxfId="913" priority="310" operator="lessThanOrEqual">
      <formula>$D65</formula>
    </cfRule>
  </conditionalFormatting>
  <conditionalFormatting sqref="M66">
    <cfRule type="cellIs" dxfId="912" priority="307" operator="greaterThan">
      <formula>$D66</formula>
    </cfRule>
    <cfRule type="cellIs" dxfId="911" priority="308" operator="lessThanOrEqual">
      <formula>$D66</formula>
    </cfRule>
  </conditionalFormatting>
  <conditionalFormatting sqref="M67">
    <cfRule type="cellIs" dxfId="910" priority="305" operator="greaterThan">
      <formula>$D67</formula>
    </cfRule>
    <cfRule type="cellIs" dxfId="909" priority="306" operator="lessThanOrEqual">
      <formula>$D67</formula>
    </cfRule>
  </conditionalFormatting>
  <conditionalFormatting sqref="M68">
    <cfRule type="cellIs" dxfId="908" priority="303" operator="greaterThan">
      <formula>$D68</formula>
    </cfRule>
    <cfRule type="cellIs" dxfId="907" priority="304" operator="lessThanOrEqual">
      <formula>$D68</formula>
    </cfRule>
  </conditionalFormatting>
  <conditionalFormatting sqref="M69">
    <cfRule type="cellIs" dxfId="906" priority="301" operator="greaterThan">
      <formula>$D69</formula>
    </cfRule>
    <cfRule type="cellIs" dxfId="905" priority="302" operator="lessThanOrEqual">
      <formula>$D69</formula>
    </cfRule>
  </conditionalFormatting>
  <conditionalFormatting sqref="M70">
    <cfRule type="cellIs" dxfId="904" priority="299" operator="greaterThan">
      <formula>$D70</formula>
    </cfRule>
    <cfRule type="cellIs" dxfId="903" priority="300" operator="lessThanOrEqual">
      <formula>$D70</formula>
    </cfRule>
  </conditionalFormatting>
  <conditionalFormatting sqref="M71">
    <cfRule type="cellIs" dxfId="902" priority="297" operator="greaterThan">
      <formula>$D71</formula>
    </cfRule>
    <cfRule type="cellIs" dxfId="901" priority="298" operator="lessThanOrEqual">
      <formula>$D71</formula>
    </cfRule>
  </conditionalFormatting>
  <conditionalFormatting sqref="M72:M73">
    <cfRule type="cellIs" dxfId="900" priority="295" operator="greaterThan">
      <formula>$D72</formula>
    </cfRule>
    <cfRule type="cellIs" dxfId="899" priority="296" operator="lessThanOrEqual">
      <formula>$D72</formula>
    </cfRule>
  </conditionalFormatting>
  <conditionalFormatting sqref="M74">
    <cfRule type="cellIs" dxfId="898" priority="293" operator="greaterThan">
      <formula>$D74</formula>
    </cfRule>
    <cfRule type="cellIs" dxfId="897" priority="294" operator="lessThanOrEqual">
      <formula>$D74</formula>
    </cfRule>
  </conditionalFormatting>
  <conditionalFormatting sqref="N46">
    <cfRule type="cellIs" dxfId="896" priority="291" operator="greaterThan">
      <formula>$D46</formula>
    </cfRule>
    <cfRule type="cellIs" dxfId="895" priority="292" operator="lessThanOrEqual">
      <formula>$D46</formula>
    </cfRule>
  </conditionalFormatting>
  <conditionalFormatting sqref="N47">
    <cfRule type="cellIs" dxfId="894" priority="289" operator="greaterThan">
      <formula>$D47</formula>
    </cfRule>
    <cfRule type="cellIs" dxfId="893" priority="290" operator="lessThanOrEqual">
      <formula>$D47</formula>
    </cfRule>
  </conditionalFormatting>
  <conditionalFormatting sqref="N48">
    <cfRule type="cellIs" dxfId="892" priority="287" operator="greaterThan">
      <formula>$D48</formula>
    </cfRule>
    <cfRule type="cellIs" dxfId="891" priority="288" operator="lessThanOrEqual">
      <formula>$D48</formula>
    </cfRule>
  </conditionalFormatting>
  <conditionalFormatting sqref="N49">
    <cfRule type="cellIs" dxfId="890" priority="285" operator="greaterThan">
      <formula>$D49</formula>
    </cfRule>
    <cfRule type="cellIs" dxfId="889" priority="286" operator="lessThanOrEqual">
      <formula>$D49</formula>
    </cfRule>
  </conditionalFormatting>
  <conditionalFormatting sqref="N50">
    <cfRule type="cellIs" dxfId="888" priority="283" operator="greaterThan">
      <formula>$D50</formula>
    </cfRule>
    <cfRule type="cellIs" dxfId="887" priority="284" operator="lessThanOrEqual">
      <formula>$D50</formula>
    </cfRule>
  </conditionalFormatting>
  <conditionalFormatting sqref="N51">
    <cfRule type="cellIs" dxfId="886" priority="281" operator="greaterThan">
      <formula>$D51</formula>
    </cfRule>
    <cfRule type="cellIs" dxfId="885" priority="282" operator="lessThanOrEqual">
      <formula>$D51</formula>
    </cfRule>
  </conditionalFormatting>
  <conditionalFormatting sqref="N52">
    <cfRule type="cellIs" dxfId="884" priority="279" operator="greaterThan">
      <formula>$D52</formula>
    </cfRule>
    <cfRule type="cellIs" dxfId="883" priority="280" operator="lessThanOrEqual">
      <formula>$D52</formula>
    </cfRule>
  </conditionalFormatting>
  <conditionalFormatting sqref="N53">
    <cfRule type="cellIs" dxfId="882" priority="277" operator="greaterThan">
      <formula>$D53</formula>
    </cfRule>
    <cfRule type="cellIs" dxfId="881" priority="278" operator="lessThanOrEqual">
      <formula>$D53</formula>
    </cfRule>
  </conditionalFormatting>
  <conditionalFormatting sqref="N54">
    <cfRule type="cellIs" dxfId="880" priority="275" operator="greaterThan">
      <formula>$D54</formula>
    </cfRule>
    <cfRule type="cellIs" dxfId="879" priority="276" operator="lessThanOrEqual">
      <formula>$D54</formula>
    </cfRule>
  </conditionalFormatting>
  <conditionalFormatting sqref="N56">
    <cfRule type="cellIs" dxfId="878" priority="273" operator="greaterThan">
      <formula>$D56</formula>
    </cfRule>
    <cfRule type="cellIs" dxfId="877" priority="274" operator="lessThanOrEqual">
      <formula>$D56</formula>
    </cfRule>
  </conditionalFormatting>
  <conditionalFormatting sqref="N57">
    <cfRule type="cellIs" dxfId="876" priority="271" operator="greaterThan">
      <formula>$D57</formula>
    </cfRule>
    <cfRule type="cellIs" dxfId="875" priority="272" operator="lessThanOrEqual">
      <formula>$D57</formula>
    </cfRule>
  </conditionalFormatting>
  <conditionalFormatting sqref="N58">
    <cfRule type="cellIs" dxfId="874" priority="269" operator="greaterThan">
      <formula>$D58</formula>
    </cfRule>
    <cfRule type="cellIs" dxfId="873" priority="270" operator="lessThanOrEqual">
      <formula>$D58</formula>
    </cfRule>
  </conditionalFormatting>
  <conditionalFormatting sqref="N59">
    <cfRule type="cellIs" dxfId="872" priority="267" operator="greaterThan">
      <formula>$D59</formula>
    </cfRule>
    <cfRule type="cellIs" dxfId="871" priority="268" operator="lessThanOrEqual">
      <formula>$D59</formula>
    </cfRule>
  </conditionalFormatting>
  <conditionalFormatting sqref="N60">
    <cfRule type="cellIs" dxfId="870" priority="265" operator="greaterThan">
      <formula>$D60</formula>
    </cfRule>
    <cfRule type="cellIs" dxfId="869" priority="266" operator="lessThanOrEqual">
      <formula>$D60</formula>
    </cfRule>
  </conditionalFormatting>
  <conditionalFormatting sqref="N61">
    <cfRule type="cellIs" dxfId="868" priority="263" operator="greaterThan">
      <formula>$D61</formula>
    </cfRule>
    <cfRule type="cellIs" dxfId="867" priority="264" operator="lessThanOrEqual">
      <formula>$D61</formula>
    </cfRule>
  </conditionalFormatting>
  <conditionalFormatting sqref="N62">
    <cfRule type="cellIs" dxfId="866" priority="261" operator="greaterThan">
      <formula>$D62</formula>
    </cfRule>
    <cfRule type="cellIs" dxfId="865" priority="262" operator="lessThanOrEqual">
      <formula>$D62</formula>
    </cfRule>
  </conditionalFormatting>
  <conditionalFormatting sqref="N63">
    <cfRule type="cellIs" dxfId="864" priority="259" operator="greaterThan">
      <formula>$D63</formula>
    </cfRule>
    <cfRule type="cellIs" dxfId="863" priority="260" operator="lessThanOrEqual">
      <formula>$D63</formula>
    </cfRule>
  </conditionalFormatting>
  <conditionalFormatting sqref="N64">
    <cfRule type="cellIs" dxfId="862" priority="257" operator="greaterThan">
      <formula>$D64</formula>
    </cfRule>
    <cfRule type="cellIs" dxfId="861" priority="258" operator="lessThanOrEqual">
      <formula>$D64</formula>
    </cfRule>
  </conditionalFormatting>
  <conditionalFormatting sqref="N65">
    <cfRule type="cellIs" dxfId="860" priority="255" operator="greaterThan">
      <formula>$D65</formula>
    </cfRule>
    <cfRule type="cellIs" dxfId="859" priority="256" operator="lessThanOrEqual">
      <formula>$D65</formula>
    </cfRule>
  </conditionalFormatting>
  <conditionalFormatting sqref="N66">
    <cfRule type="cellIs" dxfId="858" priority="253" operator="greaterThan">
      <formula>$D66</formula>
    </cfRule>
    <cfRule type="cellIs" dxfId="857" priority="254" operator="lessThanOrEqual">
      <formula>$D66</formula>
    </cfRule>
  </conditionalFormatting>
  <conditionalFormatting sqref="N67">
    <cfRule type="cellIs" dxfId="856" priority="251" operator="greaterThan">
      <formula>$D67</formula>
    </cfRule>
    <cfRule type="cellIs" dxfId="855" priority="252" operator="lessThanOrEqual">
      <formula>$D67</formula>
    </cfRule>
  </conditionalFormatting>
  <conditionalFormatting sqref="N68">
    <cfRule type="cellIs" dxfId="854" priority="249" operator="greaterThan">
      <formula>$D68</formula>
    </cfRule>
    <cfRule type="cellIs" dxfId="853" priority="250" operator="lessThanOrEqual">
      <formula>$D68</formula>
    </cfRule>
  </conditionalFormatting>
  <conditionalFormatting sqref="N69">
    <cfRule type="cellIs" dxfId="852" priority="247" operator="greaterThan">
      <formula>$D69</formula>
    </cfRule>
    <cfRule type="cellIs" dxfId="851" priority="248" operator="lessThanOrEqual">
      <formula>$D69</formula>
    </cfRule>
  </conditionalFormatting>
  <conditionalFormatting sqref="N70">
    <cfRule type="cellIs" dxfId="850" priority="245" operator="greaterThan">
      <formula>$D70</formula>
    </cfRule>
    <cfRule type="cellIs" dxfId="849" priority="246" operator="lessThanOrEqual">
      <formula>$D70</formula>
    </cfRule>
  </conditionalFormatting>
  <conditionalFormatting sqref="N71">
    <cfRule type="cellIs" dxfId="848" priority="243" operator="greaterThan">
      <formula>$D71</formula>
    </cfRule>
    <cfRule type="cellIs" dxfId="847" priority="244" operator="lessThanOrEqual">
      <formula>$D71</formula>
    </cfRule>
  </conditionalFormatting>
  <conditionalFormatting sqref="N72:N73">
    <cfRule type="cellIs" dxfId="846" priority="241" operator="greaterThan">
      <formula>$D72</formula>
    </cfRule>
    <cfRule type="cellIs" dxfId="845" priority="242" operator="lessThanOrEqual">
      <formula>$D72</formula>
    </cfRule>
  </conditionalFormatting>
  <conditionalFormatting sqref="N74">
    <cfRule type="cellIs" dxfId="844" priority="239" operator="greaterThan">
      <formula>$D74</formula>
    </cfRule>
    <cfRule type="cellIs" dxfId="843" priority="240" operator="lessThanOrEqual">
      <formula>$D74</formula>
    </cfRule>
  </conditionalFormatting>
  <conditionalFormatting sqref="O46">
    <cfRule type="cellIs" dxfId="842" priority="237" operator="greaterThan">
      <formula>$D46</formula>
    </cfRule>
    <cfRule type="cellIs" dxfId="841" priority="238" operator="lessThanOrEqual">
      <formula>$D46</formula>
    </cfRule>
  </conditionalFormatting>
  <conditionalFormatting sqref="O47">
    <cfRule type="cellIs" dxfId="840" priority="235" operator="greaterThan">
      <formula>$D47</formula>
    </cfRule>
    <cfRule type="cellIs" dxfId="839" priority="236" operator="lessThanOrEqual">
      <formula>$D47</formula>
    </cfRule>
  </conditionalFormatting>
  <conditionalFormatting sqref="O48">
    <cfRule type="cellIs" dxfId="838" priority="233" operator="greaterThan">
      <formula>$D48</formula>
    </cfRule>
    <cfRule type="cellIs" dxfId="837" priority="234" operator="lessThanOrEqual">
      <formula>$D48</formula>
    </cfRule>
  </conditionalFormatting>
  <conditionalFormatting sqref="O49">
    <cfRule type="cellIs" dxfId="836" priority="231" operator="greaterThan">
      <formula>$D49</formula>
    </cfRule>
    <cfRule type="cellIs" dxfId="835" priority="232" operator="lessThanOrEqual">
      <formula>$D49</formula>
    </cfRule>
  </conditionalFormatting>
  <conditionalFormatting sqref="O50">
    <cfRule type="cellIs" dxfId="834" priority="229" operator="greaterThan">
      <formula>$D50</formula>
    </cfRule>
    <cfRule type="cellIs" dxfId="833" priority="230" operator="lessThanOrEqual">
      <formula>$D50</formula>
    </cfRule>
  </conditionalFormatting>
  <conditionalFormatting sqref="O51">
    <cfRule type="cellIs" dxfId="832" priority="227" operator="greaterThan">
      <formula>$D51</formula>
    </cfRule>
    <cfRule type="cellIs" dxfId="831" priority="228" operator="lessThanOrEqual">
      <formula>$D51</formula>
    </cfRule>
  </conditionalFormatting>
  <conditionalFormatting sqref="O52">
    <cfRule type="cellIs" dxfId="830" priority="225" operator="greaterThan">
      <formula>$D52</formula>
    </cfRule>
    <cfRule type="cellIs" dxfId="829" priority="226" operator="lessThanOrEqual">
      <formula>$D52</formula>
    </cfRule>
  </conditionalFormatting>
  <conditionalFormatting sqref="O53">
    <cfRule type="cellIs" dxfId="828" priority="223" operator="greaterThan">
      <formula>$D53</formula>
    </cfRule>
    <cfRule type="cellIs" dxfId="827" priority="224" operator="lessThanOrEqual">
      <formula>$D53</formula>
    </cfRule>
  </conditionalFormatting>
  <conditionalFormatting sqref="O54">
    <cfRule type="cellIs" dxfId="826" priority="221" operator="greaterThan">
      <formula>$D54</formula>
    </cfRule>
    <cfRule type="cellIs" dxfId="825" priority="222" operator="lessThanOrEqual">
      <formula>$D54</formula>
    </cfRule>
  </conditionalFormatting>
  <conditionalFormatting sqref="O56">
    <cfRule type="cellIs" dxfId="824" priority="219" operator="greaterThan">
      <formula>$D56</formula>
    </cfRule>
    <cfRule type="cellIs" dxfId="823" priority="220" operator="lessThanOrEqual">
      <formula>$D56</formula>
    </cfRule>
  </conditionalFormatting>
  <conditionalFormatting sqref="O57">
    <cfRule type="cellIs" dxfId="822" priority="217" operator="greaterThan">
      <formula>$D57</formula>
    </cfRule>
    <cfRule type="cellIs" dxfId="821" priority="218" operator="lessThanOrEqual">
      <formula>$D57</formula>
    </cfRule>
  </conditionalFormatting>
  <conditionalFormatting sqref="O58">
    <cfRule type="cellIs" dxfId="820" priority="215" operator="greaterThan">
      <formula>$D58</formula>
    </cfRule>
    <cfRule type="cellIs" dxfId="819" priority="216" operator="lessThanOrEqual">
      <formula>$D58</formula>
    </cfRule>
  </conditionalFormatting>
  <conditionalFormatting sqref="O59">
    <cfRule type="cellIs" dxfId="818" priority="213" operator="greaterThan">
      <formula>$D59</formula>
    </cfRule>
    <cfRule type="cellIs" dxfId="817" priority="214" operator="lessThanOrEqual">
      <formula>$D59</formula>
    </cfRule>
  </conditionalFormatting>
  <conditionalFormatting sqref="O60">
    <cfRule type="cellIs" dxfId="816" priority="211" operator="greaterThan">
      <formula>$D60</formula>
    </cfRule>
    <cfRule type="cellIs" dxfId="815" priority="212" operator="lessThanOrEqual">
      <formula>$D60</formula>
    </cfRule>
  </conditionalFormatting>
  <conditionalFormatting sqref="O61">
    <cfRule type="cellIs" dxfId="814" priority="209" operator="greaterThan">
      <formula>$D61</formula>
    </cfRule>
    <cfRule type="cellIs" dxfId="813" priority="210" operator="lessThanOrEqual">
      <formula>$D61</formula>
    </cfRule>
  </conditionalFormatting>
  <conditionalFormatting sqref="O62">
    <cfRule type="cellIs" dxfId="812" priority="207" operator="greaterThan">
      <formula>$D62</formula>
    </cfRule>
    <cfRule type="cellIs" dxfId="811" priority="208" operator="lessThanOrEqual">
      <formula>$D62</formula>
    </cfRule>
  </conditionalFormatting>
  <conditionalFormatting sqref="O63">
    <cfRule type="cellIs" dxfId="810" priority="205" operator="greaterThan">
      <formula>$D63</formula>
    </cfRule>
    <cfRule type="cellIs" dxfId="809" priority="206" operator="lessThanOrEqual">
      <formula>$D63</formula>
    </cfRule>
  </conditionalFormatting>
  <conditionalFormatting sqref="O64">
    <cfRule type="cellIs" dxfId="808" priority="203" operator="greaterThan">
      <formula>$D64</formula>
    </cfRule>
    <cfRule type="cellIs" dxfId="807" priority="204" operator="lessThanOrEqual">
      <formula>$D64</formula>
    </cfRule>
  </conditionalFormatting>
  <conditionalFormatting sqref="O65">
    <cfRule type="cellIs" dxfId="806" priority="201" operator="greaterThan">
      <formula>$D65</formula>
    </cfRule>
    <cfRule type="cellIs" dxfId="805" priority="202" operator="lessThanOrEqual">
      <formula>$D65</formula>
    </cfRule>
  </conditionalFormatting>
  <conditionalFormatting sqref="O66">
    <cfRule type="cellIs" dxfId="804" priority="199" operator="greaterThan">
      <formula>$D66</formula>
    </cfRule>
    <cfRule type="cellIs" dxfId="803" priority="200" operator="lessThanOrEqual">
      <formula>$D66</formula>
    </cfRule>
  </conditionalFormatting>
  <conditionalFormatting sqref="O67">
    <cfRule type="cellIs" dxfId="802" priority="197" operator="greaterThan">
      <formula>$D67</formula>
    </cfRule>
    <cfRule type="cellIs" dxfId="801" priority="198" operator="lessThanOrEqual">
      <formula>$D67</formula>
    </cfRule>
  </conditionalFormatting>
  <conditionalFormatting sqref="O68">
    <cfRule type="cellIs" dxfId="800" priority="195" operator="greaterThan">
      <formula>$D68</formula>
    </cfRule>
    <cfRule type="cellIs" dxfId="799" priority="196" operator="lessThanOrEqual">
      <formula>$D68</formula>
    </cfRule>
  </conditionalFormatting>
  <conditionalFormatting sqref="O69">
    <cfRule type="cellIs" dxfId="798" priority="193" operator="greaterThan">
      <formula>$D69</formula>
    </cfRule>
    <cfRule type="cellIs" dxfId="797" priority="194" operator="lessThanOrEqual">
      <formula>$D69</formula>
    </cfRule>
  </conditionalFormatting>
  <conditionalFormatting sqref="O70">
    <cfRule type="cellIs" dxfId="796" priority="191" operator="greaterThan">
      <formula>$D70</formula>
    </cfRule>
    <cfRule type="cellIs" dxfId="795" priority="192" operator="lessThanOrEqual">
      <formula>$D70</formula>
    </cfRule>
  </conditionalFormatting>
  <conditionalFormatting sqref="O71">
    <cfRule type="cellIs" dxfId="794" priority="189" operator="greaterThan">
      <formula>$D71</formula>
    </cfRule>
    <cfRule type="cellIs" dxfId="793" priority="190" operator="lessThanOrEqual">
      <formula>$D71</formula>
    </cfRule>
  </conditionalFormatting>
  <conditionalFormatting sqref="O72:O73">
    <cfRule type="cellIs" dxfId="792" priority="187" operator="greaterThan">
      <formula>$D72</formula>
    </cfRule>
    <cfRule type="cellIs" dxfId="791" priority="188" operator="lessThanOrEqual">
      <formula>$D72</formula>
    </cfRule>
  </conditionalFormatting>
  <conditionalFormatting sqref="O74">
    <cfRule type="cellIs" dxfId="790" priority="185" operator="greaterThan">
      <formula>$D74</formula>
    </cfRule>
    <cfRule type="cellIs" dxfId="789" priority="186" operator="lessThanOrEqual">
      <formula>$D74</formula>
    </cfRule>
  </conditionalFormatting>
  <conditionalFormatting sqref="P46">
    <cfRule type="cellIs" dxfId="788" priority="183" operator="greaterThan">
      <formula>$D46</formula>
    </cfRule>
    <cfRule type="cellIs" dxfId="787" priority="184" operator="lessThanOrEqual">
      <formula>$D46</formula>
    </cfRule>
  </conditionalFormatting>
  <conditionalFormatting sqref="P47">
    <cfRule type="cellIs" dxfId="786" priority="181" operator="greaterThan">
      <formula>$D47</formula>
    </cfRule>
    <cfRule type="cellIs" dxfId="785" priority="182" operator="lessThanOrEqual">
      <formula>$D47</formula>
    </cfRule>
  </conditionalFormatting>
  <conditionalFormatting sqref="P48">
    <cfRule type="cellIs" dxfId="784" priority="179" operator="greaterThan">
      <formula>$D48</formula>
    </cfRule>
    <cfRule type="cellIs" dxfId="783" priority="180" operator="lessThanOrEqual">
      <formula>$D48</formula>
    </cfRule>
  </conditionalFormatting>
  <conditionalFormatting sqref="P49">
    <cfRule type="cellIs" dxfId="782" priority="177" operator="greaterThan">
      <formula>$D49</formula>
    </cfRule>
    <cfRule type="cellIs" dxfId="781" priority="178" operator="lessThanOrEqual">
      <formula>$D49</formula>
    </cfRule>
  </conditionalFormatting>
  <conditionalFormatting sqref="P50">
    <cfRule type="cellIs" dxfId="780" priority="175" operator="greaterThan">
      <formula>$D50</formula>
    </cfRule>
    <cfRule type="cellIs" dxfId="779" priority="176" operator="lessThanOrEqual">
      <formula>$D50</formula>
    </cfRule>
  </conditionalFormatting>
  <conditionalFormatting sqref="P51">
    <cfRule type="cellIs" dxfId="778" priority="173" operator="greaterThan">
      <formula>$D51</formula>
    </cfRule>
    <cfRule type="cellIs" dxfId="777" priority="174" operator="lessThanOrEqual">
      <formula>$D51</formula>
    </cfRule>
  </conditionalFormatting>
  <conditionalFormatting sqref="P52">
    <cfRule type="cellIs" dxfId="776" priority="171" operator="greaterThan">
      <formula>$D52</formula>
    </cfRule>
    <cfRule type="cellIs" dxfId="775" priority="172" operator="lessThanOrEqual">
      <formula>$D52</formula>
    </cfRule>
  </conditionalFormatting>
  <conditionalFormatting sqref="P53">
    <cfRule type="cellIs" dxfId="774" priority="169" operator="greaterThan">
      <formula>$D53</formula>
    </cfRule>
    <cfRule type="cellIs" dxfId="773" priority="170" operator="lessThanOrEqual">
      <formula>$D53</formula>
    </cfRule>
  </conditionalFormatting>
  <conditionalFormatting sqref="P54">
    <cfRule type="cellIs" dxfId="772" priority="167" operator="greaterThan">
      <formula>$D54</formula>
    </cfRule>
    <cfRule type="cellIs" dxfId="771" priority="168" operator="lessThanOrEqual">
      <formula>$D54</formula>
    </cfRule>
  </conditionalFormatting>
  <conditionalFormatting sqref="P56">
    <cfRule type="cellIs" dxfId="770" priority="165" operator="greaterThan">
      <formula>$D56</formula>
    </cfRule>
    <cfRule type="cellIs" dxfId="769" priority="166" operator="lessThanOrEqual">
      <formula>$D56</formula>
    </cfRule>
  </conditionalFormatting>
  <conditionalFormatting sqref="P57">
    <cfRule type="cellIs" dxfId="768" priority="163" operator="greaterThan">
      <formula>$D57</formula>
    </cfRule>
    <cfRule type="cellIs" dxfId="767" priority="164" operator="lessThanOrEqual">
      <formula>$D57</formula>
    </cfRule>
  </conditionalFormatting>
  <conditionalFormatting sqref="P58">
    <cfRule type="cellIs" dxfId="766" priority="161" operator="greaterThan">
      <formula>$D58</formula>
    </cfRule>
    <cfRule type="cellIs" dxfId="765" priority="162" operator="lessThanOrEqual">
      <formula>$D58</formula>
    </cfRule>
  </conditionalFormatting>
  <conditionalFormatting sqref="P59">
    <cfRule type="cellIs" dxfId="764" priority="159" operator="greaterThan">
      <formula>$D59</formula>
    </cfRule>
    <cfRule type="cellIs" dxfId="763" priority="160" operator="lessThanOrEqual">
      <formula>$D59</formula>
    </cfRule>
  </conditionalFormatting>
  <conditionalFormatting sqref="P60">
    <cfRule type="cellIs" dxfId="762" priority="157" operator="greaterThan">
      <formula>$D60</formula>
    </cfRule>
    <cfRule type="cellIs" dxfId="761" priority="158" operator="lessThanOrEqual">
      <formula>$D60</formula>
    </cfRule>
  </conditionalFormatting>
  <conditionalFormatting sqref="P61">
    <cfRule type="cellIs" dxfId="760" priority="155" operator="greaterThan">
      <formula>$D61</formula>
    </cfRule>
    <cfRule type="cellIs" dxfId="759" priority="156" operator="lessThanOrEqual">
      <formula>$D61</formula>
    </cfRule>
  </conditionalFormatting>
  <conditionalFormatting sqref="P62">
    <cfRule type="cellIs" dxfId="758" priority="153" operator="greaterThan">
      <formula>$D62</formula>
    </cfRule>
    <cfRule type="cellIs" dxfId="757" priority="154" operator="lessThanOrEqual">
      <formula>$D62</formula>
    </cfRule>
  </conditionalFormatting>
  <conditionalFormatting sqref="P63">
    <cfRule type="cellIs" dxfId="756" priority="151" operator="greaterThan">
      <formula>$D63</formula>
    </cfRule>
    <cfRule type="cellIs" dxfId="755" priority="152" operator="lessThanOrEqual">
      <formula>$D63</formula>
    </cfRule>
  </conditionalFormatting>
  <conditionalFormatting sqref="P64">
    <cfRule type="cellIs" dxfId="754" priority="149" operator="greaterThan">
      <formula>$D64</formula>
    </cfRule>
    <cfRule type="cellIs" dxfId="753" priority="150" operator="lessThanOrEqual">
      <formula>$D64</formula>
    </cfRule>
  </conditionalFormatting>
  <conditionalFormatting sqref="P65">
    <cfRule type="cellIs" dxfId="752" priority="147" operator="greaterThan">
      <formula>$D65</formula>
    </cfRule>
    <cfRule type="cellIs" dxfId="751" priority="148" operator="lessThanOrEqual">
      <formula>$D65</formula>
    </cfRule>
  </conditionalFormatting>
  <conditionalFormatting sqref="P66">
    <cfRule type="cellIs" dxfId="750" priority="145" operator="greaterThan">
      <formula>$D66</formula>
    </cfRule>
    <cfRule type="cellIs" dxfId="749" priority="146" operator="lessThanOrEqual">
      <formula>$D66</formula>
    </cfRule>
  </conditionalFormatting>
  <conditionalFormatting sqref="P67">
    <cfRule type="cellIs" dxfId="748" priority="143" operator="greaterThan">
      <formula>$D67</formula>
    </cfRule>
    <cfRule type="cellIs" dxfId="747" priority="144" operator="lessThanOrEqual">
      <formula>$D67</formula>
    </cfRule>
  </conditionalFormatting>
  <conditionalFormatting sqref="P68">
    <cfRule type="cellIs" dxfId="746" priority="141" operator="greaterThan">
      <formula>$D68</formula>
    </cfRule>
    <cfRule type="cellIs" dxfId="745" priority="142" operator="lessThanOrEqual">
      <formula>$D68</formula>
    </cfRule>
  </conditionalFormatting>
  <conditionalFormatting sqref="P69">
    <cfRule type="cellIs" dxfId="744" priority="139" operator="greaterThan">
      <formula>$D69</formula>
    </cfRule>
    <cfRule type="cellIs" dxfId="743" priority="140" operator="lessThanOrEqual">
      <formula>$D69</formula>
    </cfRule>
  </conditionalFormatting>
  <conditionalFormatting sqref="P70">
    <cfRule type="cellIs" dxfId="742" priority="137" operator="greaterThan">
      <formula>$D70</formula>
    </cfRule>
    <cfRule type="cellIs" dxfId="741" priority="138" operator="lessThanOrEqual">
      <formula>$D70</formula>
    </cfRule>
  </conditionalFormatting>
  <conditionalFormatting sqref="P71">
    <cfRule type="cellIs" dxfId="740" priority="135" operator="greaterThan">
      <formula>$D71</formula>
    </cfRule>
    <cfRule type="cellIs" dxfId="739" priority="136" operator="lessThanOrEqual">
      <formula>$D71</formula>
    </cfRule>
  </conditionalFormatting>
  <conditionalFormatting sqref="P72:P73">
    <cfRule type="cellIs" dxfId="738" priority="133" operator="greaterThan">
      <formula>$D72</formula>
    </cfRule>
    <cfRule type="cellIs" dxfId="737" priority="134" operator="lessThanOrEqual">
      <formula>$D72</formula>
    </cfRule>
  </conditionalFormatting>
  <conditionalFormatting sqref="P74">
    <cfRule type="cellIs" dxfId="736" priority="131" operator="greaterThan">
      <formula>$D74</formula>
    </cfRule>
    <cfRule type="cellIs" dxfId="735" priority="132" operator="lessThanOrEqual">
      <formula>$D74</formula>
    </cfRule>
  </conditionalFormatting>
  <conditionalFormatting sqref="Q46">
    <cfRule type="cellIs" dxfId="734" priority="129" operator="greaterThan">
      <formula>$D46</formula>
    </cfRule>
    <cfRule type="cellIs" dxfId="733" priority="130" operator="lessThanOrEqual">
      <formula>$D46</formula>
    </cfRule>
  </conditionalFormatting>
  <conditionalFormatting sqref="Q47">
    <cfRule type="cellIs" dxfId="732" priority="127" operator="greaterThan">
      <formula>$D47</formula>
    </cfRule>
    <cfRule type="cellIs" dxfId="731" priority="128" operator="lessThanOrEqual">
      <formula>$D47</formula>
    </cfRule>
  </conditionalFormatting>
  <conditionalFormatting sqref="Q48">
    <cfRule type="cellIs" dxfId="730" priority="125" operator="greaterThan">
      <formula>$D48</formula>
    </cfRule>
    <cfRule type="cellIs" dxfId="729" priority="126" operator="lessThanOrEqual">
      <formula>$D48</formula>
    </cfRule>
  </conditionalFormatting>
  <conditionalFormatting sqref="Q49">
    <cfRule type="cellIs" dxfId="728" priority="123" operator="greaterThan">
      <formula>$D49</formula>
    </cfRule>
    <cfRule type="cellIs" dxfId="727" priority="124" operator="lessThanOrEqual">
      <formula>$D49</formula>
    </cfRule>
  </conditionalFormatting>
  <conditionalFormatting sqref="Q50">
    <cfRule type="cellIs" dxfId="726" priority="121" operator="greaterThan">
      <formula>$D50</formula>
    </cfRule>
    <cfRule type="cellIs" dxfId="725" priority="122" operator="lessThanOrEqual">
      <formula>$D50</formula>
    </cfRule>
  </conditionalFormatting>
  <conditionalFormatting sqref="Q51">
    <cfRule type="cellIs" dxfId="724" priority="119" operator="greaterThan">
      <formula>$D51</formula>
    </cfRule>
    <cfRule type="cellIs" dxfId="723" priority="120" operator="lessThanOrEqual">
      <formula>$D51</formula>
    </cfRule>
  </conditionalFormatting>
  <conditionalFormatting sqref="Q52">
    <cfRule type="cellIs" dxfId="722" priority="117" operator="greaterThan">
      <formula>$D52</formula>
    </cfRule>
    <cfRule type="cellIs" dxfId="721" priority="118" operator="lessThanOrEqual">
      <formula>$D52</formula>
    </cfRule>
  </conditionalFormatting>
  <conditionalFormatting sqref="Q53">
    <cfRule type="cellIs" dxfId="720" priority="115" operator="greaterThan">
      <formula>$D53</formula>
    </cfRule>
    <cfRule type="cellIs" dxfId="719" priority="116" operator="lessThanOrEqual">
      <formula>$D53</formula>
    </cfRule>
  </conditionalFormatting>
  <conditionalFormatting sqref="Q54:Q55">
    <cfRule type="cellIs" dxfId="718" priority="113" operator="greaterThan">
      <formula>$D54</formula>
    </cfRule>
    <cfRule type="cellIs" dxfId="717" priority="114" operator="lessThanOrEqual">
      <formula>$D54</formula>
    </cfRule>
  </conditionalFormatting>
  <conditionalFormatting sqref="Q56">
    <cfRule type="cellIs" dxfId="716" priority="111" operator="greaterThan">
      <formula>$D56</formula>
    </cfRule>
    <cfRule type="cellIs" dxfId="715" priority="112" operator="lessThanOrEqual">
      <formula>$D56</formula>
    </cfRule>
  </conditionalFormatting>
  <conditionalFormatting sqref="Q57">
    <cfRule type="cellIs" dxfId="714" priority="109" operator="greaterThan">
      <formula>$D57</formula>
    </cfRule>
    <cfRule type="cellIs" dxfId="713" priority="110" operator="lessThanOrEqual">
      <formula>$D57</formula>
    </cfRule>
  </conditionalFormatting>
  <conditionalFormatting sqref="Q58">
    <cfRule type="cellIs" dxfId="712" priority="107" operator="greaterThan">
      <formula>$D58</formula>
    </cfRule>
    <cfRule type="cellIs" dxfId="711" priority="108" operator="lessThanOrEqual">
      <formula>$D58</formula>
    </cfRule>
  </conditionalFormatting>
  <conditionalFormatting sqref="Q59">
    <cfRule type="cellIs" dxfId="710" priority="105" operator="greaterThan">
      <formula>$D59</formula>
    </cfRule>
    <cfRule type="cellIs" dxfId="709" priority="106" operator="lessThanOrEqual">
      <formula>$D59</formula>
    </cfRule>
  </conditionalFormatting>
  <conditionalFormatting sqref="Q60">
    <cfRule type="cellIs" dxfId="708" priority="103" operator="greaterThan">
      <formula>$D60</formula>
    </cfRule>
    <cfRule type="cellIs" dxfId="707" priority="104" operator="lessThanOrEqual">
      <formula>$D60</formula>
    </cfRule>
  </conditionalFormatting>
  <conditionalFormatting sqref="Q61">
    <cfRule type="cellIs" dxfId="706" priority="101" operator="greaterThan">
      <formula>$D61</formula>
    </cfRule>
    <cfRule type="cellIs" dxfId="705" priority="102" operator="lessThanOrEqual">
      <formula>$D61</formula>
    </cfRule>
  </conditionalFormatting>
  <conditionalFormatting sqref="Q62">
    <cfRule type="cellIs" dxfId="704" priority="99" operator="greaterThan">
      <formula>$D62</formula>
    </cfRule>
    <cfRule type="cellIs" dxfId="703" priority="100" operator="lessThanOrEqual">
      <formula>$D62</formula>
    </cfRule>
  </conditionalFormatting>
  <conditionalFormatting sqref="Q63">
    <cfRule type="cellIs" dxfId="702" priority="97" operator="greaterThan">
      <formula>$D63</formula>
    </cfRule>
    <cfRule type="cellIs" dxfId="701" priority="98" operator="lessThanOrEqual">
      <formula>$D63</formula>
    </cfRule>
  </conditionalFormatting>
  <conditionalFormatting sqref="Q64">
    <cfRule type="cellIs" dxfId="700" priority="95" operator="greaterThan">
      <formula>$D64</formula>
    </cfRule>
    <cfRule type="cellIs" dxfId="699" priority="96" operator="lessThanOrEqual">
      <formula>$D64</formula>
    </cfRule>
  </conditionalFormatting>
  <conditionalFormatting sqref="Q65">
    <cfRule type="cellIs" dxfId="698" priority="93" operator="greaterThan">
      <formula>$D65</formula>
    </cfRule>
    <cfRule type="cellIs" dxfId="697" priority="94" operator="lessThanOrEqual">
      <formula>$D65</formula>
    </cfRule>
  </conditionalFormatting>
  <conditionalFormatting sqref="Q66">
    <cfRule type="cellIs" dxfId="696" priority="91" operator="greaterThan">
      <formula>$D66</formula>
    </cfRule>
    <cfRule type="cellIs" dxfId="695" priority="92" operator="lessThanOrEqual">
      <formula>$D66</formula>
    </cfRule>
  </conditionalFormatting>
  <conditionalFormatting sqref="Q67">
    <cfRule type="cellIs" dxfId="694" priority="89" operator="greaterThan">
      <formula>$D67</formula>
    </cfRule>
    <cfRule type="cellIs" dxfId="693" priority="90" operator="lessThanOrEqual">
      <formula>$D67</formula>
    </cfRule>
  </conditionalFormatting>
  <conditionalFormatting sqref="Q68">
    <cfRule type="cellIs" dxfId="692" priority="87" operator="greaterThan">
      <formula>$D68</formula>
    </cfRule>
    <cfRule type="cellIs" dxfId="691" priority="88" operator="lessThanOrEqual">
      <formula>$D68</formula>
    </cfRule>
  </conditionalFormatting>
  <conditionalFormatting sqref="Q69">
    <cfRule type="cellIs" dxfId="690" priority="85" operator="greaterThan">
      <formula>$D69</formula>
    </cfRule>
    <cfRule type="cellIs" dxfId="689" priority="86" operator="lessThanOrEqual">
      <formula>$D69</formula>
    </cfRule>
  </conditionalFormatting>
  <conditionalFormatting sqref="Q70">
    <cfRule type="cellIs" dxfId="688" priority="83" operator="greaterThan">
      <formula>$D70</formula>
    </cfRule>
    <cfRule type="cellIs" dxfId="687" priority="84" operator="lessThanOrEqual">
      <formula>$D70</formula>
    </cfRule>
  </conditionalFormatting>
  <conditionalFormatting sqref="Q71">
    <cfRule type="cellIs" dxfId="686" priority="81" operator="greaterThan">
      <formula>$D71</formula>
    </cfRule>
    <cfRule type="cellIs" dxfId="685" priority="82" operator="lessThanOrEqual">
      <formula>$D71</formula>
    </cfRule>
  </conditionalFormatting>
  <conditionalFormatting sqref="Q72:Q73">
    <cfRule type="cellIs" dxfId="684" priority="79" operator="greaterThan">
      <formula>$D72</formula>
    </cfRule>
    <cfRule type="cellIs" dxfId="683" priority="80" operator="lessThanOrEqual">
      <formula>$D72</formula>
    </cfRule>
  </conditionalFormatting>
  <conditionalFormatting sqref="Q74">
    <cfRule type="cellIs" dxfId="682" priority="77" operator="greaterThan">
      <formula>$D74</formula>
    </cfRule>
    <cfRule type="cellIs" dxfId="681" priority="78" operator="lessThanOrEqual">
      <formula>$D74</formula>
    </cfRule>
  </conditionalFormatting>
  <conditionalFormatting sqref="F79">
    <cfRule type="cellIs" dxfId="680" priority="75" operator="greaterThan">
      <formula>$D79</formula>
    </cfRule>
    <cfRule type="cellIs" dxfId="679" priority="76" operator="lessThanOrEqual">
      <formula>$D79</formula>
    </cfRule>
  </conditionalFormatting>
  <conditionalFormatting sqref="G79">
    <cfRule type="cellIs" dxfId="678" priority="73" operator="greaterThan">
      <formula>$D79</formula>
    </cfRule>
    <cfRule type="cellIs" dxfId="677" priority="74" operator="lessThanOrEqual">
      <formula>$D79</formula>
    </cfRule>
  </conditionalFormatting>
  <conditionalFormatting sqref="H79">
    <cfRule type="cellIs" dxfId="676" priority="71" operator="greaterThan">
      <formula>$D79</formula>
    </cfRule>
    <cfRule type="cellIs" dxfId="675" priority="72" operator="lessThanOrEqual">
      <formula>$D79</formula>
    </cfRule>
  </conditionalFormatting>
  <conditionalFormatting sqref="I79">
    <cfRule type="cellIs" dxfId="674" priority="69" operator="greaterThan">
      <formula>$D79</formula>
    </cfRule>
    <cfRule type="cellIs" dxfId="673" priority="70" operator="lessThanOrEqual">
      <formula>$D79</formula>
    </cfRule>
  </conditionalFormatting>
  <conditionalFormatting sqref="J79">
    <cfRule type="cellIs" dxfId="672" priority="67" operator="greaterThan">
      <formula>$D79</formula>
    </cfRule>
    <cfRule type="cellIs" dxfId="671" priority="68" operator="lessThanOrEqual">
      <formula>$D79</formula>
    </cfRule>
  </conditionalFormatting>
  <conditionalFormatting sqref="K79">
    <cfRule type="cellIs" dxfId="670" priority="65" operator="greaterThan">
      <formula>$D79</formula>
    </cfRule>
    <cfRule type="cellIs" dxfId="669" priority="66" operator="lessThanOrEqual">
      <formula>$D79</formula>
    </cfRule>
  </conditionalFormatting>
  <conditionalFormatting sqref="L79">
    <cfRule type="cellIs" dxfId="668" priority="63" operator="greaterThan">
      <formula>$D79</formula>
    </cfRule>
    <cfRule type="cellIs" dxfId="667" priority="64" operator="lessThanOrEqual">
      <formula>$D79</formula>
    </cfRule>
  </conditionalFormatting>
  <conditionalFormatting sqref="M79">
    <cfRule type="cellIs" dxfId="666" priority="61" operator="greaterThan">
      <formula>$D79</formula>
    </cfRule>
    <cfRule type="cellIs" dxfId="665" priority="62" operator="lessThanOrEqual">
      <formula>$D79</formula>
    </cfRule>
  </conditionalFormatting>
  <conditionalFormatting sqref="N79">
    <cfRule type="cellIs" dxfId="664" priority="59" operator="greaterThan">
      <formula>$D79</formula>
    </cfRule>
    <cfRule type="cellIs" dxfId="663" priority="60" operator="lessThanOrEqual">
      <formula>$D79</formula>
    </cfRule>
  </conditionalFormatting>
  <conditionalFormatting sqref="O79">
    <cfRule type="cellIs" dxfId="662" priority="57" operator="greaterThan">
      <formula>$D79</formula>
    </cfRule>
    <cfRule type="cellIs" dxfId="661" priority="58" operator="lessThanOrEqual">
      <formula>$D79</formula>
    </cfRule>
  </conditionalFormatting>
  <conditionalFormatting sqref="P79">
    <cfRule type="cellIs" dxfId="660" priority="55" operator="greaterThan">
      <formula>$D79</formula>
    </cfRule>
    <cfRule type="cellIs" dxfId="659" priority="56" operator="lessThanOrEqual">
      <formula>$D79</formula>
    </cfRule>
  </conditionalFormatting>
  <conditionalFormatting sqref="Q79:W79">
    <cfRule type="cellIs" dxfId="658" priority="53" operator="greaterThan">
      <formula>$D79</formula>
    </cfRule>
    <cfRule type="cellIs" dxfId="657" priority="54" operator="lessThanOrEqual">
      <formula>$D79</formula>
    </cfRule>
  </conditionalFormatting>
  <conditionalFormatting sqref="E81">
    <cfRule type="cellIs" dxfId="656" priority="51" operator="greaterThan">
      <formula>$D81</formula>
    </cfRule>
    <cfRule type="cellIs" dxfId="655" priority="52" operator="lessThanOrEqual">
      <formula>$D81</formula>
    </cfRule>
  </conditionalFormatting>
  <conditionalFormatting sqref="F81">
    <cfRule type="cellIs" dxfId="654" priority="49" operator="greaterThan">
      <formula>$D81</formula>
    </cfRule>
    <cfRule type="cellIs" dxfId="653" priority="50" operator="lessThanOrEqual">
      <formula>$D81</formula>
    </cfRule>
  </conditionalFormatting>
  <conditionalFormatting sqref="G81">
    <cfRule type="cellIs" dxfId="652" priority="47" operator="greaterThan">
      <formula>$D81</formula>
    </cfRule>
    <cfRule type="cellIs" dxfId="651" priority="48" operator="lessThanOrEqual">
      <formula>$D81</formula>
    </cfRule>
  </conditionalFormatting>
  <conditionalFormatting sqref="H81">
    <cfRule type="cellIs" dxfId="650" priority="45" operator="greaterThan">
      <formula>$D81</formula>
    </cfRule>
    <cfRule type="cellIs" dxfId="649" priority="46" operator="lessThanOrEqual">
      <formula>$D81</formula>
    </cfRule>
  </conditionalFormatting>
  <conditionalFormatting sqref="I81">
    <cfRule type="cellIs" dxfId="648" priority="43" operator="greaterThan">
      <formula>$D81</formula>
    </cfRule>
    <cfRule type="cellIs" dxfId="647" priority="44" operator="lessThanOrEqual">
      <formula>$D81</formula>
    </cfRule>
  </conditionalFormatting>
  <conditionalFormatting sqref="J81">
    <cfRule type="cellIs" dxfId="646" priority="41" operator="greaterThan">
      <formula>$D81</formula>
    </cfRule>
    <cfRule type="cellIs" dxfId="645" priority="42" operator="lessThanOrEqual">
      <formula>$D81</formula>
    </cfRule>
  </conditionalFormatting>
  <conditionalFormatting sqref="K81">
    <cfRule type="cellIs" dxfId="644" priority="39" operator="greaterThan">
      <formula>$D81</formula>
    </cfRule>
    <cfRule type="cellIs" dxfId="643" priority="40" operator="lessThanOrEqual">
      <formula>$D81</formula>
    </cfRule>
  </conditionalFormatting>
  <conditionalFormatting sqref="L81">
    <cfRule type="cellIs" dxfId="642" priority="37" operator="greaterThan">
      <formula>$D81</formula>
    </cfRule>
    <cfRule type="cellIs" dxfId="641" priority="38" operator="lessThanOrEqual">
      <formula>$D81</formula>
    </cfRule>
  </conditionalFormatting>
  <conditionalFormatting sqref="M81">
    <cfRule type="cellIs" dxfId="640" priority="35" operator="greaterThan">
      <formula>$D81</formula>
    </cfRule>
    <cfRule type="cellIs" dxfId="639" priority="36" operator="lessThanOrEqual">
      <formula>$D81</formula>
    </cfRule>
  </conditionalFormatting>
  <conditionalFormatting sqref="N81">
    <cfRule type="cellIs" dxfId="638" priority="33" operator="greaterThan">
      <formula>$D81</formula>
    </cfRule>
    <cfRule type="cellIs" dxfId="637" priority="34" operator="lessThanOrEqual">
      <formula>$D81</formula>
    </cfRule>
  </conditionalFormatting>
  <conditionalFormatting sqref="O81">
    <cfRule type="cellIs" dxfId="636" priority="31" operator="greaterThan">
      <formula>$D81</formula>
    </cfRule>
    <cfRule type="cellIs" dxfId="635" priority="32" operator="lessThanOrEqual">
      <formula>$D81</formula>
    </cfRule>
  </conditionalFormatting>
  <conditionalFormatting sqref="P81">
    <cfRule type="cellIs" dxfId="634" priority="29" operator="greaterThan">
      <formula>$D81</formula>
    </cfRule>
    <cfRule type="cellIs" dxfId="633" priority="30" operator="lessThanOrEqual">
      <formula>$D81</formula>
    </cfRule>
  </conditionalFormatting>
  <conditionalFormatting sqref="Q81">
    <cfRule type="cellIs" dxfId="632" priority="27" operator="greaterThan">
      <formula>$D81</formula>
    </cfRule>
    <cfRule type="cellIs" dxfId="631" priority="28" operator="lessThanOrEqual">
      <formula>$D81</formula>
    </cfRule>
  </conditionalFormatting>
  <conditionalFormatting sqref="E82">
    <cfRule type="cellIs" dxfId="630" priority="25" operator="greaterThan">
      <formula>$D82</formula>
    </cfRule>
    <cfRule type="cellIs" dxfId="629" priority="26" operator="lessThanOrEqual">
      <formula>$D82</formula>
    </cfRule>
  </conditionalFormatting>
  <conditionalFormatting sqref="F82">
    <cfRule type="cellIs" dxfId="628" priority="23" operator="greaterThan">
      <formula>$D82</formula>
    </cfRule>
    <cfRule type="cellIs" dxfId="627" priority="24" operator="lessThanOrEqual">
      <formula>$D82</formula>
    </cfRule>
  </conditionalFormatting>
  <conditionalFormatting sqref="G82">
    <cfRule type="cellIs" dxfId="626" priority="21" operator="greaterThan">
      <formula>$D82</formula>
    </cfRule>
    <cfRule type="cellIs" dxfId="625" priority="22" operator="lessThanOrEqual">
      <formula>$D82</formula>
    </cfRule>
  </conditionalFormatting>
  <conditionalFormatting sqref="H82">
    <cfRule type="cellIs" dxfId="624" priority="19" operator="greaterThan">
      <formula>$D82</formula>
    </cfRule>
    <cfRule type="cellIs" dxfId="623" priority="20" operator="lessThanOrEqual">
      <formula>$D82</formula>
    </cfRule>
  </conditionalFormatting>
  <conditionalFormatting sqref="I82">
    <cfRule type="cellIs" dxfId="622" priority="17" operator="greaterThan">
      <formula>$D82</formula>
    </cfRule>
    <cfRule type="cellIs" dxfId="621" priority="18" operator="lessThanOrEqual">
      <formula>$D82</formula>
    </cfRule>
  </conditionalFormatting>
  <conditionalFormatting sqref="J82">
    <cfRule type="cellIs" dxfId="620" priority="15" operator="greaterThan">
      <formula>$D82</formula>
    </cfRule>
    <cfRule type="cellIs" dxfId="619" priority="16" operator="lessThanOrEqual">
      <formula>$D82</formula>
    </cfRule>
  </conditionalFormatting>
  <conditionalFormatting sqref="K82">
    <cfRule type="cellIs" dxfId="618" priority="13" operator="greaterThan">
      <formula>$D82</formula>
    </cfRule>
    <cfRule type="cellIs" dxfId="617" priority="14" operator="lessThanOrEqual">
      <formula>$D82</formula>
    </cfRule>
  </conditionalFormatting>
  <conditionalFormatting sqref="L82">
    <cfRule type="cellIs" dxfId="616" priority="11" operator="greaterThan">
      <formula>$D82</formula>
    </cfRule>
    <cfRule type="cellIs" dxfId="615" priority="12" operator="lessThanOrEqual">
      <formula>$D82</formula>
    </cfRule>
  </conditionalFormatting>
  <conditionalFormatting sqref="M82">
    <cfRule type="cellIs" dxfId="614" priority="9" operator="greaterThan">
      <formula>$D82</formula>
    </cfRule>
    <cfRule type="cellIs" dxfId="613" priority="10" operator="lessThanOrEqual">
      <formula>$D82</formula>
    </cfRule>
  </conditionalFormatting>
  <conditionalFormatting sqref="N82">
    <cfRule type="cellIs" dxfId="612" priority="7" operator="greaterThan">
      <formula>$D82</formula>
    </cfRule>
    <cfRule type="cellIs" dxfId="611" priority="8" operator="lessThanOrEqual">
      <formula>$D82</formula>
    </cfRule>
  </conditionalFormatting>
  <conditionalFormatting sqref="O82">
    <cfRule type="cellIs" dxfId="610" priority="5" operator="greaterThan">
      <formula>$D82</formula>
    </cfRule>
    <cfRule type="cellIs" dxfId="609" priority="6" operator="lessThanOrEqual">
      <formula>$D82</formula>
    </cfRule>
  </conditionalFormatting>
  <conditionalFormatting sqref="P82">
    <cfRule type="cellIs" dxfId="608" priority="3" operator="greaterThan">
      <formula>$D82</formula>
    </cfRule>
    <cfRule type="cellIs" dxfId="607" priority="4" operator="lessThanOrEqual">
      <formula>$D82</formula>
    </cfRule>
  </conditionalFormatting>
  <conditionalFormatting sqref="Q82">
    <cfRule type="cellIs" dxfId="606" priority="1" operator="greaterThan">
      <formula>$D82</formula>
    </cfRule>
    <cfRule type="cellIs" dxfId="605" priority="2" operator="lessThanOrEqual">
      <formula>$D82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65C4-19C0-41E1-9D10-4A7BEDB53C1D}">
  <dimension ref="A1:AB21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26" sqref="F26"/>
    </sheetView>
  </sheetViews>
  <sheetFormatPr defaultRowHeight="14.5"/>
  <cols>
    <col min="1" max="1" width="24" bestFit="1" customWidth="1"/>
    <col min="2" max="2" width="13.7265625" customWidth="1"/>
    <col min="3" max="3" width="14.6328125" customWidth="1"/>
    <col min="4" max="4" width="8.90625" customWidth="1"/>
    <col min="5" max="5" width="22" customWidth="1"/>
    <col min="6" max="11" width="15.36328125" customWidth="1"/>
    <col min="12" max="12" width="15.36328125" bestFit="1" customWidth="1"/>
    <col min="13" max="13" width="15.26953125" customWidth="1"/>
    <col min="14" max="14" width="16.90625" customWidth="1"/>
    <col min="15" max="15" width="15.26953125" customWidth="1"/>
    <col min="16" max="16" width="16.90625" customWidth="1"/>
    <col min="17" max="17" width="23.6328125" bestFit="1" customWidth="1"/>
    <col min="18" max="20" width="15.26953125" bestFit="1" customWidth="1"/>
    <col min="21" max="21" width="14.26953125" bestFit="1" customWidth="1"/>
    <col min="22" max="23" width="15.26953125" bestFit="1" customWidth="1"/>
  </cols>
  <sheetData>
    <row r="1" spans="1:28" ht="15.5">
      <c r="A1" s="447" t="s">
        <v>126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</row>
    <row r="2" spans="1:28">
      <c r="A2" s="1"/>
      <c r="B2" s="2" t="s">
        <v>2</v>
      </c>
      <c r="C2" s="2" t="s">
        <v>3</v>
      </c>
      <c r="D2" s="23" t="s">
        <v>4</v>
      </c>
      <c r="E2" s="3">
        <v>46023</v>
      </c>
      <c r="F2" s="3">
        <v>46054</v>
      </c>
      <c r="G2" s="3">
        <v>46082</v>
      </c>
      <c r="H2" s="3">
        <v>46113</v>
      </c>
      <c r="I2" s="3">
        <v>46143</v>
      </c>
      <c r="J2" s="3">
        <v>46174</v>
      </c>
      <c r="K2" s="3">
        <v>46204</v>
      </c>
      <c r="L2" s="3">
        <v>46235</v>
      </c>
      <c r="M2" s="3">
        <v>46266</v>
      </c>
      <c r="N2" s="3">
        <v>46296</v>
      </c>
      <c r="O2" s="3">
        <v>46327</v>
      </c>
      <c r="P2" s="3">
        <v>46357</v>
      </c>
      <c r="Q2" s="4" t="s">
        <v>55</v>
      </c>
      <c r="R2" s="5" t="s">
        <v>5</v>
      </c>
      <c r="S2" s="5" t="s">
        <v>6</v>
      </c>
      <c r="T2" s="5" t="s">
        <v>7</v>
      </c>
      <c r="U2" s="5" t="s">
        <v>8</v>
      </c>
      <c r="V2" s="5" t="s">
        <v>9</v>
      </c>
      <c r="W2" s="5" t="s">
        <v>10</v>
      </c>
    </row>
    <row r="3" spans="1:28">
      <c r="A3" s="425" t="s">
        <v>12</v>
      </c>
      <c r="B3" s="6" t="s">
        <v>13</v>
      </c>
      <c r="C3" s="6" t="s">
        <v>127</v>
      </c>
      <c r="D3" s="24"/>
      <c r="E3" s="111">
        <f>[1]in!$D$1091</f>
        <v>68588000</v>
      </c>
      <c r="F3" s="111">
        <f>[1]in!$E$1091</f>
        <v>55733000</v>
      </c>
      <c r="G3" s="111">
        <f>[1]in!$F$1091</f>
        <v>63502000</v>
      </c>
      <c r="H3" s="111">
        <f>[1]in!$H$1091</f>
        <v>69530000</v>
      </c>
      <c r="I3" s="111">
        <f>[1]in!$I$1091</f>
        <v>0</v>
      </c>
      <c r="J3" s="111">
        <f>[1]in!$J$1091</f>
        <v>0</v>
      </c>
      <c r="K3" s="111">
        <f>[1]in!$L$1091</f>
        <v>0</v>
      </c>
      <c r="L3" s="111">
        <f>[1]in!$M$1091</f>
        <v>0</v>
      </c>
      <c r="M3" s="111">
        <f>[1]in!$N$1091</f>
        <v>0</v>
      </c>
      <c r="N3" s="111">
        <f>[1]in!$P$1091</f>
        <v>0</v>
      </c>
      <c r="O3" s="111">
        <f>[1]in!$Q$1091</f>
        <v>0</v>
      </c>
      <c r="P3" s="111">
        <f>[1]in!$R$1091</f>
        <v>0</v>
      </c>
      <c r="Q3" s="24">
        <f>SUM(E3:P3)</f>
        <v>257353000</v>
      </c>
      <c r="R3" s="25">
        <f>SUM(E3:G3)</f>
        <v>187823000</v>
      </c>
      <c r="S3" s="25">
        <f>SUM(H3:J3)</f>
        <v>69530000</v>
      </c>
      <c r="T3" s="25">
        <f>SUM(K3:M3)</f>
        <v>0</v>
      </c>
      <c r="U3" s="25">
        <f>SUM(N3:P3)</f>
        <v>0</v>
      </c>
      <c r="V3" s="25">
        <f>SUM(E3:J3)</f>
        <v>257353000</v>
      </c>
      <c r="W3" s="25">
        <f>SUM(K3:P3)</f>
        <v>0</v>
      </c>
      <c r="X3" s="58">
        <f>Q3/$Q$35</f>
        <v>0.41778304908055769</v>
      </c>
      <c r="AA3" t="s">
        <v>16</v>
      </c>
      <c r="AB3" s="197">
        <f>R5+R29</f>
        <v>458210030</v>
      </c>
    </row>
    <row r="4" spans="1:28">
      <c r="A4" s="426"/>
      <c r="B4" s="6" t="s">
        <v>15</v>
      </c>
      <c r="C4" s="6" t="s">
        <v>127</v>
      </c>
      <c r="D4" s="24"/>
      <c r="E4" s="111">
        <f>[1]in!$D$1092</f>
        <v>40444710</v>
      </c>
      <c r="F4" s="111">
        <f>[1]in!$E$1092</f>
        <v>31649920</v>
      </c>
      <c r="G4" s="111">
        <f>[1]in!$F$1092</f>
        <v>13687390</v>
      </c>
      <c r="H4" s="111">
        <f>[1]in!$H$1092</f>
        <v>0</v>
      </c>
      <c r="I4" s="111">
        <f>[1]in!$I$1092</f>
        <v>0</v>
      </c>
      <c r="J4" s="111">
        <f>[1]in!$J$1092</f>
        <v>0</v>
      </c>
      <c r="K4" s="111">
        <f>[1]in!$L$1092</f>
        <v>0</v>
      </c>
      <c r="L4" s="111">
        <f>[1]in!$M$1092</f>
        <v>0</v>
      </c>
      <c r="M4" s="111">
        <f>[1]in!$N$1092</f>
        <v>0</v>
      </c>
      <c r="N4" s="111">
        <f>[1]in!$P$1092</f>
        <v>0</v>
      </c>
      <c r="O4" s="111">
        <f>[1]in!$Q$1092</f>
        <v>0</v>
      </c>
      <c r="P4" s="111">
        <f>[1]in!$R$1092</f>
        <v>0</v>
      </c>
      <c r="Q4" s="24">
        <f t="shared" ref="Q4:Q28" si="0">SUM(E4:P4)</f>
        <v>85782020</v>
      </c>
      <c r="R4" s="25">
        <f>SUM(E4:G4)</f>
        <v>85782020</v>
      </c>
      <c r="S4" s="25">
        <f>SUM(H4:J4)</f>
        <v>0</v>
      </c>
      <c r="T4" s="25">
        <f>SUM(K4:M4)</f>
        <v>0</v>
      </c>
      <c r="U4" s="25">
        <f>SUM(N4:P4)</f>
        <v>0</v>
      </c>
      <c r="V4" s="25">
        <f>SUM(E4:J4)</f>
        <v>85782020</v>
      </c>
      <c r="W4" s="25">
        <f>SUM(K4:P4)</f>
        <v>0</v>
      </c>
      <c r="X4" s="58">
        <f>Q4/$Q$35</f>
        <v>0.13925726092911053</v>
      </c>
    </row>
    <row r="5" spans="1:28">
      <c r="A5" s="426"/>
      <c r="B5" s="2" t="s">
        <v>16</v>
      </c>
      <c r="C5" s="7" t="s">
        <v>127</v>
      </c>
      <c r="D5" s="84"/>
      <c r="E5" s="11">
        <f>SUM(E3:E4)</f>
        <v>109032710</v>
      </c>
      <c r="F5" s="11">
        <f>SUM(F3:F4)</f>
        <v>87382920</v>
      </c>
      <c r="G5" s="11">
        <f t="shared" ref="G5:P5" si="1">SUM(G3:G4)</f>
        <v>77189390</v>
      </c>
      <c r="H5" s="11">
        <f>SUM(H3:H4)</f>
        <v>69530000</v>
      </c>
      <c r="I5" s="11">
        <f t="shared" si="1"/>
        <v>0</v>
      </c>
      <c r="J5" s="11">
        <f>SUM(J3:J4)</f>
        <v>0</v>
      </c>
      <c r="K5" s="11">
        <f t="shared" si="1"/>
        <v>0</v>
      </c>
      <c r="L5" s="11">
        <f t="shared" si="1"/>
        <v>0</v>
      </c>
      <c r="M5" s="11">
        <f t="shared" si="1"/>
        <v>0</v>
      </c>
      <c r="N5" s="11">
        <f>SUM(N3:N4)</f>
        <v>0</v>
      </c>
      <c r="O5" s="11">
        <f>SUM(O3:O4)</f>
        <v>0</v>
      </c>
      <c r="P5" s="11">
        <f t="shared" si="1"/>
        <v>0</v>
      </c>
      <c r="Q5" s="27">
        <f>SUM(E5:P5)</f>
        <v>343135020</v>
      </c>
      <c r="R5" s="11">
        <f t="shared" ref="R5:W5" si="2">SUM(R3:R4)</f>
        <v>273605020</v>
      </c>
      <c r="S5" s="11">
        <f t="shared" si="2"/>
        <v>69530000</v>
      </c>
      <c r="T5" s="11">
        <f t="shared" si="2"/>
        <v>0</v>
      </c>
      <c r="U5" s="11">
        <f t="shared" si="2"/>
        <v>0</v>
      </c>
      <c r="V5" s="11">
        <f t="shared" si="2"/>
        <v>343135020</v>
      </c>
      <c r="W5" s="11">
        <f t="shared" si="2"/>
        <v>0</v>
      </c>
    </row>
    <row r="6" spans="1:28">
      <c r="A6" s="426"/>
      <c r="B6" s="2" t="s">
        <v>17</v>
      </c>
      <c r="C6" s="7" t="s">
        <v>127</v>
      </c>
      <c r="D6" s="84"/>
      <c r="E6" s="55">
        <f>[1]in!$D$1096</f>
        <v>2461610</v>
      </c>
      <c r="F6" s="55">
        <f>[1]in!$E$1096</f>
        <v>2056900</v>
      </c>
      <c r="G6" s="55">
        <f>[1]in!$F$1096</f>
        <v>2146930</v>
      </c>
      <c r="H6" s="55">
        <f>[1]in!$H$1096</f>
        <v>1950110</v>
      </c>
      <c r="I6" s="55">
        <f>[1]in!$I$1096</f>
        <v>0</v>
      </c>
      <c r="J6" s="55">
        <f>[1]in!$J$1096</f>
        <v>0</v>
      </c>
      <c r="K6" s="55">
        <f>[1]in!$L$1096</f>
        <v>0</v>
      </c>
      <c r="L6" s="55">
        <f>[1]in!$M$1096</f>
        <v>0</v>
      </c>
      <c r="M6" s="55">
        <f>[1]in!$N$1096</f>
        <v>0</v>
      </c>
      <c r="N6" s="55">
        <f>[1]in!$P$1096</f>
        <v>0</v>
      </c>
      <c r="O6" s="55">
        <f>[1]in!$Q$1096</f>
        <v>0</v>
      </c>
      <c r="P6" s="55">
        <f>[1]in!$R$1096</f>
        <v>0</v>
      </c>
      <c r="Q6" s="34">
        <f t="shared" si="0"/>
        <v>8615550</v>
      </c>
      <c r="R6" s="26">
        <f t="shared" ref="R6:R23" si="3">SUM(E6:G6)</f>
        <v>6665440</v>
      </c>
      <c r="S6" s="26">
        <f t="shared" ref="S6:S23" si="4">SUM(H6:J6)</f>
        <v>1950110</v>
      </c>
      <c r="T6" s="26">
        <f t="shared" ref="T6:T24" si="5">SUM(K6:M6)</f>
        <v>0</v>
      </c>
      <c r="U6" s="26">
        <f t="shared" ref="U6:U24" si="6">SUM(N6:P6)</f>
        <v>0</v>
      </c>
      <c r="V6" s="26">
        <f t="shared" ref="V6:V28" si="7">SUM(E6:J6)</f>
        <v>8615550</v>
      </c>
      <c r="W6" s="26">
        <f t="shared" ref="W6:W23" si="8">SUM(K6:P6)</f>
        <v>0</v>
      </c>
      <c r="X6" s="58">
        <f>Q6/$Q$35</f>
        <v>1.3986356283027588E-2</v>
      </c>
    </row>
    <row r="7" spans="1:28">
      <c r="A7" s="426"/>
      <c r="B7" s="2" t="s">
        <v>18</v>
      </c>
      <c r="C7" s="7" t="s">
        <v>127</v>
      </c>
      <c r="D7" s="84"/>
      <c r="E7" s="77">
        <f>[1]in!$D$1100</f>
        <v>7841.4475000000002</v>
      </c>
      <c r="F7" s="77">
        <f>[1]in!$E$1100</f>
        <v>7083</v>
      </c>
      <c r="G7" s="77">
        <f>[1]in!$F$1100</f>
        <v>7660</v>
      </c>
      <c r="H7" s="77">
        <f>[1]in!$H$1100</f>
        <v>7413</v>
      </c>
      <c r="I7" s="77">
        <f>[1]in!$I$1100</f>
        <v>0</v>
      </c>
      <c r="J7" s="77">
        <f>[1]in!$J$1100</f>
        <v>0</v>
      </c>
      <c r="K7" s="77">
        <f>[1]in!$L$1100</f>
        <v>0</v>
      </c>
      <c r="L7" s="77">
        <f>[1]in!$M$1100</f>
        <v>0</v>
      </c>
      <c r="M7" s="77">
        <f>[1]in!$N$1100</f>
        <v>0</v>
      </c>
      <c r="N7" s="77">
        <f>[1]in!$P$1100</f>
        <v>0</v>
      </c>
      <c r="O7" s="77">
        <f>[1]in!$Q$1100</f>
        <v>0</v>
      </c>
      <c r="P7" s="77">
        <f>[1]in!$R$1100</f>
        <v>0</v>
      </c>
      <c r="Q7" s="34">
        <f t="shared" si="0"/>
        <v>29997.447500000002</v>
      </c>
      <c r="R7" s="26">
        <f t="shared" si="3"/>
        <v>22584.447500000002</v>
      </c>
      <c r="S7" s="26">
        <f t="shared" si="4"/>
        <v>7413</v>
      </c>
      <c r="T7" s="26">
        <f t="shared" si="5"/>
        <v>0</v>
      </c>
      <c r="U7" s="26">
        <f t="shared" si="6"/>
        <v>0</v>
      </c>
      <c r="V7" s="26">
        <f t="shared" si="7"/>
        <v>29997.447500000002</v>
      </c>
      <c r="W7" s="26">
        <f t="shared" si="8"/>
        <v>0</v>
      </c>
      <c r="X7" s="58">
        <f>Q7/$Q$35</f>
        <v>4.8697412041763466E-5</v>
      </c>
    </row>
    <row r="8" spans="1:28">
      <c r="A8" s="426"/>
      <c r="B8" s="2" t="s">
        <v>19</v>
      </c>
      <c r="C8" s="7" t="s">
        <v>127</v>
      </c>
      <c r="D8" s="84"/>
      <c r="E8" s="77">
        <f>[1]in!$D$1105</f>
        <v>0</v>
      </c>
      <c r="F8" s="77">
        <f>[1]in!$E$1105</f>
        <v>0</v>
      </c>
      <c r="G8" s="77">
        <f>[1]in!$F$1105</f>
        <v>0</v>
      </c>
      <c r="H8" s="77">
        <f>[1]in!$H$1105</f>
        <v>0</v>
      </c>
      <c r="I8" s="77">
        <f>[1]in!$I$1105</f>
        <v>0</v>
      </c>
      <c r="J8" s="77">
        <f>[1]in!$J$1105</f>
        <v>0</v>
      </c>
      <c r="K8" s="77">
        <f>[1]in!$L$1105</f>
        <v>0</v>
      </c>
      <c r="L8" s="77">
        <f>[1]in!$M$1105</f>
        <v>0</v>
      </c>
      <c r="M8" s="77">
        <f>[1]in!$N$1105</f>
        <v>0</v>
      </c>
      <c r="N8" s="77">
        <f>[1]in!$P$1105</f>
        <v>0</v>
      </c>
      <c r="O8" s="77">
        <f>[1]in!$Q$1105</f>
        <v>0</v>
      </c>
      <c r="P8" s="77">
        <f>[1]in!$R$1105</f>
        <v>0</v>
      </c>
      <c r="Q8" s="34">
        <f t="shared" si="0"/>
        <v>0</v>
      </c>
      <c r="R8" s="26">
        <f t="shared" si="3"/>
        <v>0</v>
      </c>
      <c r="S8" s="26">
        <f t="shared" si="4"/>
        <v>0</v>
      </c>
      <c r="T8" s="26">
        <f t="shared" si="5"/>
        <v>0</v>
      </c>
      <c r="U8" s="26">
        <f t="shared" si="6"/>
        <v>0</v>
      </c>
      <c r="V8" s="26">
        <f t="shared" si="7"/>
        <v>0</v>
      </c>
      <c r="W8" s="26">
        <f t="shared" si="8"/>
        <v>0</v>
      </c>
    </row>
    <row r="9" spans="1:28">
      <c r="A9" s="426"/>
      <c r="B9" s="2" t="s">
        <v>20</v>
      </c>
      <c r="C9" s="7" t="s">
        <v>127</v>
      </c>
      <c r="D9" s="84"/>
      <c r="E9" s="77">
        <f>[1]in!$D$1106</f>
        <v>0</v>
      </c>
      <c r="F9" s="77">
        <f>[1]in!$E$1106</f>
        <v>0</v>
      </c>
      <c r="G9" s="77">
        <f>[1]in!$F$1106</f>
        <v>0</v>
      </c>
      <c r="H9" s="77">
        <f>[1]in!$H$1106</f>
        <v>0</v>
      </c>
      <c r="I9" s="77">
        <f>[1]in!$I$1106</f>
        <v>0</v>
      </c>
      <c r="J9" s="77">
        <f>[1]in!$J$1106</f>
        <v>0</v>
      </c>
      <c r="K9" s="77">
        <f>[1]in!$L$1106</f>
        <v>0</v>
      </c>
      <c r="L9" s="77">
        <f>[1]in!$M$1106</f>
        <v>0</v>
      </c>
      <c r="M9" s="77">
        <f>[1]in!$N$1106</f>
        <v>0</v>
      </c>
      <c r="N9" s="77">
        <f>[1]in!$P$1106</f>
        <v>0</v>
      </c>
      <c r="O9" s="77">
        <f>[1]in!$Q$1106</f>
        <v>0</v>
      </c>
      <c r="P9" s="77">
        <f>[1]in!$R$1106</f>
        <v>0</v>
      </c>
      <c r="Q9" s="34">
        <f t="shared" si="0"/>
        <v>0</v>
      </c>
      <c r="R9" s="26">
        <f t="shared" si="3"/>
        <v>0</v>
      </c>
      <c r="S9" s="26">
        <f t="shared" si="4"/>
        <v>0</v>
      </c>
      <c r="T9" s="26">
        <f t="shared" si="5"/>
        <v>0</v>
      </c>
      <c r="U9" s="26">
        <f t="shared" si="6"/>
        <v>0</v>
      </c>
      <c r="V9" s="26">
        <f t="shared" si="7"/>
        <v>0</v>
      </c>
      <c r="W9" s="26">
        <f t="shared" si="8"/>
        <v>0</v>
      </c>
    </row>
    <row r="10" spans="1:28">
      <c r="A10" s="426"/>
      <c r="B10" s="2" t="s">
        <v>21</v>
      </c>
      <c r="C10" s="7" t="s">
        <v>127</v>
      </c>
      <c r="D10" s="84"/>
      <c r="E10" s="77">
        <f>[1]in!$D$1108</f>
        <v>0</v>
      </c>
      <c r="F10" s="77">
        <f>[1]in!$E$1108</f>
        <v>0</v>
      </c>
      <c r="G10" s="77">
        <f>[1]in!$F$1108</f>
        <v>0</v>
      </c>
      <c r="H10" s="77">
        <f>[1]in!$H$1108</f>
        <v>0</v>
      </c>
      <c r="I10" s="77">
        <f>[1]in!$I$1108</f>
        <v>0</v>
      </c>
      <c r="J10" s="77">
        <f>[1]in!$J$1108</f>
        <v>0</v>
      </c>
      <c r="K10" s="77">
        <f>[1]in!$L$1108</f>
        <v>0</v>
      </c>
      <c r="L10" s="77">
        <f>[1]in!$M$1108</f>
        <v>0</v>
      </c>
      <c r="M10" s="77">
        <f>[1]in!$N$1108</f>
        <v>0</v>
      </c>
      <c r="N10" s="77">
        <f>[1]in!$P$1108</f>
        <v>0</v>
      </c>
      <c r="O10" s="77">
        <f>[1]in!$Q$1108</f>
        <v>0</v>
      </c>
      <c r="P10" s="77">
        <f>[1]in!$R$1108</f>
        <v>0</v>
      </c>
      <c r="Q10" s="34">
        <f t="shared" si="0"/>
        <v>0</v>
      </c>
      <c r="R10" s="26">
        <f t="shared" si="3"/>
        <v>0</v>
      </c>
      <c r="S10" s="26">
        <f t="shared" si="4"/>
        <v>0</v>
      </c>
      <c r="T10" s="26">
        <f t="shared" si="5"/>
        <v>0</v>
      </c>
      <c r="U10" s="26">
        <f t="shared" si="6"/>
        <v>0</v>
      </c>
      <c r="V10" s="26">
        <f t="shared" si="7"/>
        <v>0</v>
      </c>
      <c r="W10" s="26">
        <f t="shared" si="8"/>
        <v>0</v>
      </c>
    </row>
    <row r="11" spans="1:28">
      <c r="A11" s="426"/>
      <c r="B11" s="2" t="s">
        <v>22</v>
      </c>
      <c r="C11" s="7" t="s">
        <v>127</v>
      </c>
      <c r="D11" s="84"/>
      <c r="E11" s="77">
        <f>[1]in!$D$1117</f>
        <v>32070</v>
      </c>
      <c r="F11" s="77">
        <f>[1]in!$E$1117</f>
        <v>30970</v>
      </c>
      <c r="G11" s="77">
        <f>[1]in!$F$1117</f>
        <v>34280</v>
      </c>
      <c r="H11" s="77">
        <f>[1]in!$H$1117</f>
        <v>124420</v>
      </c>
      <c r="I11" s="77">
        <f>[1]in!$I$1117</f>
        <v>0</v>
      </c>
      <c r="J11" s="77">
        <f>[1]in!$J$1117</f>
        <v>0</v>
      </c>
      <c r="K11" s="77">
        <f>[1]in!$L$1117</f>
        <v>0</v>
      </c>
      <c r="L11" s="77">
        <f>[1]in!$M$1117</f>
        <v>0</v>
      </c>
      <c r="M11" s="77">
        <f>[1]in!$N$1117</f>
        <v>0</v>
      </c>
      <c r="N11" s="77">
        <f>[1]in!$P$1117</f>
        <v>0</v>
      </c>
      <c r="O11" s="77">
        <f>[1]in!$Q$1117</f>
        <v>0</v>
      </c>
      <c r="P11" s="77">
        <f>[1]in!$R$1117</f>
        <v>0</v>
      </c>
      <c r="Q11" s="34">
        <f t="shared" si="0"/>
        <v>221740</v>
      </c>
      <c r="R11" s="26">
        <f t="shared" si="3"/>
        <v>97320</v>
      </c>
      <c r="S11" s="26">
        <f t="shared" si="4"/>
        <v>124420</v>
      </c>
      <c r="T11" s="26">
        <f t="shared" si="5"/>
        <v>0</v>
      </c>
      <c r="U11" s="26">
        <f t="shared" si="6"/>
        <v>0</v>
      </c>
      <c r="V11" s="26">
        <f t="shared" si="7"/>
        <v>221740</v>
      </c>
      <c r="W11" s="26">
        <f t="shared" si="8"/>
        <v>0</v>
      </c>
      <c r="X11" s="196">
        <f>Q11/$Q$35</f>
        <v>3.5996943227055E-4</v>
      </c>
    </row>
    <row r="12" spans="1:28">
      <c r="A12" s="426"/>
      <c r="B12" s="245" t="s">
        <v>23</v>
      </c>
      <c r="C12" s="7" t="s">
        <v>127</v>
      </c>
      <c r="D12" s="84"/>
      <c r="E12" s="77">
        <f>[1]in!$D$1119</f>
        <v>0</v>
      </c>
      <c r="F12" s="77">
        <f>[1]in!$E$1119</f>
        <v>0</v>
      </c>
      <c r="G12" s="77">
        <f>[1]in!$F$1119</f>
        <v>0</v>
      </c>
      <c r="H12" s="77">
        <f>[1]in!$H$1119</f>
        <v>0</v>
      </c>
      <c r="I12" s="77">
        <f>[1]in!$I$1119</f>
        <v>0</v>
      </c>
      <c r="J12" s="77">
        <f>[1]in!$J$1119</f>
        <v>0</v>
      </c>
      <c r="K12" s="77">
        <f>[1]in!$L$1119</f>
        <v>0</v>
      </c>
      <c r="L12" s="77">
        <f>[1]in!$M$1119</f>
        <v>0</v>
      </c>
      <c r="M12" s="77">
        <f>[1]in!$N$1119</f>
        <v>0</v>
      </c>
      <c r="N12" s="77">
        <f>[1]in!$P$1119</f>
        <v>0</v>
      </c>
      <c r="O12" s="77">
        <f>[1]in!$Q$1119</f>
        <v>0</v>
      </c>
      <c r="P12" s="77">
        <f>[1]in!$R$1119</f>
        <v>0</v>
      </c>
      <c r="Q12" s="34">
        <f t="shared" si="0"/>
        <v>0</v>
      </c>
      <c r="R12" s="26">
        <f t="shared" si="3"/>
        <v>0</v>
      </c>
      <c r="S12" s="26"/>
      <c r="T12" s="26"/>
      <c r="U12" s="26"/>
      <c r="V12" s="26">
        <f t="shared" si="7"/>
        <v>0</v>
      </c>
      <c r="W12" s="26"/>
      <c r="X12" s="196"/>
    </row>
    <row r="13" spans="1:28">
      <c r="A13" s="426"/>
      <c r="B13" s="2" t="s">
        <v>58</v>
      </c>
      <c r="C13" s="7" t="s">
        <v>127</v>
      </c>
      <c r="D13" s="84"/>
      <c r="E13" s="77">
        <f>[1]in!$D$1113</f>
        <v>0</v>
      </c>
      <c r="F13" s="77">
        <f>[1]in!$E$1113</f>
        <v>0</v>
      </c>
      <c r="G13" s="77">
        <f>[1]in!$F$1113</f>
        <v>0</v>
      </c>
      <c r="H13" s="77">
        <f>[1]in!$H$1113</f>
        <v>0</v>
      </c>
      <c r="I13" s="77">
        <f>[1]in!$I$1113</f>
        <v>0</v>
      </c>
      <c r="J13" s="77">
        <f>[1]in!$J$1113</f>
        <v>0</v>
      </c>
      <c r="K13" s="77">
        <f>[1]in!$L$1113</f>
        <v>0</v>
      </c>
      <c r="L13" s="77">
        <f>[1]in!$M$1113</f>
        <v>0</v>
      </c>
      <c r="M13" s="77">
        <f>[1]in!$N$1113</f>
        <v>0</v>
      </c>
      <c r="N13" s="77">
        <f>[1]in!$P$1113</f>
        <v>0</v>
      </c>
      <c r="O13" s="77">
        <f>[1]in!$Q$1113</f>
        <v>0</v>
      </c>
      <c r="P13" s="77">
        <f>[1]in!$R$1113</f>
        <v>0</v>
      </c>
      <c r="Q13" s="34">
        <f t="shared" si="0"/>
        <v>0</v>
      </c>
      <c r="R13" s="26">
        <f t="shared" si="3"/>
        <v>0</v>
      </c>
      <c r="S13" s="26">
        <f t="shared" si="4"/>
        <v>0</v>
      </c>
      <c r="T13" s="26">
        <f t="shared" si="5"/>
        <v>0</v>
      </c>
      <c r="U13" s="26">
        <f t="shared" si="6"/>
        <v>0</v>
      </c>
      <c r="V13" s="26">
        <f t="shared" si="7"/>
        <v>0</v>
      </c>
      <c r="W13" s="26">
        <f t="shared" si="8"/>
        <v>0</v>
      </c>
    </row>
    <row r="14" spans="1:28">
      <c r="A14" s="426"/>
      <c r="B14" s="2" t="s">
        <v>84</v>
      </c>
      <c r="C14" s="7" t="s">
        <v>127</v>
      </c>
      <c r="D14" s="84"/>
      <c r="E14" s="11">
        <f>[1]in!$D$1115</f>
        <v>0</v>
      </c>
      <c r="F14" s="11">
        <f>[1]in!$E$1115</f>
        <v>0</v>
      </c>
      <c r="G14" s="11">
        <f>[1]in!$F$1115</f>
        <v>0</v>
      </c>
      <c r="H14" s="11">
        <f>[1]in!$H$1115</f>
        <v>0</v>
      </c>
      <c r="I14" s="11">
        <f>[1]in!$I$1115</f>
        <v>0</v>
      </c>
      <c r="J14" s="11">
        <f>[1]in!$J$1115</f>
        <v>0</v>
      </c>
      <c r="K14" s="11">
        <f>[1]in!$L$1115</f>
        <v>0</v>
      </c>
      <c r="L14" s="11">
        <f>[1]in!$M$1115</f>
        <v>0</v>
      </c>
      <c r="M14" s="11">
        <f>[1]in!$N$1115</f>
        <v>0</v>
      </c>
      <c r="N14" s="11">
        <f>[1]in!$P$1115</f>
        <v>0</v>
      </c>
      <c r="O14" s="11">
        <f>[1]in!$Q$1115</f>
        <v>0</v>
      </c>
      <c r="P14" s="11">
        <f>[1]in!$R$1115</f>
        <v>0</v>
      </c>
      <c r="Q14" s="34">
        <f t="shared" si="0"/>
        <v>0</v>
      </c>
      <c r="R14" s="26">
        <f t="shared" si="3"/>
        <v>0</v>
      </c>
      <c r="S14" s="26">
        <f t="shared" si="4"/>
        <v>0</v>
      </c>
      <c r="T14" s="26">
        <f t="shared" si="5"/>
        <v>0</v>
      </c>
      <c r="U14" s="26">
        <f t="shared" si="6"/>
        <v>0</v>
      </c>
      <c r="V14" s="26">
        <f t="shared" si="7"/>
        <v>0</v>
      </c>
      <c r="W14" s="26">
        <f t="shared" si="8"/>
        <v>0</v>
      </c>
    </row>
    <row r="15" spans="1:28">
      <c r="A15" s="426"/>
      <c r="B15" s="7" t="s">
        <v>24</v>
      </c>
      <c r="C15" s="7" t="s">
        <v>127</v>
      </c>
      <c r="D15" s="84"/>
      <c r="E15" s="77">
        <f>[1]in!$D$1099</f>
        <v>1306030</v>
      </c>
      <c r="F15" s="77">
        <f>[1]in!$E$1099</f>
        <v>1670370</v>
      </c>
      <c r="G15" s="77">
        <f>[1]in!$F$1099</f>
        <v>1568460</v>
      </c>
      <c r="H15" s="77">
        <f>[1]in!$H$1099</f>
        <v>630920</v>
      </c>
      <c r="I15" s="77">
        <f>[1]in!$I$1099</f>
        <v>0</v>
      </c>
      <c r="J15" s="77">
        <f>[1]in!$J$1099</f>
        <v>0</v>
      </c>
      <c r="K15" s="77">
        <f>[1]in!$L$1099</f>
        <v>0</v>
      </c>
      <c r="L15" s="77">
        <f>[1]in!$M$1099</f>
        <v>0</v>
      </c>
      <c r="M15" s="77">
        <f>[1]in!$N$1099</f>
        <v>0</v>
      </c>
      <c r="N15" s="77">
        <f>[1]in!$P$1099</f>
        <v>0</v>
      </c>
      <c r="O15" s="77">
        <f>[1]in!$Q$1099</f>
        <v>0</v>
      </c>
      <c r="P15" s="77">
        <f>[1]in!$R$1099</f>
        <v>0</v>
      </c>
      <c r="Q15" s="34">
        <f t="shared" si="0"/>
        <v>5175780</v>
      </c>
      <c r="R15" s="26">
        <f t="shared" si="3"/>
        <v>4544860</v>
      </c>
      <c r="S15" s="26">
        <f t="shared" si="4"/>
        <v>630920</v>
      </c>
      <c r="T15" s="26">
        <f t="shared" si="5"/>
        <v>0</v>
      </c>
      <c r="U15" s="26">
        <f t="shared" si="6"/>
        <v>0</v>
      </c>
      <c r="V15" s="26">
        <f t="shared" si="7"/>
        <v>5175780</v>
      </c>
      <c r="W15" s="26">
        <f t="shared" si="8"/>
        <v>0</v>
      </c>
      <c r="X15" s="58">
        <f>Q15/$Q$35</f>
        <v>8.4022846042990321E-3</v>
      </c>
    </row>
    <row r="16" spans="1:28">
      <c r="A16" s="426"/>
      <c r="B16" s="7" t="s">
        <v>25</v>
      </c>
      <c r="C16" s="7" t="s">
        <v>127</v>
      </c>
      <c r="D16" s="84"/>
      <c r="E16" s="77">
        <f>[1]in!$D$1104</f>
        <v>0</v>
      </c>
      <c r="F16" s="77">
        <f>[1]in!$E$1104</f>
        <v>0</v>
      </c>
      <c r="G16" s="77">
        <f>[1]in!$F$1104</f>
        <v>0</v>
      </c>
      <c r="H16" s="77">
        <f>[1]in!$H$1104</f>
        <v>0</v>
      </c>
      <c r="I16" s="77">
        <f>[1]in!$I$1104</f>
        <v>0</v>
      </c>
      <c r="J16" s="77">
        <f>[1]in!$J$1104</f>
        <v>0</v>
      </c>
      <c r="K16" s="77">
        <f>[1]in!$L$1104</f>
        <v>0</v>
      </c>
      <c r="L16" s="77">
        <f>[1]in!$M$1104</f>
        <v>0</v>
      </c>
      <c r="M16" s="77">
        <f>[1]in!$N$1104</f>
        <v>0</v>
      </c>
      <c r="N16" s="77">
        <f>[1]in!$P$1104</f>
        <v>0</v>
      </c>
      <c r="O16" s="77">
        <f>[1]in!$Q$1104</f>
        <v>0</v>
      </c>
      <c r="P16" s="77">
        <f>[1]in!$R$1104</f>
        <v>0</v>
      </c>
      <c r="Q16" s="34">
        <f t="shared" si="0"/>
        <v>0</v>
      </c>
      <c r="R16" s="26">
        <f t="shared" si="3"/>
        <v>0</v>
      </c>
      <c r="S16" s="26">
        <f t="shared" si="4"/>
        <v>0</v>
      </c>
      <c r="T16" s="26">
        <f t="shared" si="5"/>
        <v>0</v>
      </c>
      <c r="U16" s="26">
        <f t="shared" si="6"/>
        <v>0</v>
      </c>
      <c r="V16" s="26">
        <f t="shared" si="7"/>
        <v>0</v>
      </c>
      <c r="W16" s="26">
        <f t="shared" si="8"/>
        <v>0</v>
      </c>
    </row>
    <row r="17" spans="1:24">
      <c r="A17" s="426"/>
      <c r="B17" s="7" t="s">
        <v>26</v>
      </c>
      <c r="C17" s="7" t="s">
        <v>127</v>
      </c>
      <c r="D17" s="84"/>
      <c r="E17" s="11">
        <f>[1]in!$D$1109</f>
        <v>13270</v>
      </c>
      <c r="F17" s="11">
        <f>[1]in!$E$1109</f>
        <v>11990</v>
      </c>
      <c r="G17" s="11">
        <f>[1]in!$F$1109</f>
        <v>13270</v>
      </c>
      <c r="H17" s="11">
        <f>[1]in!$H$1109</f>
        <v>12850</v>
      </c>
      <c r="I17" s="11">
        <f>[1]in!$I$1109</f>
        <v>0</v>
      </c>
      <c r="J17" s="11">
        <f>[1]in!$J$1109</f>
        <v>0</v>
      </c>
      <c r="K17" s="11">
        <f>[1]in!$L$1109</f>
        <v>0</v>
      </c>
      <c r="L17" s="11">
        <f>[1]in!$M$1109</f>
        <v>0</v>
      </c>
      <c r="M17" s="11">
        <f>[1]in!$N$1109</f>
        <v>0</v>
      </c>
      <c r="N17" s="11">
        <f>[1]in!$P$1109</f>
        <v>0</v>
      </c>
      <c r="O17" s="11">
        <f>[1]in!$Q$1109</f>
        <v>0</v>
      </c>
      <c r="P17" s="11">
        <f>[1]in!$R$1109</f>
        <v>0</v>
      </c>
      <c r="Q17" s="34">
        <f t="shared" si="0"/>
        <v>51380</v>
      </c>
      <c r="R17" s="26">
        <f t="shared" si="3"/>
        <v>38530</v>
      </c>
      <c r="S17" s="26">
        <f t="shared" si="4"/>
        <v>12850</v>
      </c>
      <c r="T17" s="26">
        <f t="shared" si="5"/>
        <v>0</v>
      </c>
      <c r="U17" s="26">
        <f t="shared" si="6"/>
        <v>0</v>
      </c>
      <c r="V17" s="26">
        <f t="shared" si="7"/>
        <v>51380</v>
      </c>
      <c r="W17" s="26">
        <f t="shared" si="8"/>
        <v>0</v>
      </c>
    </row>
    <row r="18" spans="1:24">
      <c r="A18" s="426"/>
      <c r="B18" s="7" t="s">
        <v>27</v>
      </c>
      <c r="C18" s="7" t="s">
        <v>127</v>
      </c>
      <c r="D18" s="84"/>
      <c r="E18" s="77">
        <f>[1]in!$D$1110</f>
        <v>107140</v>
      </c>
      <c r="F18" s="77">
        <f>[1]in!$E$1110</f>
        <v>96770</v>
      </c>
      <c r="G18" s="77">
        <f>[1]in!$F$1110</f>
        <v>107140</v>
      </c>
      <c r="H18" s="77">
        <f>[1]in!$H$1110</f>
        <v>103680</v>
      </c>
      <c r="I18" s="77">
        <f>[1]in!$I$1110</f>
        <v>0</v>
      </c>
      <c r="J18" s="77">
        <f>[1]in!$J$1110</f>
        <v>0</v>
      </c>
      <c r="K18" s="77">
        <f>[1]in!$L$1110</f>
        <v>0</v>
      </c>
      <c r="L18" s="77">
        <f>[1]in!$M$1110</f>
        <v>0</v>
      </c>
      <c r="M18" s="77">
        <f>[1]in!$N$1110</f>
        <v>0</v>
      </c>
      <c r="N18" s="77">
        <f>[1]in!$P$1110</f>
        <v>0</v>
      </c>
      <c r="O18" s="77">
        <f>[1]in!$Q$1110</f>
        <v>0</v>
      </c>
      <c r="P18" s="77">
        <f>[1]in!$R$1110</f>
        <v>0</v>
      </c>
      <c r="Q18" s="34">
        <f t="shared" si="0"/>
        <v>414730</v>
      </c>
      <c r="R18" s="26">
        <f t="shared" si="3"/>
        <v>311050</v>
      </c>
      <c r="S18" s="26">
        <f t="shared" si="4"/>
        <v>103680</v>
      </c>
      <c r="T18" s="26">
        <f t="shared" si="5"/>
        <v>0</v>
      </c>
      <c r="U18" s="26">
        <f t="shared" si="6"/>
        <v>0</v>
      </c>
      <c r="V18" s="26">
        <f t="shared" si="7"/>
        <v>414730</v>
      </c>
      <c r="W18" s="26">
        <f t="shared" si="8"/>
        <v>0</v>
      </c>
      <c r="X18" s="196">
        <f>Q18/$Q$35</f>
        <v>6.7326654029748899E-4</v>
      </c>
    </row>
    <row r="19" spans="1:24">
      <c r="A19" s="439"/>
      <c r="B19" s="7" t="s">
        <v>59</v>
      </c>
      <c r="C19" s="7" t="s">
        <v>127</v>
      </c>
      <c r="D19" s="84"/>
      <c r="E19" s="77">
        <f>[1]in!$D$1116</f>
        <v>0</v>
      </c>
      <c r="F19" s="77">
        <f>[1]in!$E$1116</f>
        <v>0</v>
      </c>
      <c r="G19" s="77">
        <f>[1]in!$F$1116</f>
        <v>0</v>
      </c>
      <c r="H19" s="77">
        <f>[1]in!$H$1116</f>
        <v>0</v>
      </c>
      <c r="I19" s="77">
        <f>[1]in!$I$1116</f>
        <v>0</v>
      </c>
      <c r="J19" s="77">
        <f>[1]in!$J$1116</f>
        <v>0</v>
      </c>
      <c r="K19" s="77">
        <f>[1]in!$L$1116</f>
        <v>0</v>
      </c>
      <c r="L19" s="77">
        <f>[1]in!$M$1116</f>
        <v>0</v>
      </c>
      <c r="M19" s="77">
        <f>[1]in!$N$1116</f>
        <v>0</v>
      </c>
      <c r="N19" s="77">
        <f>[1]in!$P$1116</f>
        <v>0</v>
      </c>
      <c r="O19" s="77">
        <f>[1]in!$Q$1116</f>
        <v>0</v>
      </c>
      <c r="P19" s="77">
        <f>[1]in!$R$1116</f>
        <v>0</v>
      </c>
      <c r="Q19" s="34">
        <f t="shared" si="0"/>
        <v>0</v>
      </c>
      <c r="R19" s="26">
        <f t="shared" si="3"/>
        <v>0</v>
      </c>
      <c r="S19" s="26">
        <f t="shared" si="4"/>
        <v>0</v>
      </c>
      <c r="T19" s="26">
        <f t="shared" si="5"/>
        <v>0</v>
      </c>
      <c r="U19" s="26">
        <f t="shared" si="6"/>
        <v>0</v>
      </c>
      <c r="V19" s="26">
        <f t="shared" si="7"/>
        <v>0</v>
      </c>
      <c r="W19" s="26">
        <f t="shared" si="8"/>
        <v>0</v>
      </c>
    </row>
    <row r="20" spans="1:24">
      <c r="A20" s="425" t="s">
        <v>28</v>
      </c>
      <c r="B20" s="2" t="s">
        <v>29</v>
      </c>
      <c r="C20" s="7" t="s">
        <v>127</v>
      </c>
      <c r="D20" s="84"/>
      <c r="E20" s="11">
        <f>[1]in!$D$1094</f>
        <v>0</v>
      </c>
      <c r="F20" s="11">
        <f>[1]in!$E$1094</f>
        <v>0</v>
      </c>
      <c r="G20" s="11">
        <f>[1]in!$F$1094</f>
        <v>0</v>
      </c>
      <c r="H20" s="11">
        <f>[1]in!$H$1094</f>
        <v>0</v>
      </c>
      <c r="I20" s="11">
        <f>[1]in!$I$1094</f>
        <v>0</v>
      </c>
      <c r="J20" s="11">
        <f>[1]in!$J$1094</f>
        <v>0</v>
      </c>
      <c r="K20" s="11">
        <f>[1]in!$L$1094</f>
        <v>0</v>
      </c>
      <c r="L20" s="11">
        <f>[1]in!$M$1094</f>
        <v>0</v>
      </c>
      <c r="M20" s="11">
        <f>[1]in!$N$1094</f>
        <v>0</v>
      </c>
      <c r="N20" s="11">
        <f>[1]in!$P$1094</f>
        <v>0</v>
      </c>
      <c r="O20" s="11">
        <f>[1]in!$Q$1094</f>
        <v>0</v>
      </c>
      <c r="P20" s="11">
        <f>[1]in!$R$1094</f>
        <v>0</v>
      </c>
      <c r="Q20" s="34">
        <f t="shared" si="0"/>
        <v>0</v>
      </c>
      <c r="R20" s="26">
        <f t="shared" si="3"/>
        <v>0</v>
      </c>
      <c r="S20" s="26">
        <f t="shared" si="4"/>
        <v>0</v>
      </c>
      <c r="T20" s="26">
        <f t="shared" si="5"/>
        <v>0</v>
      </c>
      <c r="U20" s="26">
        <f t="shared" si="6"/>
        <v>0</v>
      </c>
      <c r="V20" s="26">
        <f t="shared" si="7"/>
        <v>0</v>
      </c>
      <c r="W20" s="26">
        <f t="shared" si="8"/>
        <v>0</v>
      </c>
    </row>
    <row r="21" spans="1:24">
      <c r="A21" s="426"/>
      <c r="B21" s="2" t="s">
        <v>30</v>
      </c>
      <c r="C21" s="7" t="s">
        <v>127</v>
      </c>
      <c r="D21" s="84"/>
      <c r="E21" s="55">
        <f>[1]in!$D$1095</f>
        <v>912376.35140000004</v>
      </c>
      <c r="F21" s="55">
        <f>[1]in!$E$1095</f>
        <v>1212199.3276</v>
      </c>
      <c r="G21" s="55">
        <f>[1]in!$F$1095</f>
        <v>1186315.8234000001</v>
      </c>
      <c r="H21" s="55">
        <f>[1]in!$H$1095</f>
        <v>0</v>
      </c>
      <c r="I21" s="55">
        <f>[1]in!$I$1095</f>
        <v>0</v>
      </c>
      <c r="J21" s="55">
        <f>[1]in!$J$1095</f>
        <v>0</v>
      </c>
      <c r="K21" s="55">
        <f>[1]in!$L$1095</f>
        <v>0</v>
      </c>
      <c r="L21" s="55">
        <f>[1]in!$M$1095</f>
        <v>0</v>
      </c>
      <c r="M21" s="55">
        <f>[1]in!$N$1095</f>
        <v>0</v>
      </c>
      <c r="N21" s="55">
        <f>[1]in!$P$1095</f>
        <v>0</v>
      </c>
      <c r="O21" s="55">
        <f>[1]in!$Q$1095</f>
        <v>0</v>
      </c>
      <c r="P21" s="55">
        <f>[1]in!$R$1095</f>
        <v>0</v>
      </c>
      <c r="Q21" s="34">
        <f t="shared" si="0"/>
        <v>3310891.5024000001</v>
      </c>
      <c r="R21" s="26">
        <f t="shared" si="3"/>
        <v>3310891.5024000001</v>
      </c>
      <c r="S21" s="26">
        <f t="shared" si="4"/>
        <v>0</v>
      </c>
      <c r="T21" s="26">
        <f t="shared" si="5"/>
        <v>0</v>
      </c>
      <c r="U21" s="26">
        <f t="shared" si="6"/>
        <v>0</v>
      </c>
      <c r="V21" s="26">
        <f t="shared" si="7"/>
        <v>3310891.5024000001</v>
      </c>
      <c r="W21" s="26">
        <f t="shared" si="8"/>
        <v>0</v>
      </c>
      <c r="X21" s="58">
        <f>Q21/$Q$35</f>
        <v>5.3748522342758022E-3</v>
      </c>
    </row>
    <row r="22" spans="1:24">
      <c r="A22" s="426"/>
      <c r="B22" s="2" t="s">
        <v>31</v>
      </c>
      <c r="C22" s="7" t="s">
        <v>127</v>
      </c>
      <c r="D22" s="84"/>
      <c r="E22" s="77">
        <f>[1]in!$D$1097</f>
        <v>5373000</v>
      </c>
      <c r="F22" s="77">
        <f>[1]in!$E$1097</f>
        <v>2991000</v>
      </c>
      <c r="G22" s="77">
        <f>[1]in!$F$1097</f>
        <v>3190000</v>
      </c>
      <c r="H22" s="77">
        <f>[1]in!$H$1097</f>
        <v>2533000</v>
      </c>
      <c r="I22" s="77">
        <f>[1]in!$I$1097</f>
        <v>0</v>
      </c>
      <c r="J22" s="77">
        <f>[1]in!$J$1097</f>
        <v>0</v>
      </c>
      <c r="K22" s="77">
        <f>[1]in!$L$1097</f>
        <v>0</v>
      </c>
      <c r="L22" s="77">
        <f>[1]in!$M$1097</f>
        <v>0</v>
      </c>
      <c r="M22" s="77">
        <f>[1]in!$N$1097</f>
        <v>0</v>
      </c>
      <c r="N22" s="77">
        <f>[1]in!$P$1097</f>
        <v>0</v>
      </c>
      <c r="O22" s="77">
        <f>[1]in!$Q$1097</f>
        <v>0</v>
      </c>
      <c r="P22" s="77">
        <f>[1]in!$R$1097</f>
        <v>0</v>
      </c>
      <c r="Q22" s="34">
        <f t="shared" si="0"/>
        <v>14087000</v>
      </c>
      <c r="R22" s="26">
        <f t="shared" si="3"/>
        <v>11554000</v>
      </c>
      <c r="S22" s="26">
        <f t="shared" si="4"/>
        <v>2533000</v>
      </c>
      <c r="T22" s="26">
        <f t="shared" si="5"/>
        <v>0</v>
      </c>
      <c r="U22" s="26">
        <f t="shared" si="6"/>
        <v>0</v>
      </c>
      <c r="V22" s="26">
        <f>SUM(E22:J22)</f>
        <v>14087000</v>
      </c>
      <c r="W22" s="26">
        <f t="shared" si="8"/>
        <v>0</v>
      </c>
      <c r="X22" s="58">
        <f>Q22/$Q$35</f>
        <v>2.286862718677387E-2</v>
      </c>
    </row>
    <row r="23" spans="1:24">
      <c r="A23" s="426"/>
      <c r="B23" s="2" t="s">
        <v>32</v>
      </c>
      <c r="C23" s="7" t="s">
        <v>127</v>
      </c>
      <c r="D23" s="84"/>
      <c r="E23" s="77">
        <f>[1]in!$D$1098</f>
        <v>0</v>
      </c>
      <c r="F23" s="77">
        <f>[1]in!$E$1098</f>
        <v>0</v>
      </c>
      <c r="G23" s="77">
        <f>[1]in!$F$1098</f>
        <v>0</v>
      </c>
      <c r="H23" s="77">
        <f>[1]in!$H$1098</f>
        <v>0</v>
      </c>
      <c r="I23" s="77">
        <f>[1]in!$I$1098</f>
        <v>0</v>
      </c>
      <c r="J23" s="77">
        <f>[1]in!$J$1098</f>
        <v>0</v>
      </c>
      <c r="K23" s="77">
        <f>[1]in!$L$1098</f>
        <v>0</v>
      </c>
      <c r="L23" s="77">
        <f>[1]in!$M$1098</f>
        <v>0</v>
      </c>
      <c r="M23" s="77">
        <f>[1]in!$N$1098</f>
        <v>0</v>
      </c>
      <c r="N23" s="77">
        <f>[1]in!$P$1098</f>
        <v>0</v>
      </c>
      <c r="O23" s="77">
        <f>[1]in!$Q$1098</f>
        <v>0</v>
      </c>
      <c r="P23" s="77">
        <f>[1]in!$R$1098</f>
        <v>0</v>
      </c>
      <c r="Q23" s="34">
        <f>SUM(E23:P23)</f>
        <v>0</v>
      </c>
      <c r="R23" s="26">
        <f t="shared" si="3"/>
        <v>0</v>
      </c>
      <c r="S23" s="26">
        <f t="shared" si="4"/>
        <v>0</v>
      </c>
      <c r="T23" s="26">
        <f t="shared" si="5"/>
        <v>0</v>
      </c>
      <c r="U23" s="26">
        <f t="shared" si="6"/>
        <v>0</v>
      </c>
      <c r="V23" s="26">
        <f t="shared" si="7"/>
        <v>0</v>
      </c>
      <c r="W23" s="26">
        <f t="shared" si="8"/>
        <v>0</v>
      </c>
    </row>
    <row r="24" spans="1:24">
      <c r="A24" s="426"/>
      <c r="B24" s="2" t="s">
        <v>33</v>
      </c>
      <c r="C24" s="7" t="s">
        <v>127</v>
      </c>
      <c r="D24" s="84"/>
      <c r="E24" s="77">
        <f>[1]in!$D$1102</f>
        <v>0</v>
      </c>
      <c r="F24" s="77">
        <f>[1]in!$E$1102</f>
        <v>0</v>
      </c>
      <c r="G24" s="77">
        <f>[1]in!$F$1102</f>
        <v>0</v>
      </c>
      <c r="H24" s="77">
        <f>[1]in!$H$1102</f>
        <v>0</v>
      </c>
      <c r="I24" s="77">
        <f>[1]in!$I$1102</f>
        <v>0</v>
      </c>
      <c r="J24" s="77">
        <f>[1]in!$J$1102</f>
        <v>0</v>
      </c>
      <c r="K24" s="77">
        <f>[1]in!$L$1102</f>
        <v>0</v>
      </c>
      <c r="L24" s="77">
        <f>[1]in!$M$1102</f>
        <v>0</v>
      </c>
      <c r="M24" s="77">
        <f>[1]in!$N$1102</f>
        <v>0</v>
      </c>
      <c r="N24" s="77">
        <f>[1]in!$P$1102</f>
        <v>0</v>
      </c>
      <c r="O24" s="77">
        <f>[1]in!$Q$1102</f>
        <v>0</v>
      </c>
      <c r="P24" s="77">
        <f>[1]in!$R$1102</f>
        <v>0</v>
      </c>
      <c r="Q24" s="34">
        <f t="shared" si="0"/>
        <v>0</v>
      </c>
      <c r="R24" s="26">
        <f>SUM(E24:G24)</f>
        <v>0</v>
      </c>
      <c r="S24" s="26">
        <f>SUM(H24:J24)</f>
        <v>0</v>
      </c>
      <c r="T24" s="26">
        <f t="shared" si="5"/>
        <v>0</v>
      </c>
      <c r="U24" s="26">
        <f t="shared" si="6"/>
        <v>0</v>
      </c>
      <c r="V24" s="26">
        <f t="shared" si="7"/>
        <v>0</v>
      </c>
      <c r="W24" s="26">
        <f>SUM(K24:P24)</f>
        <v>0</v>
      </c>
    </row>
    <row r="25" spans="1:24">
      <c r="A25" s="426"/>
      <c r="B25" s="2" t="s">
        <v>34</v>
      </c>
      <c r="C25" s="7" t="s">
        <v>127</v>
      </c>
      <c r="D25" s="84"/>
      <c r="E25" s="77">
        <f>[1]in!$D$1107</f>
        <v>0</v>
      </c>
      <c r="F25" s="77">
        <f>[1]in!$E$1107</f>
        <v>0</v>
      </c>
      <c r="G25" s="77">
        <f>[1]in!$F$1107</f>
        <v>0</v>
      </c>
      <c r="H25" s="77">
        <f>[1]in!$H$1107</f>
        <v>0</v>
      </c>
      <c r="I25" s="77">
        <f>[1]in!$I$1107</f>
        <v>0</v>
      </c>
      <c r="J25" s="77">
        <f>[1]in!$J$1107</f>
        <v>0</v>
      </c>
      <c r="K25" s="77">
        <f>[1]in!$L$1107</f>
        <v>0</v>
      </c>
      <c r="L25" s="77">
        <f>[1]in!$M$1107</f>
        <v>0</v>
      </c>
      <c r="M25" s="77">
        <f>[1]in!$N$1107</f>
        <v>0</v>
      </c>
      <c r="N25" s="77">
        <f>[1]in!$P$1107</f>
        <v>0</v>
      </c>
      <c r="O25" s="77">
        <f>[1]in!$Q$1107</f>
        <v>0</v>
      </c>
      <c r="P25" s="77">
        <f>[1]in!$R$1107</f>
        <v>0</v>
      </c>
      <c r="Q25" s="34">
        <f t="shared" si="0"/>
        <v>0</v>
      </c>
      <c r="R25" s="26">
        <f t="shared" ref="R25:R28" si="9">SUM(E25:G25)</f>
        <v>0</v>
      </c>
      <c r="S25" s="26">
        <f t="shared" ref="S25:S32" si="10">SUM(H25:J25)</f>
        <v>0</v>
      </c>
      <c r="T25" s="26">
        <f t="shared" ref="T25:T32" si="11">SUM(K25:M25)</f>
        <v>0</v>
      </c>
      <c r="U25" s="26">
        <f t="shared" ref="U25:U32" si="12">SUM(N25:P25)</f>
        <v>0</v>
      </c>
      <c r="V25" s="26">
        <f t="shared" si="7"/>
        <v>0</v>
      </c>
      <c r="W25" s="26">
        <f t="shared" ref="W25:W31" si="13">SUM(K25:P25)</f>
        <v>0</v>
      </c>
    </row>
    <row r="26" spans="1:24">
      <c r="A26" s="426"/>
      <c r="B26" s="2" t="s">
        <v>35</v>
      </c>
      <c r="C26" s="7" t="s">
        <v>127</v>
      </c>
      <c r="D26" s="84"/>
      <c r="E26" s="77">
        <f>[1]in!$D$1111</f>
        <v>0</v>
      </c>
      <c r="F26" s="77">
        <f>[1]in!$E$1111</f>
        <v>0</v>
      </c>
      <c r="G26" s="77">
        <f>[1]in!$F$1111</f>
        <v>0</v>
      </c>
      <c r="H26" s="77">
        <f>[1]in!$H$1111</f>
        <v>0</v>
      </c>
      <c r="I26" s="77">
        <f>[1]in!$I$1111</f>
        <v>0</v>
      </c>
      <c r="J26" s="77">
        <f>[1]in!$J$1111</f>
        <v>0</v>
      </c>
      <c r="K26" s="77">
        <f>[1]in!$L$1111</f>
        <v>0</v>
      </c>
      <c r="L26" s="77">
        <f>[1]in!$M$1111</f>
        <v>0</v>
      </c>
      <c r="M26" s="77">
        <f>[1]in!$N$1111</f>
        <v>0</v>
      </c>
      <c r="N26" s="77">
        <f>[1]in!$P$1111</f>
        <v>0</v>
      </c>
      <c r="O26" s="77">
        <f>[1]in!$Q$1111</f>
        <v>0</v>
      </c>
      <c r="P26" s="77">
        <f>[1]in!$R$1111</f>
        <v>0</v>
      </c>
      <c r="Q26" s="34">
        <f t="shared" si="0"/>
        <v>0</v>
      </c>
      <c r="R26" s="26">
        <f t="shared" si="9"/>
        <v>0</v>
      </c>
      <c r="S26" s="26">
        <f t="shared" si="10"/>
        <v>0</v>
      </c>
      <c r="T26" s="26">
        <f t="shared" si="11"/>
        <v>0</v>
      </c>
      <c r="U26" s="26">
        <f t="shared" si="12"/>
        <v>0</v>
      </c>
      <c r="V26" s="26">
        <f t="shared" si="7"/>
        <v>0</v>
      </c>
      <c r="W26" s="26">
        <f t="shared" si="13"/>
        <v>0</v>
      </c>
    </row>
    <row r="27" spans="1:24">
      <c r="A27" s="426"/>
      <c r="B27" s="2" t="s">
        <v>36</v>
      </c>
      <c r="C27" s="7" t="s">
        <v>127</v>
      </c>
      <c r="D27" s="31"/>
      <c r="E27" s="11">
        <f>[1]in!$D$1112</f>
        <v>0</v>
      </c>
      <c r="F27" s="11">
        <f>[1]in!$E$1112</f>
        <v>0</v>
      </c>
      <c r="G27" s="11">
        <f>[1]in!$F$1112</f>
        <v>0</v>
      </c>
      <c r="H27" s="11">
        <f>[1]in!$H$1112</f>
        <v>0</v>
      </c>
      <c r="I27" s="11">
        <f>[1]in!$I$1112</f>
        <v>0</v>
      </c>
      <c r="J27" s="11">
        <f>[1]in!$J$1112</f>
        <v>0</v>
      </c>
      <c r="K27" s="11">
        <f>[1]in!$L$1112</f>
        <v>0</v>
      </c>
      <c r="L27" s="11">
        <f>[1]in!$M$1112</f>
        <v>0</v>
      </c>
      <c r="M27" s="11">
        <f>[1]in!$N$1112</f>
        <v>0</v>
      </c>
      <c r="N27" s="11">
        <f>[1]in!$P$1112</f>
        <v>0</v>
      </c>
      <c r="O27" s="11">
        <f>[1]in!$Q$1112</f>
        <v>0</v>
      </c>
      <c r="P27" s="11">
        <f>[1]in!$R$1112</f>
        <v>0</v>
      </c>
      <c r="Q27" s="34">
        <f t="shared" si="0"/>
        <v>0</v>
      </c>
      <c r="R27" s="26">
        <f t="shared" si="9"/>
        <v>0</v>
      </c>
      <c r="S27" s="26">
        <f t="shared" si="10"/>
        <v>0</v>
      </c>
      <c r="T27" s="26">
        <f t="shared" si="11"/>
        <v>0</v>
      </c>
      <c r="U27" s="26">
        <f t="shared" si="12"/>
        <v>0</v>
      </c>
      <c r="V27" s="26">
        <f t="shared" si="7"/>
        <v>0</v>
      </c>
      <c r="W27" s="26">
        <f t="shared" si="13"/>
        <v>0</v>
      </c>
    </row>
    <row r="28" spans="1:24">
      <c r="A28" s="426"/>
      <c r="B28" s="2" t="s">
        <v>37</v>
      </c>
      <c r="C28" s="7" t="s">
        <v>127</v>
      </c>
      <c r="D28" s="31"/>
      <c r="E28" s="11">
        <f>[1]in!$D$1118</f>
        <v>0</v>
      </c>
      <c r="F28" s="11">
        <f>[1]in!$E$1118</f>
        <v>0</v>
      </c>
      <c r="G28" s="11">
        <f>[1]in!$F$1118</f>
        <v>0</v>
      </c>
      <c r="H28" s="11">
        <f>[1]in!$H$1118</f>
        <v>0</v>
      </c>
      <c r="I28" s="11">
        <f>[1]in!$I$1118</f>
        <v>0</v>
      </c>
      <c r="J28" s="11">
        <f>[1]in!$J$1118</f>
        <v>0</v>
      </c>
      <c r="K28" s="11">
        <f>[1]in!$L$1118</f>
        <v>0</v>
      </c>
      <c r="L28" s="11">
        <f>[1]in!$M$1118</f>
        <v>0</v>
      </c>
      <c r="M28" s="11">
        <f>[1]in!$N$1118</f>
        <v>0</v>
      </c>
      <c r="N28" s="11">
        <f>[1]in!$P$1118</f>
        <v>0</v>
      </c>
      <c r="O28" s="11">
        <f>[1]in!$Q$1118</f>
        <v>0</v>
      </c>
      <c r="P28" s="11">
        <f>[1]in!$R$1118</f>
        <v>0</v>
      </c>
      <c r="Q28" s="34">
        <f t="shared" si="0"/>
        <v>0</v>
      </c>
      <c r="R28" s="26">
        <f t="shared" si="9"/>
        <v>0</v>
      </c>
      <c r="S28" s="26">
        <f t="shared" si="10"/>
        <v>0</v>
      </c>
      <c r="T28" s="26">
        <f t="shared" si="11"/>
        <v>0</v>
      </c>
      <c r="U28" s="26">
        <f>SUM(N28:P28)</f>
        <v>0</v>
      </c>
      <c r="V28" s="26">
        <f t="shared" si="7"/>
        <v>0</v>
      </c>
      <c r="W28" s="26">
        <f t="shared" si="13"/>
        <v>0</v>
      </c>
    </row>
    <row r="29" spans="1:24">
      <c r="A29" s="426"/>
      <c r="B29" s="401" t="s">
        <v>38</v>
      </c>
      <c r="C29" s="402" t="s">
        <v>127</v>
      </c>
      <c r="D29" s="403"/>
      <c r="E29" s="404">
        <f>[1]in!$D$1093</f>
        <v>60223640</v>
      </c>
      <c r="F29" s="404">
        <f>[1]in!$E$1093</f>
        <v>57084930</v>
      </c>
      <c r="G29" s="404">
        <f>[1]in!$F$1093</f>
        <v>67296440</v>
      </c>
      <c r="H29" s="404">
        <f>[1]in!$H$1093</f>
        <v>56349650</v>
      </c>
      <c r="I29" s="404">
        <f>[1]in!$I$1093</f>
        <v>0</v>
      </c>
      <c r="J29" s="404">
        <f>[1]in!$J$1093</f>
        <v>0</v>
      </c>
      <c r="K29" s="404">
        <f>[1]in!$L$1093</f>
        <v>0</v>
      </c>
      <c r="L29" s="404">
        <f>[1]in!$M$1093</f>
        <v>0</v>
      </c>
      <c r="M29" s="404">
        <f>[1]in!$N$1093</f>
        <v>0</v>
      </c>
      <c r="N29" s="404">
        <f>[1]in!$P$1093</f>
        <v>0</v>
      </c>
      <c r="O29" s="404">
        <f>[1]in!$Q$1093</f>
        <v>0</v>
      </c>
      <c r="P29" s="404">
        <f>[1]in!$R$1093</f>
        <v>0</v>
      </c>
      <c r="Q29" s="24">
        <f>SUM(E29:P29)</f>
        <v>240954660</v>
      </c>
      <c r="R29" s="25">
        <f t="shared" ref="R29:R33" si="14">SUM(E29:G29)</f>
        <v>184605010</v>
      </c>
      <c r="S29" s="25">
        <f t="shared" si="10"/>
        <v>56349650</v>
      </c>
      <c r="T29" s="25">
        <f t="shared" si="11"/>
        <v>0</v>
      </c>
      <c r="U29" s="25">
        <f>SUM(N29:P29)</f>
        <v>0</v>
      </c>
      <c r="V29" s="25">
        <f t="shared" ref="V29:V32" si="15">SUM(E29:J29)</f>
        <v>240954660</v>
      </c>
      <c r="W29" s="25">
        <f t="shared" si="13"/>
        <v>0</v>
      </c>
    </row>
    <row r="30" spans="1:24">
      <c r="A30" s="426"/>
      <c r="B30" s="401" t="s">
        <v>39</v>
      </c>
      <c r="C30" s="402" t="s">
        <v>127</v>
      </c>
      <c r="D30" s="403"/>
      <c r="E30" s="404">
        <f>[1]in!$D$1101</f>
        <v>0</v>
      </c>
      <c r="F30" s="404">
        <f>[1]in!$E$1101</f>
        <v>0</v>
      </c>
      <c r="G30" s="404">
        <f>[1]in!$F$1101</f>
        <v>0</v>
      </c>
      <c r="H30" s="404">
        <f>[1]in!$H$1101</f>
        <v>0</v>
      </c>
      <c r="I30" s="404">
        <f>[1]in!$I$1101</f>
        <v>0</v>
      </c>
      <c r="J30" s="404">
        <f>[1]in!$J$1101</f>
        <v>0</v>
      </c>
      <c r="K30" s="404">
        <f>[1]in!$L$1101</f>
        <v>0</v>
      </c>
      <c r="L30" s="404">
        <f>[1]in!$M$1101</f>
        <v>0</v>
      </c>
      <c r="M30" s="404">
        <f>[1]in!$N$1101</f>
        <v>0</v>
      </c>
      <c r="N30" s="404">
        <f>[1]in!$P$1101</f>
        <v>0</v>
      </c>
      <c r="O30" s="404">
        <f>[1]in!$Q$1101</f>
        <v>0</v>
      </c>
      <c r="P30" s="404">
        <f>[1]in!$R$1101</f>
        <v>0</v>
      </c>
      <c r="Q30" s="24">
        <f t="shared" ref="Q30:Q33" si="16">SUM(E30:P30)</f>
        <v>0</v>
      </c>
      <c r="R30" s="25">
        <f t="shared" si="14"/>
        <v>0</v>
      </c>
      <c r="S30" s="25">
        <f t="shared" si="10"/>
        <v>0</v>
      </c>
      <c r="T30" s="25">
        <f t="shared" si="11"/>
        <v>0</v>
      </c>
      <c r="U30" s="25">
        <f t="shared" si="12"/>
        <v>0</v>
      </c>
      <c r="V30" s="25">
        <f t="shared" si="15"/>
        <v>0</v>
      </c>
      <c r="W30" s="25">
        <f t="shared" si="13"/>
        <v>0</v>
      </c>
    </row>
    <row r="31" spans="1:24">
      <c r="A31" s="426"/>
      <c r="B31" s="2" t="s">
        <v>40</v>
      </c>
      <c r="C31" s="7" t="s">
        <v>127</v>
      </c>
      <c r="D31" s="31"/>
      <c r="E31" s="11">
        <f>SUM(E29:E30)</f>
        <v>60223640</v>
      </c>
      <c r="F31" s="11">
        <f>SUM(F29:F30)</f>
        <v>57084930</v>
      </c>
      <c r="G31" s="11">
        <f t="shared" ref="G31:P31" si="17">SUM(G29:G30)</f>
        <v>67296440</v>
      </c>
      <c r="H31" s="11">
        <f t="shared" si="17"/>
        <v>56349650</v>
      </c>
      <c r="I31" s="11">
        <f t="shared" si="17"/>
        <v>0</v>
      </c>
      <c r="J31" s="11">
        <f t="shared" si="17"/>
        <v>0</v>
      </c>
      <c r="K31" s="11">
        <f t="shared" si="17"/>
        <v>0</v>
      </c>
      <c r="L31" s="11">
        <f t="shared" si="17"/>
        <v>0</v>
      </c>
      <c r="M31" s="11">
        <f t="shared" si="17"/>
        <v>0</v>
      </c>
      <c r="N31" s="11">
        <f t="shared" si="17"/>
        <v>0</v>
      </c>
      <c r="O31" s="11">
        <f t="shared" si="17"/>
        <v>0</v>
      </c>
      <c r="P31" s="11">
        <f t="shared" si="17"/>
        <v>0</v>
      </c>
      <c r="Q31" s="34">
        <f>SUM(E31:P31)</f>
        <v>240954660</v>
      </c>
      <c r="R31" s="26">
        <f>SUM(E31:G31)</f>
        <v>184605010</v>
      </c>
      <c r="S31" s="26">
        <f t="shared" si="10"/>
        <v>56349650</v>
      </c>
      <c r="T31" s="26">
        <f t="shared" si="11"/>
        <v>0</v>
      </c>
      <c r="U31" s="26">
        <f t="shared" si="12"/>
        <v>0</v>
      </c>
      <c r="V31" s="26">
        <f t="shared" si="15"/>
        <v>240954660</v>
      </c>
      <c r="W31" s="26">
        <f t="shared" si="13"/>
        <v>0</v>
      </c>
    </row>
    <row r="32" spans="1:24">
      <c r="A32" s="439"/>
      <c r="B32" s="2" t="s">
        <v>42</v>
      </c>
      <c r="C32" s="7" t="s">
        <v>127</v>
      </c>
      <c r="D32" s="31"/>
      <c r="E32" s="11">
        <f>[1]in!$D$1103</f>
        <v>0</v>
      </c>
      <c r="F32" s="11">
        <f>[1]in!$E$1103</f>
        <v>0</v>
      </c>
      <c r="G32" s="11">
        <f>[1]in!$F$1103</f>
        <v>0</v>
      </c>
      <c r="H32" s="11">
        <f>[1]in!$H$1103</f>
        <v>0</v>
      </c>
      <c r="I32" s="11">
        <f>[1]in!$I$1103</f>
        <v>0</v>
      </c>
      <c r="J32" s="11">
        <f>[1]in!$J$1103</f>
        <v>0</v>
      </c>
      <c r="K32" s="11">
        <f>[1]in!$L$1103</f>
        <v>0</v>
      </c>
      <c r="L32" s="11">
        <f>[1]in!$M$1103</f>
        <v>0</v>
      </c>
      <c r="M32" s="11">
        <f>[1]in!$N$1103</f>
        <v>0</v>
      </c>
      <c r="N32" s="11">
        <f>[1]in!$P$1103</f>
        <v>0</v>
      </c>
      <c r="O32" s="11">
        <f>[1]in!$Q$1103</f>
        <v>0</v>
      </c>
      <c r="P32" s="11">
        <f>[1]in!$R$1103</f>
        <v>0</v>
      </c>
      <c r="Q32" s="34">
        <f t="shared" si="16"/>
        <v>0</v>
      </c>
      <c r="R32" s="26">
        <f t="shared" si="14"/>
        <v>0</v>
      </c>
      <c r="S32" s="26">
        <f t="shared" si="10"/>
        <v>0</v>
      </c>
      <c r="T32" s="26">
        <f t="shared" si="11"/>
        <v>0</v>
      </c>
      <c r="U32" s="26">
        <f t="shared" si="12"/>
        <v>0</v>
      </c>
      <c r="V32" s="26">
        <f t="shared" si="15"/>
        <v>0</v>
      </c>
      <c r="W32" s="26">
        <f>SUM(K32:P32)</f>
        <v>0</v>
      </c>
    </row>
    <row r="33" spans="1:23">
      <c r="A33" s="72"/>
      <c r="B33" s="2" t="s">
        <v>43</v>
      </c>
      <c r="C33" s="7" t="s">
        <v>127</v>
      </c>
      <c r="D33" s="31"/>
      <c r="E33" s="11">
        <f>SUM(E8:E9,E24:E27,E32)</f>
        <v>0</v>
      </c>
      <c r="F33" s="11">
        <f t="shared" ref="F33:P33" si="18">SUM(F8:F9,F24:F27,F32)</f>
        <v>0</v>
      </c>
      <c r="G33" s="11">
        <f t="shared" si="18"/>
        <v>0</v>
      </c>
      <c r="H33" s="11">
        <f t="shared" si="18"/>
        <v>0</v>
      </c>
      <c r="I33" s="11">
        <f t="shared" si="18"/>
        <v>0</v>
      </c>
      <c r="J33" s="11">
        <f t="shared" si="18"/>
        <v>0</v>
      </c>
      <c r="K33" s="11">
        <f t="shared" si="18"/>
        <v>0</v>
      </c>
      <c r="L33" s="11">
        <f t="shared" si="18"/>
        <v>0</v>
      </c>
      <c r="M33" s="11">
        <f t="shared" si="18"/>
        <v>0</v>
      </c>
      <c r="N33" s="11">
        <f t="shared" si="18"/>
        <v>0</v>
      </c>
      <c r="O33" s="11">
        <f t="shared" si="18"/>
        <v>0</v>
      </c>
      <c r="P33" s="11">
        <f t="shared" si="18"/>
        <v>0</v>
      </c>
      <c r="Q33" s="34">
        <f t="shared" si="16"/>
        <v>0</v>
      </c>
      <c r="R33" s="26">
        <f t="shared" si="14"/>
        <v>0</v>
      </c>
      <c r="S33" s="26">
        <f t="shared" ref="S33" si="19">SUM(H33:J33)</f>
        <v>0</v>
      </c>
      <c r="T33" s="26">
        <f t="shared" ref="T33" si="20">SUM(K33:M33)</f>
        <v>0</v>
      </c>
      <c r="U33" s="26">
        <f t="shared" ref="U33" si="21">SUM(N33:P33)</f>
        <v>0</v>
      </c>
      <c r="V33" s="26">
        <f>SUM(E33:J33)</f>
        <v>0</v>
      </c>
      <c r="W33" s="26">
        <f>SUM(K33:P33)</f>
        <v>0</v>
      </c>
    </row>
    <row r="35" spans="1:23">
      <c r="A35" s="411" t="s">
        <v>44</v>
      </c>
      <c r="B35" s="411"/>
      <c r="C35" s="7" t="s">
        <v>127</v>
      </c>
      <c r="D35" s="31"/>
      <c r="E35" s="26">
        <f>SUM(E5:E28,E31:E32)</f>
        <v>179469687.79890001</v>
      </c>
      <c r="F35" s="26">
        <f>SUM(F5:F28,F31:F32)</f>
        <v>152545132.3276</v>
      </c>
      <c r="G35" s="26">
        <f t="shared" ref="G35:P35" si="22">SUM(G5:G28,G31:G32)</f>
        <v>152739885.82340002</v>
      </c>
      <c r="H35" s="26">
        <f t="shared" si="22"/>
        <v>131242043</v>
      </c>
      <c r="I35" s="26">
        <f t="shared" si="22"/>
        <v>0</v>
      </c>
      <c r="J35" s="26">
        <f t="shared" si="22"/>
        <v>0</v>
      </c>
      <c r="K35" s="26">
        <f t="shared" si="22"/>
        <v>0</v>
      </c>
      <c r="L35" s="26">
        <f t="shared" si="22"/>
        <v>0</v>
      </c>
      <c r="M35" s="26">
        <f t="shared" si="22"/>
        <v>0</v>
      </c>
      <c r="N35" s="26">
        <f t="shared" si="22"/>
        <v>0</v>
      </c>
      <c r="O35" s="26">
        <f t="shared" si="22"/>
        <v>0</v>
      </c>
      <c r="P35" s="26">
        <f t="shared" si="22"/>
        <v>0</v>
      </c>
      <c r="Q35" s="27">
        <f>SUM(Q5:Q28,Q31:Q32)</f>
        <v>615996748.94989991</v>
      </c>
      <c r="R35" s="26">
        <f>SUM(R5:R28,R31:R32)</f>
        <v>484754705.94989997</v>
      </c>
      <c r="S35" s="26">
        <f t="shared" ref="S35:U35" si="23">SUM(S5:S28,S31:S32)</f>
        <v>131242043</v>
      </c>
      <c r="T35" s="26">
        <f t="shared" si="23"/>
        <v>0</v>
      </c>
      <c r="U35" s="26">
        <f t="shared" si="23"/>
        <v>0</v>
      </c>
      <c r="V35" s="26">
        <f>SUM(V5:V28,V31:V32)</f>
        <v>615996748.94989991</v>
      </c>
      <c r="W35" s="26">
        <f>SUM(W5:W28,W31:W32)</f>
        <v>0</v>
      </c>
    </row>
    <row r="36" spans="1:23" ht="16">
      <c r="A36" s="446" t="s">
        <v>45</v>
      </c>
      <c r="B36" s="446"/>
      <c r="C36" s="7" t="s">
        <v>127</v>
      </c>
      <c r="D36" s="31"/>
      <c r="E36" s="156">
        <f>SUM(E5:E14,E20:E28,E31:E32)</f>
        <v>178043247.79890001</v>
      </c>
      <c r="F36" s="156">
        <f>SUM(F5:F14,F20:F28,F31:F32)</f>
        <v>150766002.3276</v>
      </c>
      <c r="G36" s="156">
        <f t="shared" ref="G36:P36" si="24">SUM(G5:G14,G20:G28,G31:G32)</f>
        <v>151051015.82340002</v>
      </c>
      <c r="H36" s="156">
        <f t="shared" si="24"/>
        <v>130494593</v>
      </c>
      <c r="I36" s="156">
        <f t="shared" si="24"/>
        <v>0</v>
      </c>
      <c r="J36" s="156">
        <f t="shared" si="24"/>
        <v>0</v>
      </c>
      <c r="K36" s="156">
        <f t="shared" si="24"/>
        <v>0</v>
      </c>
      <c r="L36" s="156">
        <f t="shared" si="24"/>
        <v>0</v>
      </c>
      <c r="M36" s="156">
        <f t="shared" si="24"/>
        <v>0</v>
      </c>
      <c r="N36" s="156">
        <f t="shared" si="24"/>
        <v>0</v>
      </c>
      <c r="O36" s="156">
        <f t="shared" si="24"/>
        <v>0</v>
      </c>
      <c r="P36" s="156">
        <f t="shared" si="24"/>
        <v>0</v>
      </c>
      <c r="Q36" s="156">
        <f>SUM(Q5:Q14,Q20:Q28,Q31:Q32)</f>
        <v>610354858.94989991</v>
      </c>
      <c r="R36" s="156">
        <f>SUM(R5:R14,R20:R28,R31:R32)</f>
        <v>479860265.94989997</v>
      </c>
      <c r="S36" s="156">
        <f t="shared" ref="S36:U36" si="25">SUM(S5:S14,S20:S28,S31:S32)</f>
        <v>130494593</v>
      </c>
      <c r="T36" s="156">
        <f t="shared" si="25"/>
        <v>0</v>
      </c>
      <c r="U36" s="156">
        <f t="shared" si="25"/>
        <v>0</v>
      </c>
      <c r="V36" s="156">
        <f>SUM(V5:V14,V20:V28,V31:V32)</f>
        <v>610354858.94989991</v>
      </c>
      <c r="W36" s="156">
        <f>SUM(W5:W14,W20:W28,W31:W32)</f>
        <v>0</v>
      </c>
    </row>
    <row r="37" spans="1:23">
      <c r="R37" s="197">
        <f>R36/10^6</f>
        <v>479.8602659499</v>
      </c>
    </row>
    <row r="38" spans="1:23">
      <c r="A38" s="408" t="s">
        <v>46</v>
      </c>
      <c r="B38" s="408"/>
      <c r="C38" s="7" t="s">
        <v>127</v>
      </c>
      <c r="D38" s="6"/>
      <c r="E38" s="26">
        <f t="shared" ref="E38:Q38" si="26">SUM(E5:E14)</f>
        <v>111534231.44750001</v>
      </c>
      <c r="F38" s="26">
        <f t="shared" si="26"/>
        <v>89477873</v>
      </c>
      <c r="G38" s="26">
        <f t="shared" si="26"/>
        <v>79378260</v>
      </c>
      <c r="H38" s="26">
        <f t="shared" si="26"/>
        <v>71611943</v>
      </c>
      <c r="I38" s="26">
        <f t="shared" si="26"/>
        <v>0</v>
      </c>
      <c r="J38" s="26">
        <f t="shared" si="26"/>
        <v>0</v>
      </c>
      <c r="K38" s="26">
        <f t="shared" si="26"/>
        <v>0</v>
      </c>
      <c r="L38" s="26">
        <f t="shared" si="26"/>
        <v>0</v>
      </c>
      <c r="M38" s="26">
        <f t="shared" si="26"/>
        <v>0</v>
      </c>
      <c r="N38" s="26">
        <f t="shared" si="26"/>
        <v>0</v>
      </c>
      <c r="O38" s="26">
        <f t="shared" si="26"/>
        <v>0</v>
      </c>
      <c r="P38" s="26">
        <f t="shared" si="26"/>
        <v>0</v>
      </c>
      <c r="Q38" s="26">
        <f t="shared" si="26"/>
        <v>352002307.44749999</v>
      </c>
    </row>
    <row r="39" spans="1:23">
      <c r="A39" s="408" t="s">
        <v>47</v>
      </c>
      <c r="B39" s="408"/>
      <c r="C39" s="7" t="s">
        <v>127</v>
      </c>
      <c r="D39" s="6"/>
      <c r="E39" s="26">
        <f>SUM(E20:E28,E31:E32)</f>
        <v>66509016.351400003</v>
      </c>
      <c r="F39" s="26">
        <f t="shared" ref="F39:P39" si="27">SUM(F20:F28,F31:F32)</f>
        <v>61288129.327600002</v>
      </c>
      <c r="G39" s="26">
        <f t="shared" si="27"/>
        <v>71672755.823400006</v>
      </c>
      <c r="H39" s="26">
        <f t="shared" si="27"/>
        <v>58882650</v>
      </c>
      <c r="I39" s="26">
        <f t="shared" si="27"/>
        <v>0</v>
      </c>
      <c r="J39" s="26">
        <f t="shared" si="27"/>
        <v>0</v>
      </c>
      <c r="K39" s="26">
        <f t="shared" si="27"/>
        <v>0</v>
      </c>
      <c r="L39" s="26">
        <f t="shared" si="27"/>
        <v>0</v>
      </c>
      <c r="M39" s="26">
        <f t="shared" si="27"/>
        <v>0</v>
      </c>
      <c r="N39" s="26">
        <f t="shared" si="27"/>
        <v>0</v>
      </c>
      <c r="O39" s="26">
        <f t="shared" si="27"/>
        <v>0</v>
      </c>
      <c r="P39" s="26">
        <f t="shared" si="27"/>
        <v>0</v>
      </c>
      <c r="Q39" s="26">
        <f>SUM(Q20:Q28,Q31:Q32)</f>
        <v>258352551.50240001</v>
      </c>
    </row>
    <row r="42" spans="1:23" ht="15.5">
      <c r="A42" s="447" t="s">
        <v>128</v>
      </c>
      <c r="B42" s="447"/>
      <c r="C42" s="447"/>
      <c r="D42" s="447"/>
      <c r="E42" s="447"/>
      <c r="F42" s="447"/>
      <c r="G42" s="447"/>
      <c r="H42" s="447"/>
      <c r="I42" s="447"/>
      <c r="J42" s="447"/>
      <c r="K42" s="447"/>
      <c r="L42" s="447"/>
      <c r="M42" s="447"/>
      <c r="N42" s="447"/>
      <c r="O42" s="447"/>
      <c r="P42" s="447"/>
      <c r="Q42" s="447"/>
      <c r="R42" s="447"/>
      <c r="S42" s="447"/>
      <c r="T42" s="447"/>
      <c r="U42" s="447"/>
      <c r="V42" s="447"/>
      <c r="W42" s="447"/>
    </row>
    <row r="43" spans="1:23">
      <c r="A43" s="1"/>
      <c r="B43" s="2" t="s">
        <v>2</v>
      </c>
      <c r="C43" s="2" t="s">
        <v>3</v>
      </c>
      <c r="D43" s="23" t="s">
        <v>4</v>
      </c>
      <c r="E43" s="3">
        <v>46023</v>
      </c>
      <c r="F43" s="3">
        <v>46054</v>
      </c>
      <c r="G43" s="3">
        <v>46082</v>
      </c>
      <c r="H43" s="3">
        <v>46113</v>
      </c>
      <c r="I43" s="3">
        <v>46143</v>
      </c>
      <c r="J43" s="3">
        <v>46174</v>
      </c>
      <c r="K43" s="3">
        <v>46204</v>
      </c>
      <c r="L43" s="3">
        <v>46235</v>
      </c>
      <c r="M43" s="3">
        <v>46266</v>
      </c>
      <c r="N43" s="3">
        <v>46296</v>
      </c>
      <c r="O43" s="3">
        <v>46327</v>
      </c>
      <c r="P43" s="3">
        <v>46357</v>
      </c>
      <c r="Q43" s="4" t="s">
        <v>55</v>
      </c>
      <c r="R43" s="5" t="s">
        <v>5</v>
      </c>
      <c r="S43" s="5" t="s">
        <v>6</v>
      </c>
      <c r="T43" s="5" t="s">
        <v>7</v>
      </c>
      <c r="U43" s="5" t="s">
        <v>8</v>
      </c>
      <c r="V43" s="5" t="s">
        <v>9</v>
      </c>
      <c r="W43" s="5" t="s">
        <v>10</v>
      </c>
    </row>
    <row r="44" spans="1:23">
      <c r="A44" s="425" t="s">
        <v>12</v>
      </c>
      <c r="B44" s="6" t="s">
        <v>13</v>
      </c>
      <c r="C44" s="6" t="s">
        <v>129</v>
      </c>
      <c r="D44" s="255">
        <v>350</v>
      </c>
      <c r="E44" s="11">
        <f>E3/Production!E3</f>
        <v>291.3183826027863</v>
      </c>
      <c r="F44" s="11">
        <f>F3/Production!F3</f>
        <v>260.0857728186964</v>
      </c>
      <c r="G44" s="11">
        <f>G3/Production!G3</f>
        <v>264.41869277181178</v>
      </c>
      <c r="H44" s="11">
        <f>H3/Production!H3</f>
        <v>290.73803052477524</v>
      </c>
      <c r="I44" s="11" t="e">
        <f>I3/Production!I3</f>
        <v>#DIV/0!</v>
      </c>
      <c r="J44" s="11" t="e">
        <f>J3/Production!J3</f>
        <v>#DIV/0!</v>
      </c>
      <c r="K44" s="11" t="e">
        <f>K3/Production!K3</f>
        <v>#DIV/0!</v>
      </c>
      <c r="L44" s="11" t="e">
        <f>L3/Production!L3</f>
        <v>#DIV/0!</v>
      </c>
      <c r="M44" s="11" t="e">
        <f>M3/Production!M3</f>
        <v>#DIV/0!</v>
      </c>
      <c r="N44" s="11" t="e">
        <f>N3/Production!N3</f>
        <v>#DIV/0!</v>
      </c>
      <c r="O44" s="11" t="e">
        <f>O3/Production!O3</f>
        <v>#DIV/0!</v>
      </c>
      <c r="P44" s="11" t="e">
        <f>P3/Production!P3</f>
        <v>#DIV/0!</v>
      </c>
      <c r="Q44" s="11">
        <f>Q3/Production!Q3</f>
        <v>277.01139032586536</v>
      </c>
      <c r="R44" s="11"/>
      <c r="S44" s="11"/>
      <c r="T44" s="11"/>
      <c r="U44" s="11"/>
      <c r="V44" s="11"/>
      <c r="W44" s="11"/>
    </row>
    <row r="45" spans="1:23">
      <c r="A45" s="426"/>
      <c r="B45" s="6" t="s">
        <v>15</v>
      </c>
      <c r="C45" s="6" t="s">
        <v>129</v>
      </c>
      <c r="D45" s="255">
        <v>350</v>
      </c>
      <c r="E45" s="11">
        <f>E4/Production!E4</f>
        <v>254.08106302574802</v>
      </c>
      <c r="F45" s="11">
        <f>F4/Production!F4</f>
        <v>217.87434641833286</v>
      </c>
      <c r="G45" s="11">
        <f>G4/Production!G4</f>
        <v>253.11001900258967</v>
      </c>
      <c r="H45" s="11">
        <f>H4/Production!H4</f>
        <v>0</v>
      </c>
      <c r="I45" s="11" t="e">
        <f>I4/Production!I4</f>
        <v>#DIV/0!</v>
      </c>
      <c r="J45" s="11" t="e">
        <f>J4/Production!J4</f>
        <v>#DIV/0!</v>
      </c>
      <c r="K45" s="11" t="e">
        <f>K4/Production!K4</f>
        <v>#DIV/0!</v>
      </c>
      <c r="L45" s="11" t="e">
        <f>L4/Production!L4</f>
        <v>#DIV/0!</v>
      </c>
      <c r="M45" s="11" t="e">
        <f>M4/Production!M4</f>
        <v>#DIV/0!</v>
      </c>
      <c r="N45" s="11" t="e">
        <f>N4/Production!N4</f>
        <v>#DIV/0!</v>
      </c>
      <c r="O45" s="11" t="e">
        <f>O4/Production!O4</f>
        <v>#DIV/0!</v>
      </c>
      <c r="P45" s="11" t="e">
        <f>P4/Production!P4</f>
        <v>#DIV/0!</v>
      </c>
      <c r="Q45" s="11">
        <f>Q4/Production!Q4</f>
        <v>235.24045622421758</v>
      </c>
      <c r="R45" s="11"/>
      <c r="S45" s="11"/>
      <c r="T45" s="11"/>
      <c r="U45" s="11"/>
      <c r="V45" s="11"/>
      <c r="W45" s="11"/>
    </row>
    <row r="46" spans="1:23">
      <c r="A46" s="426"/>
      <c r="B46" s="2" t="s">
        <v>16</v>
      </c>
      <c r="C46" s="7" t="s">
        <v>129</v>
      </c>
      <c r="D46" s="314">
        <v>350</v>
      </c>
      <c r="E46" s="11">
        <f>E5/Production!E5</f>
        <v>276.29774481467427</v>
      </c>
      <c r="F46" s="11">
        <f>F5/Production!F5</f>
        <v>243.03152365076889</v>
      </c>
      <c r="G46" s="11">
        <f>G5/Production!G5</f>
        <v>262.34028689562018</v>
      </c>
      <c r="H46" s="11">
        <f>H5/Production!H5</f>
        <v>283.46880808998208</v>
      </c>
      <c r="I46" s="11" t="e">
        <f>I5/Production!I5</f>
        <v>#DIV/0!</v>
      </c>
      <c r="J46" s="11" t="e">
        <f>J5/Production!J5</f>
        <v>#DIV/0!</v>
      </c>
      <c r="K46" s="11" t="e">
        <f>K5/Production!K5</f>
        <v>#DIV/0!</v>
      </c>
      <c r="L46" s="11" t="e">
        <f>L5/Production!L5</f>
        <v>#DIV/0!</v>
      </c>
      <c r="M46" s="11" t="e">
        <f>M5/Production!M5</f>
        <v>#DIV/0!</v>
      </c>
      <c r="N46" s="11" t="e">
        <f>N5/Production!N5</f>
        <v>#DIV/0!</v>
      </c>
      <c r="O46" s="11" t="e">
        <f>O5/Production!O5</f>
        <v>#DIV/0!</v>
      </c>
      <c r="P46" s="11" t="e">
        <f>P5/Production!P5</f>
        <v>#DIV/0!</v>
      </c>
      <c r="Q46" s="11">
        <f>Q5/Production!Q5</f>
        <v>265.2372835356806</v>
      </c>
      <c r="R46" s="11"/>
      <c r="S46" s="11"/>
      <c r="T46" s="11"/>
      <c r="U46" s="11"/>
      <c r="V46" s="11"/>
      <c r="W46" s="11"/>
    </row>
    <row r="47" spans="1:23">
      <c r="A47" s="426"/>
      <c r="B47" s="2" t="s">
        <v>17</v>
      </c>
      <c r="C47" s="7" t="s">
        <v>129</v>
      </c>
      <c r="D47" s="250">
        <v>36</v>
      </c>
      <c r="E47" s="11">
        <f>E6/Production!E6</f>
        <v>23.902586287005235</v>
      </c>
      <c r="F47" s="11">
        <f>F6/Production!F6</f>
        <v>22.471831549865911</v>
      </c>
      <c r="G47" s="11">
        <f>G6/Production!G6</f>
        <v>22.286388074618547</v>
      </c>
      <c r="H47" s="11">
        <f>H6/Production!H6</f>
        <v>23.452267706365308</v>
      </c>
      <c r="I47" s="11" t="e">
        <f>I6/Production!I6</f>
        <v>#DIV/0!</v>
      </c>
      <c r="J47" s="11" t="e">
        <f>J6/Production!J6</f>
        <v>#DIV/0!</v>
      </c>
      <c r="K47" s="11" t="e">
        <f>K6/Production!K6</f>
        <v>#DIV/0!</v>
      </c>
      <c r="L47" s="11" t="e">
        <f>L6/Production!L6</f>
        <v>#DIV/0!</v>
      </c>
      <c r="M47" s="11" t="e">
        <f>M6/Production!M6</f>
        <v>#DIV/0!</v>
      </c>
      <c r="N47" s="11" t="e">
        <f>N6/Production!N6</f>
        <v>#DIV/0!</v>
      </c>
      <c r="O47" s="11" t="e">
        <f>O6/Production!O6</f>
        <v>#DIV/0!</v>
      </c>
      <c r="P47" s="11" t="e">
        <f>P6/Production!P6</f>
        <v>#DIV/0!</v>
      </c>
      <c r="Q47" s="11">
        <f>Q6/Production!Q6</f>
        <v>23.036017448502147</v>
      </c>
      <c r="R47" s="11"/>
      <c r="S47" s="11"/>
      <c r="T47" s="11"/>
      <c r="U47" s="11"/>
      <c r="V47" s="11"/>
      <c r="W47" s="11"/>
    </row>
    <row r="48" spans="1:23">
      <c r="A48" s="426"/>
      <c r="B48" s="2" t="s">
        <v>18</v>
      </c>
      <c r="C48" s="7" t="s">
        <v>129</v>
      </c>
      <c r="D48" s="291">
        <v>0.2</v>
      </c>
      <c r="E48" s="11">
        <f>E7/Production!E7</f>
        <v>5.6427905788549552E-2</v>
      </c>
      <c r="F48" s="11">
        <f>F7/Production!F7</f>
        <v>5.1067051189617879E-2</v>
      </c>
      <c r="G48" s="11">
        <f>G7/Production!G7</f>
        <v>7.3448332070840242E-2</v>
      </c>
      <c r="H48" s="11">
        <f>H7/Production!H7</f>
        <v>7.4779082435540489E-2</v>
      </c>
      <c r="I48" s="11" t="e">
        <f>I7/Production!I7</f>
        <v>#DIV/0!</v>
      </c>
      <c r="J48" s="11" t="e">
        <f>J7/Production!J7</f>
        <v>#DIV/0!</v>
      </c>
      <c r="K48" s="11" t="e">
        <f>K7/Production!K7</f>
        <v>#DIV/0!</v>
      </c>
      <c r="L48" s="11" t="e">
        <f>L7/Production!L7</f>
        <v>#DIV/0!</v>
      </c>
      <c r="M48" s="11" t="e">
        <f>M7/Production!M7</f>
        <v>#DIV/0!</v>
      </c>
      <c r="N48" s="11" t="e">
        <f>N7/Production!N7</f>
        <v>#DIV/0!</v>
      </c>
      <c r="O48" s="11" t="e">
        <f>O7/Production!O7</f>
        <v>#DIV/0!</v>
      </c>
      <c r="P48" s="11" t="e">
        <f>P7/Production!P7</f>
        <v>#DIV/0!</v>
      </c>
      <c r="Q48" s="11">
        <f>Q7/Production!Q7</f>
        <v>6.2353477645415489E-2</v>
      </c>
      <c r="R48" s="11"/>
      <c r="S48" s="11"/>
      <c r="T48" s="11"/>
      <c r="U48" s="11"/>
      <c r="V48" s="11"/>
      <c r="W48" s="11"/>
    </row>
    <row r="49" spans="1:23">
      <c r="A49" s="426"/>
      <c r="B49" s="2" t="s">
        <v>19</v>
      </c>
      <c r="C49" s="7" t="s">
        <v>129</v>
      </c>
      <c r="D49" s="211" t="s">
        <v>64</v>
      </c>
      <c r="E49" s="11">
        <f>E8/Production!E8</f>
        <v>0</v>
      </c>
      <c r="F49" s="11">
        <f>F8/Production!F8</f>
        <v>0</v>
      </c>
      <c r="G49" s="11">
        <f>G8/Production!G8</f>
        <v>0</v>
      </c>
      <c r="H49" s="11">
        <f>H8/Production!H8</f>
        <v>0</v>
      </c>
      <c r="I49" s="11" t="e">
        <f>I8/Production!I8</f>
        <v>#DIV/0!</v>
      </c>
      <c r="J49" s="11" t="e">
        <f>J8/Production!J8</f>
        <v>#DIV/0!</v>
      </c>
      <c r="K49" s="11" t="e">
        <f>K8/Production!K8</f>
        <v>#DIV/0!</v>
      </c>
      <c r="L49" s="11" t="e">
        <f>L8/Production!L8</f>
        <v>#DIV/0!</v>
      </c>
      <c r="M49" s="11" t="e">
        <f>M8/Production!M8</f>
        <v>#DIV/0!</v>
      </c>
      <c r="N49" s="11" t="e">
        <f>N8/Production!N8</f>
        <v>#DIV/0!</v>
      </c>
      <c r="O49" s="11" t="e">
        <f>O8/Production!O8</f>
        <v>#DIV/0!</v>
      </c>
      <c r="P49" s="11" t="e">
        <f>P8/Production!P8</f>
        <v>#DIV/0!</v>
      </c>
      <c r="Q49" s="11">
        <f>Q8/Production!Q8</f>
        <v>0</v>
      </c>
      <c r="R49" s="11"/>
      <c r="S49" s="11"/>
      <c r="T49" s="11"/>
      <c r="U49" s="11"/>
      <c r="V49" s="11"/>
      <c r="W49" s="11"/>
    </row>
    <row r="50" spans="1:23">
      <c r="A50" s="426"/>
      <c r="B50" s="2" t="s">
        <v>20</v>
      </c>
      <c r="C50" s="7" t="s">
        <v>129</v>
      </c>
      <c r="D50" s="211" t="s">
        <v>64</v>
      </c>
      <c r="E50" s="11">
        <f>E9/Production!E9</f>
        <v>0</v>
      </c>
      <c r="F50" s="11">
        <f>F9/Production!F9</f>
        <v>0</v>
      </c>
      <c r="G50" s="11">
        <f>G9/Production!G9</f>
        <v>0</v>
      </c>
      <c r="H50" s="11">
        <f>H9/Production!H9</f>
        <v>0</v>
      </c>
      <c r="I50" s="11" t="e">
        <f>I9/Production!I9</f>
        <v>#DIV/0!</v>
      </c>
      <c r="J50" s="11" t="e">
        <f>J9/Production!J9</f>
        <v>#DIV/0!</v>
      </c>
      <c r="K50" s="11" t="e">
        <f>K9/Production!K9</f>
        <v>#DIV/0!</v>
      </c>
      <c r="L50" s="11" t="e">
        <f>L9/Production!L9</f>
        <v>#DIV/0!</v>
      </c>
      <c r="M50" s="11" t="e">
        <f>M9/Production!M9</f>
        <v>#DIV/0!</v>
      </c>
      <c r="N50" s="11" t="e">
        <f>N9/Production!N9</f>
        <v>#DIV/0!</v>
      </c>
      <c r="O50" s="11" t="e">
        <f>O9/Production!O9</f>
        <v>#DIV/0!</v>
      </c>
      <c r="P50" s="11" t="e">
        <f>P9/Production!P9</f>
        <v>#DIV/0!</v>
      </c>
      <c r="Q50" s="11">
        <f>Q9/Production!Q9</f>
        <v>0</v>
      </c>
      <c r="R50" s="11"/>
      <c r="S50" s="11"/>
      <c r="T50" s="11"/>
      <c r="U50" s="11"/>
      <c r="V50" s="11"/>
      <c r="W50" s="11"/>
    </row>
    <row r="51" spans="1:23">
      <c r="A51" s="426"/>
      <c r="B51" s="2" t="s">
        <v>21</v>
      </c>
      <c r="C51" s="7" t="s">
        <v>129</v>
      </c>
      <c r="D51" s="211" t="s">
        <v>64</v>
      </c>
      <c r="E51" s="11">
        <f>E10/Production!E10</f>
        <v>0</v>
      </c>
      <c r="F51" s="11">
        <f>F10/Production!F10</f>
        <v>0</v>
      </c>
      <c r="G51" s="11">
        <f>G10/Production!G10</f>
        <v>0</v>
      </c>
      <c r="H51" s="11">
        <f>H10/Production!H10</f>
        <v>0</v>
      </c>
      <c r="I51" s="11" t="e">
        <f>I10/Production!I10</f>
        <v>#DIV/0!</v>
      </c>
      <c r="J51" s="11" t="e">
        <f>J10/Production!J10</f>
        <v>#DIV/0!</v>
      </c>
      <c r="K51" s="11" t="e">
        <f>K10/Production!K10</f>
        <v>#DIV/0!</v>
      </c>
      <c r="L51" s="11" t="e">
        <f>L10/Production!L10</f>
        <v>#DIV/0!</v>
      </c>
      <c r="M51" s="11" t="e">
        <f>M10/Production!M10</f>
        <v>#DIV/0!</v>
      </c>
      <c r="N51" s="11" t="e">
        <f>N10/Production!N10</f>
        <v>#DIV/0!</v>
      </c>
      <c r="O51" s="11" t="e">
        <f>O10/Production!O10</f>
        <v>#DIV/0!</v>
      </c>
      <c r="P51" s="11" t="e">
        <f>P10/Production!P10</f>
        <v>#DIV/0!</v>
      </c>
      <c r="Q51" s="11">
        <f>Q10/Production!Q10</f>
        <v>0</v>
      </c>
      <c r="R51" s="11"/>
      <c r="S51" s="11"/>
      <c r="T51" s="11"/>
      <c r="U51" s="11"/>
      <c r="V51" s="11"/>
      <c r="W51" s="11"/>
    </row>
    <row r="52" spans="1:23">
      <c r="A52" s="426"/>
      <c r="B52" s="2" t="s">
        <v>22</v>
      </c>
      <c r="C52" s="7" t="s">
        <v>129</v>
      </c>
      <c r="D52" s="251">
        <v>500</v>
      </c>
      <c r="E52" s="11">
        <f>E11/Production!E11</f>
        <v>195.21310916594635</v>
      </c>
      <c r="F52" s="11">
        <f>F11/Production!F11</f>
        <v>201.34839057816961</v>
      </c>
      <c r="G52" s="11">
        <f>G11/Production!G11</f>
        <v>209.04478485705923</v>
      </c>
      <c r="H52" s="11">
        <f>H11/Production!H11</f>
        <v>804.30271570142145</v>
      </c>
      <c r="I52" s="11" t="e">
        <f>I11/Production!I11</f>
        <v>#DIV/0!</v>
      </c>
      <c r="J52" s="11" t="e">
        <f>J11/Production!J11</f>
        <v>#DIV/0!</v>
      </c>
      <c r="K52" s="11" t="e">
        <f>K11/Production!K11</f>
        <v>#DIV/0!</v>
      </c>
      <c r="L52" s="11" t="e">
        <f>L11/Production!L11</f>
        <v>#DIV/0!</v>
      </c>
      <c r="M52" s="11" t="e">
        <f>M11/Production!M11</f>
        <v>#DIV/0!</v>
      </c>
      <c r="N52" s="11" t="e">
        <f>N11/Production!N11</f>
        <v>#DIV/0!</v>
      </c>
      <c r="O52" s="11" t="e">
        <f>O11/Production!O11</f>
        <v>#DIV/0!</v>
      </c>
      <c r="P52" s="11" t="e">
        <f>P11/Production!P11</f>
        <v>#DIV/0!</v>
      </c>
      <c r="Q52" s="11">
        <f>Q11/Production!Q11</f>
        <v>348.22511040058293</v>
      </c>
      <c r="R52" s="11"/>
      <c r="S52" s="11"/>
      <c r="T52" s="11"/>
      <c r="U52" s="11"/>
      <c r="V52" s="11"/>
      <c r="W52" s="11"/>
    </row>
    <row r="53" spans="1:23">
      <c r="A53" s="426"/>
      <c r="B53" s="245" t="s">
        <v>23</v>
      </c>
      <c r="C53" s="7" t="s">
        <v>129</v>
      </c>
      <c r="D53" s="211"/>
      <c r="E53" s="71">
        <f>E12/Production!E12</f>
        <v>0</v>
      </c>
      <c r="F53" s="71">
        <f>F12/Production!F12</f>
        <v>0</v>
      </c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11"/>
      <c r="S53" s="11"/>
      <c r="T53" s="11"/>
      <c r="U53" s="11"/>
      <c r="V53" s="11"/>
      <c r="W53" s="11"/>
    </row>
    <row r="54" spans="1:23">
      <c r="A54" s="426"/>
      <c r="B54" s="2" t="s">
        <v>58</v>
      </c>
      <c r="C54" s="7" t="s">
        <v>129</v>
      </c>
      <c r="D54" s="211" t="s">
        <v>64</v>
      </c>
      <c r="E54" s="71">
        <f>E13/Production!E13</f>
        <v>0</v>
      </c>
      <c r="F54" s="71">
        <f>F13/Production!F13</f>
        <v>0</v>
      </c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11"/>
      <c r="S54" s="11"/>
      <c r="T54" s="11"/>
      <c r="U54" s="11"/>
      <c r="V54" s="11"/>
      <c r="W54" s="11"/>
    </row>
    <row r="55" spans="1:23">
      <c r="A55" s="426"/>
      <c r="B55" s="2" t="s">
        <v>84</v>
      </c>
      <c r="C55" s="7" t="s">
        <v>129</v>
      </c>
      <c r="D55" s="211" t="s">
        <v>64</v>
      </c>
      <c r="E55" s="71">
        <f>E14/Production!E14</f>
        <v>0</v>
      </c>
      <c r="F55" s="71">
        <f>F14/Production!F14</f>
        <v>0</v>
      </c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>
      <c r="A56" s="426"/>
      <c r="B56" s="7" t="s">
        <v>24</v>
      </c>
      <c r="C56" s="7" t="s">
        <v>129</v>
      </c>
      <c r="D56" s="251">
        <v>105</v>
      </c>
      <c r="E56" s="11">
        <f>E15/Production!E13</f>
        <v>49.566586967247332</v>
      </c>
      <c r="F56" s="11">
        <f>F15/Production!F13</f>
        <v>65.767776990314204</v>
      </c>
      <c r="G56" s="11">
        <f>G15/Production!G13</f>
        <v>64.466091245376077</v>
      </c>
      <c r="H56" s="11">
        <f>H15/Production!H13</f>
        <v>26.543817577516933</v>
      </c>
      <c r="I56" s="11" t="e">
        <f>I15/Production!I13</f>
        <v>#DIV/0!</v>
      </c>
      <c r="J56" s="11" t="e">
        <f>J15/Production!J13</f>
        <v>#DIV/0!</v>
      </c>
      <c r="K56" s="11" t="e">
        <f>K15/Production!K13</f>
        <v>#DIV/0!</v>
      </c>
      <c r="L56" s="11" t="e">
        <f>L15/Production!L13</f>
        <v>#DIV/0!</v>
      </c>
      <c r="M56" s="11" t="e">
        <f>M15/Production!M13</f>
        <v>#DIV/0!</v>
      </c>
      <c r="N56" s="11" t="e">
        <f>N15/Production!N13</f>
        <v>#DIV/0!</v>
      </c>
      <c r="O56" s="11" t="e">
        <f>O15/Production!O13</f>
        <v>#DIV/0!</v>
      </c>
      <c r="P56" s="11" t="e">
        <f>P15/Production!P13</f>
        <v>#DIV/0!</v>
      </c>
      <c r="Q56" s="11">
        <f>Q15/Production!Q13</f>
        <v>51.837629950123187</v>
      </c>
      <c r="R56" s="11"/>
      <c r="S56" s="11"/>
      <c r="T56" s="11"/>
      <c r="U56" s="11"/>
      <c r="V56" s="11"/>
      <c r="W56" s="11"/>
    </row>
    <row r="57" spans="1:23">
      <c r="A57" s="426"/>
      <c r="B57" s="7" t="s">
        <v>25</v>
      </c>
      <c r="C57" s="7" t="s">
        <v>129</v>
      </c>
      <c r="D57" s="211" t="s">
        <v>64</v>
      </c>
      <c r="E57" s="11">
        <f>E16/Production!E14</f>
        <v>0</v>
      </c>
      <c r="F57" s="11">
        <f>F16/Production!F14</f>
        <v>0</v>
      </c>
      <c r="G57" s="11">
        <f>G16/Production!G14</f>
        <v>0</v>
      </c>
      <c r="H57" s="11">
        <f>H16/Production!H14</f>
        <v>0</v>
      </c>
      <c r="I57" s="11" t="e">
        <f>I16/Production!I14</f>
        <v>#DIV/0!</v>
      </c>
      <c r="J57" s="11" t="e">
        <f>J16/Production!J14</f>
        <v>#DIV/0!</v>
      </c>
      <c r="K57" s="11" t="e">
        <f>K16/Production!K14</f>
        <v>#DIV/0!</v>
      </c>
      <c r="L57" s="11" t="e">
        <f>L16/Production!L14</f>
        <v>#DIV/0!</v>
      </c>
      <c r="M57" s="11" t="e">
        <f>M16/Production!M14</f>
        <v>#DIV/0!</v>
      </c>
      <c r="N57" s="11" t="e">
        <f>N16/Production!N14</f>
        <v>#DIV/0!</v>
      </c>
      <c r="O57" s="11" t="e">
        <f>O16/Production!O14</f>
        <v>#DIV/0!</v>
      </c>
      <c r="P57" s="11" t="e">
        <f>P16/Production!P14</f>
        <v>#DIV/0!</v>
      </c>
      <c r="Q57" s="11">
        <f>Q16/Production!Q14</f>
        <v>0</v>
      </c>
      <c r="R57" s="11"/>
      <c r="S57" s="11"/>
      <c r="T57" s="11"/>
      <c r="U57" s="11"/>
      <c r="V57" s="11"/>
      <c r="W57" s="11"/>
    </row>
    <row r="58" spans="1:23">
      <c r="A58" s="426"/>
      <c r="B58" s="7" t="s">
        <v>26</v>
      </c>
      <c r="C58" s="7" t="s">
        <v>129</v>
      </c>
      <c r="D58" s="291">
        <v>24</v>
      </c>
      <c r="E58" s="11">
        <f>E17/Production!E15</f>
        <v>22.674845787126429</v>
      </c>
      <c r="F58" s="11">
        <f>F17/Production!F15</f>
        <v>27.967623801637473</v>
      </c>
      <c r="G58" s="11">
        <f>G17/Production!G15</f>
        <v>15.040576687672848</v>
      </c>
      <c r="H58" s="11">
        <f>H17/Production!H15</f>
        <v>19.817707931709876</v>
      </c>
      <c r="I58" s="11" t="e">
        <f>I17/Production!I15</f>
        <v>#DIV/0!</v>
      </c>
      <c r="J58" s="11" t="e">
        <f>J17/Production!J15</f>
        <v>#DIV/0!</v>
      </c>
      <c r="K58" s="11" t="e">
        <f>K17/Production!K15</f>
        <v>#DIV/0!</v>
      </c>
      <c r="L58" s="11" t="e">
        <f>L17/Production!L15</f>
        <v>#DIV/0!</v>
      </c>
      <c r="M58" s="11" t="e">
        <f>M17/Production!M15</f>
        <v>#DIV/0!</v>
      </c>
      <c r="N58" s="11" t="e">
        <f>N17/Production!N15</f>
        <v>#DIV/0!</v>
      </c>
      <c r="O58" s="11" t="e">
        <f>O17/Production!O15</f>
        <v>#DIV/0!</v>
      </c>
      <c r="P58" s="11" t="e">
        <f>P17/Production!P15</f>
        <v>#DIV/0!</v>
      </c>
      <c r="Q58" s="11">
        <f>Q17/Production!Q15</f>
        <v>20.191540616906977</v>
      </c>
      <c r="R58" s="11"/>
      <c r="S58" s="11"/>
      <c r="T58" s="11"/>
      <c r="U58" s="11"/>
      <c r="V58" s="11"/>
      <c r="W58" s="11"/>
    </row>
    <row r="59" spans="1:23">
      <c r="A59" s="426"/>
      <c r="B59" s="7" t="s">
        <v>27</v>
      </c>
      <c r="C59" s="7" t="s">
        <v>129</v>
      </c>
      <c r="D59" s="250">
        <v>120</v>
      </c>
      <c r="E59" s="11">
        <f>E18/Production!E16</f>
        <v>76.803968515677639</v>
      </c>
      <c r="F59" s="11">
        <f>F18/Production!F16</f>
        <v>67.584366968376358</v>
      </c>
      <c r="G59" s="11">
        <f>G18/Production!G16</f>
        <v>71.453342581230316</v>
      </c>
      <c r="H59" s="11">
        <f>H18/Production!H16</f>
        <v>69.571285740167895</v>
      </c>
      <c r="I59" s="11" t="e">
        <f>I18/Production!I16</f>
        <v>#DIV/0!</v>
      </c>
      <c r="J59" s="11" t="e">
        <f>J18/Production!J16</f>
        <v>#DIV/0!</v>
      </c>
      <c r="K59" s="11" t="e">
        <f>K18/Production!K16</f>
        <v>#DIV/0!</v>
      </c>
      <c r="L59" s="11" t="e">
        <f>L18/Production!L16</f>
        <v>#DIV/0!</v>
      </c>
      <c r="M59" s="11" t="e">
        <f>M18/Production!M16</f>
        <v>#DIV/0!</v>
      </c>
      <c r="N59" s="11" t="e">
        <f>N18/Production!N16</f>
        <v>#DIV/0!</v>
      </c>
      <c r="O59" s="11" t="e">
        <f>O18/Production!O16</f>
        <v>#DIV/0!</v>
      </c>
      <c r="P59" s="11" t="e">
        <f>P18/Production!P16</f>
        <v>#DIV/0!</v>
      </c>
      <c r="Q59" s="11">
        <f>Q18/Production!Q16</f>
        <v>71.301961822598685</v>
      </c>
      <c r="R59" s="11"/>
      <c r="S59" s="11"/>
      <c r="T59" s="11"/>
      <c r="U59" s="11"/>
      <c r="V59" s="11"/>
      <c r="W59" s="11"/>
    </row>
    <row r="60" spans="1:23">
      <c r="A60" s="439"/>
      <c r="B60" s="7" t="s">
        <v>59</v>
      </c>
      <c r="C60" s="7" t="s">
        <v>129</v>
      </c>
      <c r="D60" s="85" t="s">
        <v>64</v>
      </c>
      <c r="E60" s="11">
        <f>E19/Production!E17</f>
        <v>0</v>
      </c>
      <c r="F60" s="11">
        <f>F19/Production!F17</f>
        <v>0</v>
      </c>
      <c r="G60" s="11">
        <f>G19/Production!G17</f>
        <v>0</v>
      </c>
      <c r="H60" s="11">
        <f>H19/Production!H17</f>
        <v>0</v>
      </c>
      <c r="I60" s="11" t="e">
        <f>I19/Production!I17</f>
        <v>#DIV/0!</v>
      </c>
      <c r="J60" s="11" t="e">
        <f>J19/Production!J17</f>
        <v>#DIV/0!</v>
      </c>
      <c r="K60" s="11" t="e">
        <f>K19/Production!K17</f>
        <v>#DIV/0!</v>
      </c>
      <c r="L60" s="11" t="e">
        <f>L19/Production!L17</f>
        <v>#DIV/0!</v>
      </c>
      <c r="M60" s="11" t="e">
        <f>M19/Production!M17</f>
        <v>#DIV/0!</v>
      </c>
      <c r="N60" s="11" t="e">
        <f>N19/Production!N17</f>
        <v>#DIV/0!</v>
      </c>
      <c r="O60" s="11" t="e">
        <f>O19/Production!O17</f>
        <v>#DIV/0!</v>
      </c>
      <c r="P60" s="11" t="e">
        <f>P19/Production!P17</f>
        <v>#DIV/0!</v>
      </c>
      <c r="Q60" s="11">
        <f>Q19/Production!Q17</f>
        <v>0</v>
      </c>
      <c r="R60" s="11"/>
      <c r="S60" s="11"/>
      <c r="T60" s="11"/>
      <c r="U60" s="11"/>
      <c r="V60" s="11"/>
      <c r="W60" s="11"/>
    </row>
    <row r="61" spans="1:23">
      <c r="A61" s="425" t="s">
        <v>28</v>
      </c>
      <c r="B61" s="2" t="s">
        <v>29</v>
      </c>
      <c r="C61" s="7" t="s">
        <v>129</v>
      </c>
      <c r="D61" s="85" t="s">
        <v>64</v>
      </c>
      <c r="E61" s="11">
        <f>E20/Production!E18</f>
        <v>0</v>
      </c>
      <c r="F61" s="11">
        <f>F20/Production!F18</f>
        <v>0</v>
      </c>
      <c r="G61" s="11">
        <f>G20/Production!G18</f>
        <v>0</v>
      </c>
      <c r="H61" s="11" t="e">
        <f>H20/Production!H18</f>
        <v>#DIV/0!</v>
      </c>
      <c r="I61" s="11" t="e">
        <f>I20/Production!I18</f>
        <v>#DIV/0!</v>
      </c>
      <c r="J61" s="11" t="e">
        <f>J20/Production!J18</f>
        <v>#DIV/0!</v>
      </c>
      <c r="K61" s="11" t="e">
        <f>K20/Production!K18</f>
        <v>#DIV/0!</v>
      </c>
      <c r="L61" s="11" t="e">
        <f>L20/Production!L18</f>
        <v>#DIV/0!</v>
      </c>
      <c r="M61" s="11" t="e">
        <f>M20/Production!M18</f>
        <v>#DIV/0!</v>
      </c>
      <c r="N61" s="11" t="e">
        <f>N20/Production!N18</f>
        <v>#DIV/0!</v>
      </c>
      <c r="O61" s="11" t="e">
        <f>O20/Production!O18</f>
        <v>#DIV/0!</v>
      </c>
      <c r="P61" s="11" t="e">
        <f>P20/Production!P18</f>
        <v>#DIV/0!</v>
      </c>
      <c r="Q61" s="11">
        <f>Q20/Production!Q18</f>
        <v>0</v>
      </c>
      <c r="R61" s="11"/>
      <c r="S61" s="11"/>
      <c r="T61" s="11"/>
      <c r="U61" s="11"/>
      <c r="V61" s="11"/>
      <c r="W61" s="11"/>
    </row>
    <row r="62" spans="1:23">
      <c r="A62" s="426"/>
      <c r="B62" s="2" t="s">
        <v>30</v>
      </c>
      <c r="C62" s="7" t="s">
        <v>129</v>
      </c>
      <c r="D62" s="252">
        <v>215</v>
      </c>
      <c r="E62" s="11">
        <f>E21/Production!E18</f>
        <v>139.94189153455383</v>
      </c>
      <c r="F62" s="11">
        <f>F21/Production!F18</f>
        <v>150.36559719562175</v>
      </c>
      <c r="G62" s="11">
        <f>G21/Production!G18</f>
        <v>144.98951652880442</v>
      </c>
      <c r="H62" s="11" t="e">
        <f>H21/Production!H18</f>
        <v>#DIV/0!</v>
      </c>
      <c r="I62" s="11" t="e">
        <f>I21/Production!I18</f>
        <v>#DIV/0!</v>
      </c>
      <c r="J62" s="11" t="e">
        <f>J21/Production!J18</f>
        <v>#DIV/0!</v>
      </c>
      <c r="K62" s="11" t="e">
        <f>K21/Production!K18</f>
        <v>#DIV/0!</v>
      </c>
      <c r="L62" s="11" t="e">
        <f>L21/Production!L18</f>
        <v>#DIV/0!</v>
      </c>
      <c r="M62" s="11" t="e">
        <f>M21/Production!M18</f>
        <v>#DIV/0!</v>
      </c>
      <c r="N62" s="11" t="e">
        <f>N21/Production!N18</f>
        <v>#DIV/0!</v>
      </c>
      <c r="O62" s="11" t="e">
        <f>O21/Production!O18</f>
        <v>#DIV/0!</v>
      </c>
      <c r="P62" s="11" t="e">
        <f>P21/Production!P18</f>
        <v>#DIV/0!</v>
      </c>
      <c r="Q62" s="11">
        <f>Q21/Production!Q18</f>
        <v>145.4477663481442</v>
      </c>
      <c r="R62" s="11"/>
      <c r="S62" s="11"/>
      <c r="T62" s="11"/>
      <c r="U62" s="11"/>
      <c r="V62" s="11"/>
      <c r="W62" s="11"/>
    </row>
    <row r="63" spans="1:23">
      <c r="A63" s="426"/>
      <c r="B63" s="2" t="s">
        <v>31</v>
      </c>
      <c r="C63" s="7" t="s">
        <v>129</v>
      </c>
      <c r="D63" s="252">
        <v>340</v>
      </c>
      <c r="E63" s="11">
        <f>E22/Production!E19</f>
        <v>365.87859653791548</v>
      </c>
      <c r="F63" s="11">
        <f>F22/Production!F19</f>
        <v>336.01773041199749</v>
      </c>
      <c r="G63" s="11">
        <f>G22/Production!G19</f>
        <v>318.83732919464489</v>
      </c>
      <c r="H63" s="11">
        <f>H22/Production!H19</f>
        <v>295.95401764881416</v>
      </c>
      <c r="I63" s="11" t="e">
        <f>I22/Production!I19</f>
        <v>#DIV/0!</v>
      </c>
      <c r="J63" s="11" t="e">
        <f>J22/Production!J19</f>
        <v>#DIV/0!</v>
      </c>
      <c r="K63" s="11" t="e">
        <f>K22/Production!K19</f>
        <v>#DIV/0!</v>
      </c>
      <c r="L63" s="11" t="e">
        <f>L22/Production!L19</f>
        <v>#DIV/0!</v>
      </c>
      <c r="M63" s="11" t="e">
        <f>M22/Production!M19</f>
        <v>#DIV/0!</v>
      </c>
      <c r="N63" s="11" t="e">
        <f>N22/Production!N19</f>
        <v>#DIV/0!</v>
      </c>
      <c r="O63" s="11" t="e">
        <f>O22/Production!O19</f>
        <v>#DIV/0!</v>
      </c>
      <c r="P63" s="11" t="e">
        <f>P22/Production!P19</f>
        <v>#DIV/0!</v>
      </c>
      <c r="Q63" s="11">
        <f>Q22/Production!Q19</f>
        <v>334.20814555427842</v>
      </c>
      <c r="R63" s="11"/>
      <c r="S63" s="11"/>
      <c r="T63" s="11"/>
      <c r="U63" s="11"/>
      <c r="V63" s="11"/>
      <c r="W63" s="11"/>
    </row>
    <row r="64" spans="1:23">
      <c r="A64" s="426"/>
      <c r="B64" s="2" t="s">
        <v>32</v>
      </c>
      <c r="C64" s="7" t="s">
        <v>129</v>
      </c>
      <c r="D64" s="85" t="s">
        <v>64</v>
      </c>
      <c r="E64" s="11">
        <f>E23/Production!E20</f>
        <v>0</v>
      </c>
      <c r="F64" s="11">
        <f>F23/Production!F20</f>
        <v>0</v>
      </c>
      <c r="G64" s="11">
        <f>G23/Production!G20</f>
        <v>0</v>
      </c>
      <c r="H64" s="11">
        <f>H23/Production!H20</f>
        <v>0</v>
      </c>
      <c r="I64" s="11" t="e">
        <f>I23/Production!I20</f>
        <v>#DIV/0!</v>
      </c>
      <c r="J64" s="11" t="e">
        <f>J23/Production!J20</f>
        <v>#DIV/0!</v>
      </c>
      <c r="K64" s="11" t="e">
        <f>K23/Production!K20</f>
        <v>#DIV/0!</v>
      </c>
      <c r="L64" s="11" t="e">
        <f>L23/Production!L20</f>
        <v>#DIV/0!</v>
      </c>
      <c r="M64" s="11" t="e">
        <f>M23/Production!M20</f>
        <v>#DIV/0!</v>
      </c>
      <c r="N64" s="11" t="e">
        <f>N23/Production!N20</f>
        <v>#DIV/0!</v>
      </c>
      <c r="O64" s="11" t="e">
        <f>O23/Production!O20</f>
        <v>#DIV/0!</v>
      </c>
      <c r="P64" s="11" t="e">
        <f>P23/Production!P20</f>
        <v>#DIV/0!</v>
      </c>
      <c r="Q64" s="11">
        <f>Q23/Production!Q20</f>
        <v>0</v>
      </c>
      <c r="R64" s="1"/>
      <c r="S64" s="1"/>
      <c r="T64" s="1"/>
      <c r="U64" s="1"/>
      <c r="V64" s="1"/>
      <c r="W64" s="1"/>
    </row>
    <row r="65" spans="1:23">
      <c r="A65" s="426"/>
      <c r="B65" s="2" t="s">
        <v>33</v>
      </c>
      <c r="C65" s="7" t="s">
        <v>129</v>
      </c>
      <c r="D65" s="85" t="s">
        <v>64</v>
      </c>
      <c r="E65" s="11">
        <f>E24/Production!E21</f>
        <v>0</v>
      </c>
      <c r="F65" s="11">
        <f>F24/Production!F21</f>
        <v>0</v>
      </c>
      <c r="G65" s="11">
        <f>G24/Production!G21</f>
        <v>0</v>
      </c>
      <c r="H65" s="11" t="e">
        <f>H24/Production!H21</f>
        <v>#DIV/0!</v>
      </c>
      <c r="I65" s="11" t="e">
        <f>I24/Production!I21</f>
        <v>#DIV/0!</v>
      </c>
      <c r="J65" s="11" t="e">
        <f>J24/Production!J21</f>
        <v>#DIV/0!</v>
      </c>
      <c r="K65" s="11" t="e">
        <f>K24/Production!K21</f>
        <v>#DIV/0!</v>
      </c>
      <c r="L65" s="11" t="e">
        <f>L24/Production!L21</f>
        <v>#DIV/0!</v>
      </c>
      <c r="M65" s="11" t="e">
        <f>M24/Production!M21</f>
        <v>#DIV/0!</v>
      </c>
      <c r="N65" s="11" t="e">
        <f>N24/Production!N21</f>
        <v>#DIV/0!</v>
      </c>
      <c r="O65" s="11" t="e">
        <f>O24/Production!O21</f>
        <v>#DIV/0!</v>
      </c>
      <c r="P65" s="11" t="e">
        <f>P24/Production!P21</f>
        <v>#DIV/0!</v>
      </c>
      <c r="Q65" s="11">
        <f>Q24/Production!Q21</f>
        <v>0</v>
      </c>
      <c r="R65" s="1"/>
      <c r="S65" s="1"/>
      <c r="T65" s="1"/>
      <c r="U65" s="1"/>
      <c r="V65" s="1"/>
      <c r="W65" s="1"/>
    </row>
    <row r="66" spans="1:23">
      <c r="A66" s="426"/>
      <c r="B66" s="2" t="s">
        <v>34</v>
      </c>
      <c r="C66" s="7" t="s">
        <v>129</v>
      </c>
      <c r="D66" s="85" t="s">
        <v>64</v>
      </c>
      <c r="E66" s="11">
        <f>E25/Production!E22</f>
        <v>0</v>
      </c>
      <c r="F66" s="11">
        <f>F25/Production!F22</f>
        <v>0</v>
      </c>
      <c r="G66" s="11">
        <f>G25/Production!G22</f>
        <v>0</v>
      </c>
      <c r="H66" s="11">
        <f>H25/Production!H22</f>
        <v>0</v>
      </c>
      <c r="I66" s="11" t="e">
        <f>I25/Production!I22</f>
        <v>#DIV/0!</v>
      </c>
      <c r="J66" s="11" t="e">
        <f>J25/Production!J22</f>
        <v>#DIV/0!</v>
      </c>
      <c r="K66" s="11" t="e">
        <f>K25/Production!K22</f>
        <v>#DIV/0!</v>
      </c>
      <c r="L66" s="11" t="e">
        <f>L25/Production!L22</f>
        <v>#DIV/0!</v>
      </c>
      <c r="M66" s="11" t="e">
        <f>M25/Production!M22</f>
        <v>#DIV/0!</v>
      </c>
      <c r="N66" s="11" t="e">
        <f>N25/Production!N22</f>
        <v>#DIV/0!</v>
      </c>
      <c r="O66" s="11" t="e">
        <f>O25/Production!O22</f>
        <v>#DIV/0!</v>
      </c>
      <c r="P66" s="11" t="e">
        <f>P25/Production!P22</f>
        <v>#DIV/0!</v>
      </c>
      <c r="Q66" s="11">
        <f>Q25/Production!Q22</f>
        <v>0</v>
      </c>
      <c r="R66" s="1"/>
      <c r="S66" s="1"/>
      <c r="T66" s="1"/>
      <c r="U66" s="1"/>
      <c r="V66" s="1"/>
      <c r="W66" s="1"/>
    </row>
    <row r="67" spans="1:23">
      <c r="A67" s="426"/>
      <c r="B67" s="2" t="s">
        <v>35</v>
      </c>
      <c r="C67" s="7" t="s">
        <v>129</v>
      </c>
      <c r="D67" s="85" t="s">
        <v>64</v>
      </c>
      <c r="E67" s="11">
        <f>E26/Production!E23</f>
        <v>0</v>
      </c>
      <c r="F67" s="11">
        <f>F26/Production!F23</f>
        <v>0</v>
      </c>
      <c r="G67" s="11">
        <f>G26/Production!G23</f>
        <v>0</v>
      </c>
      <c r="H67" s="11">
        <f>H26/Production!H23</f>
        <v>0</v>
      </c>
      <c r="I67" s="11" t="e">
        <f>I26/Production!I23</f>
        <v>#DIV/0!</v>
      </c>
      <c r="J67" s="11" t="e">
        <f>J26/Production!J23</f>
        <v>#DIV/0!</v>
      </c>
      <c r="K67" s="11" t="e">
        <f>K26/Production!K23</f>
        <v>#DIV/0!</v>
      </c>
      <c r="L67" s="11" t="e">
        <f>L26/Production!L23</f>
        <v>#DIV/0!</v>
      </c>
      <c r="M67" s="11" t="e">
        <f>M26/Production!M23</f>
        <v>#DIV/0!</v>
      </c>
      <c r="N67" s="11" t="e">
        <f>N26/Production!N23</f>
        <v>#DIV/0!</v>
      </c>
      <c r="O67" s="11" t="e">
        <f>O26/Production!O23</f>
        <v>#DIV/0!</v>
      </c>
      <c r="P67" s="11" t="e">
        <f>P26/Production!P23</f>
        <v>#DIV/0!</v>
      </c>
      <c r="Q67" s="11">
        <f>Q26/Production!Q23</f>
        <v>0</v>
      </c>
      <c r="R67" s="1"/>
      <c r="S67" s="1"/>
      <c r="T67" s="1"/>
      <c r="U67" s="1"/>
      <c r="V67" s="1"/>
      <c r="W67" s="1"/>
    </row>
    <row r="68" spans="1:23">
      <c r="A68" s="426"/>
      <c r="B68" s="2" t="s">
        <v>36</v>
      </c>
      <c r="C68" s="7" t="s">
        <v>129</v>
      </c>
      <c r="D68" s="85" t="s">
        <v>64</v>
      </c>
      <c r="E68" s="11">
        <f>E27/Production!E24</f>
        <v>0</v>
      </c>
      <c r="F68" s="11">
        <f>F27/Production!F24</f>
        <v>0</v>
      </c>
      <c r="G68" s="11">
        <f>G27/Production!G24</f>
        <v>0</v>
      </c>
      <c r="H68" s="11">
        <f>H27/Production!H24</f>
        <v>0</v>
      </c>
      <c r="I68" s="11" t="e">
        <f>I27/Production!I24</f>
        <v>#DIV/0!</v>
      </c>
      <c r="J68" s="11" t="e">
        <f>J27/Production!J24</f>
        <v>#DIV/0!</v>
      </c>
      <c r="K68" s="11" t="e">
        <f>K27/Production!K24</f>
        <v>#DIV/0!</v>
      </c>
      <c r="L68" s="11" t="e">
        <f>L27/Production!L24</f>
        <v>#DIV/0!</v>
      </c>
      <c r="M68" s="11" t="e">
        <f>M27/Production!M24</f>
        <v>#DIV/0!</v>
      </c>
      <c r="N68" s="11" t="e">
        <f>N27/Production!N24</f>
        <v>#DIV/0!</v>
      </c>
      <c r="O68" s="11" t="e">
        <f>O27/Production!O24</f>
        <v>#DIV/0!</v>
      </c>
      <c r="P68" s="11" t="e">
        <f>P27/Production!P24</f>
        <v>#DIV/0!</v>
      </c>
      <c r="Q68" s="11">
        <f>Q27/Production!Q24</f>
        <v>0</v>
      </c>
      <c r="R68" s="1"/>
      <c r="S68" s="1"/>
      <c r="T68" s="1"/>
      <c r="U68" s="1"/>
      <c r="V68" s="1"/>
      <c r="W68" s="1"/>
    </row>
    <row r="69" spans="1:23">
      <c r="A69" s="426"/>
      <c r="B69" s="2" t="s">
        <v>37</v>
      </c>
      <c r="C69" s="7" t="s">
        <v>129</v>
      </c>
      <c r="D69" s="85" t="s">
        <v>64</v>
      </c>
      <c r="E69" s="11">
        <f>E28/Production!E25</f>
        <v>0</v>
      </c>
      <c r="F69" s="11">
        <f>F28/Production!F25</f>
        <v>0</v>
      </c>
      <c r="G69" s="11">
        <f>G28/Production!G25</f>
        <v>0</v>
      </c>
      <c r="H69" s="11">
        <f>H28/Production!H25</f>
        <v>0</v>
      </c>
      <c r="I69" s="11" t="e">
        <f>I28/Production!I25</f>
        <v>#DIV/0!</v>
      </c>
      <c r="J69" s="11" t="e">
        <f>J28/Production!J25</f>
        <v>#DIV/0!</v>
      </c>
      <c r="K69" s="11" t="e">
        <f>K28/Production!K25</f>
        <v>#DIV/0!</v>
      </c>
      <c r="L69" s="11" t="e">
        <f>L28/Production!L25</f>
        <v>#DIV/0!</v>
      </c>
      <c r="M69" s="11" t="e">
        <f>M28/Production!M25</f>
        <v>#DIV/0!</v>
      </c>
      <c r="N69" s="11" t="e">
        <f>N28/Production!N25</f>
        <v>#DIV/0!</v>
      </c>
      <c r="O69" s="11" t="e">
        <f>O28/Production!O25</f>
        <v>#DIV/0!</v>
      </c>
      <c r="P69" s="11" t="e">
        <f>P28/Production!P25</f>
        <v>#DIV/0!</v>
      </c>
      <c r="Q69" s="11">
        <f>Q28/Production!Q25</f>
        <v>0</v>
      </c>
      <c r="R69" s="1"/>
      <c r="S69" s="1"/>
      <c r="T69" s="1"/>
      <c r="U69" s="1"/>
      <c r="V69" s="1"/>
      <c r="W69" s="1"/>
    </row>
    <row r="70" spans="1:23">
      <c r="A70" s="426"/>
      <c r="B70" s="2" t="s">
        <v>38</v>
      </c>
      <c r="C70" s="7" t="s">
        <v>129</v>
      </c>
      <c r="D70" s="85">
        <v>366</v>
      </c>
      <c r="E70" s="11">
        <f>E29/Production!E26</f>
        <v>363.0898270453618</v>
      </c>
      <c r="F70" s="11">
        <f>F29/Production!F26</f>
        <v>395.39906886989559</v>
      </c>
      <c r="G70" s="11">
        <f>G29/Production!G26</f>
        <v>368.35405283965372</v>
      </c>
      <c r="H70" s="11">
        <f>H29/Production!H26</f>
        <v>284.85574128164143</v>
      </c>
      <c r="I70" s="11" t="e">
        <f>I29/Production!I26</f>
        <v>#DIV/0!</v>
      </c>
      <c r="J70" s="11" t="e">
        <f>J29/Production!J26</f>
        <v>#DIV/0!</v>
      </c>
      <c r="K70" s="11" t="e">
        <f>K29/Production!K26</f>
        <v>#DIV/0!</v>
      </c>
      <c r="L70" s="11" t="e">
        <f>L29/Production!L26</f>
        <v>#DIV/0!</v>
      </c>
      <c r="M70" s="11" t="e">
        <f>M29/Production!M26</f>
        <v>#DIV/0!</v>
      </c>
      <c r="N70" s="11" t="e">
        <f>N29/Production!N26</f>
        <v>#DIV/0!</v>
      </c>
      <c r="O70" s="11" t="e">
        <f>O29/Production!O26</f>
        <v>#DIV/0!</v>
      </c>
      <c r="P70" s="11" t="e">
        <f>P29/Production!P26</f>
        <v>#DIV/0!</v>
      </c>
      <c r="Q70" s="11">
        <f>Q29/Production!Q26</f>
        <v>348.83026639838266</v>
      </c>
      <c r="R70" s="1"/>
      <c r="S70" s="1"/>
      <c r="T70" s="1"/>
      <c r="U70" s="1"/>
      <c r="V70" s="1"/>
      <c r="W70" s="1"/>
    </row>
    <row r="71" spans="1:23">
      <c r="A71" s="426"/>
      <c r="B71" s="2" t="s">
        <v>39</v>
      </c>
      <c r="C71" s="7" t="s">
        <v>129</v>
      </c>
      <c r="D71" s="85" t="s">
        <v>64</v>
      </c>
      <c r="E71" s="11">
        <f>E30/Production!E27</f>
        <v>0</v>
      </c>
      <c r="F71" s="11">
        <f>F30/Production!F27</f>
        <v>0</v>
      </c>
      <c r="G71" s="11">
        <f>G30/Production!G27</f>
        <v>0</v>
      </c>
      <c r="H71" s="11">
        <f>H30/Production!H27</f>
        <v>0</v>
      </c>
      <c r="I71" s="11" t="e">
        <f>I30/Production!I27</f>
        <v>#DIV/0!</v>
      </c>
      <c r="J71" s="11" t="e">
        <f>J30/Production!J27</f>
        <v>#DIV/0!</v>
      </c>
      <c r="K71" s="11" t="e">
        <f>K30/Production!K27</f>
        <v>#DIV/0!</v>
      </c>
      <c r="L71" s="11" t="e">
        <f>L30/Production!L27</f>
        <v>#DIV/0!</v>
      </c>
      <c r="M71" s="11" t="e">
        <f>M30/Production!M27</f>
        <v>#DIV/0!</v>
      </c>
      <c r="N71" s="11" t="e">
        <f>N30/Production!N27</f>
        <v>#DIV/0!</v>
      </c>
      <c r="O71" s="11" t="e">
        <f>O30/Production!O27</f>
        <v>#DIV/0!</v>
      </c>
      <c r="P71" s="11" t="e">
        <f>P30/Production!P27</f>
        <v>#DIV/0!</v>
      </c>
      <c r="Q71" s="11">
        <f>Q30/Production!Q27</f>
        <v>0</v>
      </c>
      <c r="R71" s="1"/>
      <c r="S71" s="1"/>
      <c r="T71" s="1"/>
      <c r="U71" s="1"/>
      <c r="V71" s="1"/>
      <c r="W71" s="1"/>
    </row>
    <row r="72" spans="1:23">
      <c r="A72" s="426"/>
      <c r="B72" s="2" t="s">
        <v>40</v>
      </c>
      <c r="C72" s="7" t="s">
        <v>129</v>
      </c>
      <c r="D72" s="85" t="s">
        <v>64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"/>
      <c r="S72" s="1"/>
      <c r="T72" s="1"/>
      <c r="U72" s="1"/>
      <c r="V72" s="1"/>
      <c r="W72" s="1"/>
    </row>
    <row r="73" spans="1:23">
      <c r="A73" s="439"/>
      <c r="B73" s="2" t="s">
        <v>42</v>
      </c>
      <c r="C73" s="7" t="s">
        <v>129</v>
      </c>
      <c r="D73" s="85" t="s">
        <v>64</v>
      </c>
      <c r="E73" s="11">
        <f>E32/Production!E29</f>
        <v>0</v>
      </c>
      <c r="F73" s="11">
        <f>F32/Production!F29</f>
        <v>0</v>
      </c>
      <c r="G73" s="11">
        <f>G32/Production!G29</f>
        <v>0</v>
      </c>
      <c r="H73" s="11">
        <f>H32/Production!H29</f>
        <v>0</v>
      </c>
      <c r="I73" s="11" t="e">
        <f>I32/Production!I29</f>
        <v>#DIV/0!</v>
      </c>
      <c r="J73" s="11" t="e">
        <f>J32/Production!J29</f>
        <v>#DIV/0!</v>
      </c>
      <c r="K73" s="11" t="e">
        <f>K32/Production!K29</f>
        <v>#DIV/0!</v>
      </c>
      <c r="L73" s="11" t="e">
        <f>L32/Production!L29</f>
        <v>#DIV/0!</v>
      </c>
      <c r="M73" s="11" t="e">
        <f>M32/Production!M29</f>
        <v>#DIV/0!</v>
      </c>
      <c r="N73" s="11" t="e">
        <f>N32/Production!N29</f>
        <v>#DIV/0!</v>
      </c>
      <c r="O73" s="11" t="e">
        <f>O32/Production!O29</f>
        <v>#DIV/0!</v>
      </c>
      <c r="P73" s="11" t="e">
        <f>P32/Production!P29</f>
        <v>#DIV/0!</v>
      </c>
      <c r="Q73" s="11">
        <f>Q32/Production!Q29</f>
        <v>0</v>
      </c>
      <c r="R73" s="1"/>
      <c r="S73" s="1"/>
      <c r="T73" s="1"/>
      <c r="U73" s="1"/>
      <c r="V73" s="1"/>
      <c r="W73" s="1"/>
    </row>
    <row r="74" spans="1:23">
      <c r="A74" s="72"/>
      <c r="B74" s="2" t="s">
        <v>43</v>
      </c>
      <c r="C74" s="7" t="s">
        <v>129</v>
      </c>
      <c r="D74" s="85" t="s">
        <v>64</v>
      </c>
      <c r="E74" s="11">
        <f>E33/Production!E30</f>
        <v>0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"/>
      <c r="S74" s="1"/>
      <c r="T74" s="1"/>
      <c r="U74" s="1"/>
      <c r="V74" s="1"/>
      <c r="W74" s="1"/>
    </row>
    <row r="76" spans="1:23">
      <c r="A76" s="411" t="s">
        <v>44</v>
      </c>
      <c r="B76" s="411"/>
      <c r="C76" s="7" t="s">
        <v>129</v>
      </c>
      <c r="D76" s="1"/>
      <c r="E76" s="12">
        <f>E35/Production!E32</f>
        <v>178.00080804285281</v>
      </c>
      <c r="F76" s="12">
        <f>F35/Production!F32</f>
        <v>167.00524780689466</v>
      </c>
      <c r="G76" s="12">
        <f>G35/Production!G32</f>
        <v>170.53765244389069</v>
      </c>
      <c r="H76" s="12">
        <f>H35/Production!H32</f>
        <v>164.98575151978312</v>
      </c>
      <c r="I76" s="12" t="e">
        <f>I35/Production!I32</f>
        <v>#DIV/0!</v>
      </c>
      <c r="J76" s="12" t="e">
        <f>J35/Production!J32</f>
        <v>#DIV/0!</v>
      </c>
      <c r="K76" s="12" t="e">
        <f>K35/Production!K32</f>
        <v>#DIV/0!</v>
      </c>
      <c r="L76" s="12" t="e">
        <f>L35/Production!L32</f>
        <v>#DIV/0!</v>
      </c>
      <c r="M76" s="12" t="e">
        <f>M35/Production!M32</f>
        <v>#DIV/0!</v>
      </c>
      <c r="N76" s="12" t="e">
        <f>N35/Production!N32</f>
        <v>#DIV/0!</v>
      </c>
      <c r="O76" s="12" t="e">
        <f>O35/Production!O32</f>
        <v>#DIV/0!</v>
      </c>
      <c r="P76" s="12" t="e">
        <f>P35/Production!P32</f>
        <v>#DIV/0!</v>
      </c>
      <c r="Q76" s="13">
        <f>Q35/Production!Q32</f>
        <v>170.50493295902749</v>
      </c>
      <c r="R76" s="12">
        <f>R35/Production!R32</f>
        <v>172.0632915776167</v>
      </c>
      <c r="S76" s="12">
        <f>S35/Production!S32</f>
        <v>164.98575151978312</v>
      </c>
      <c r="T76" s="12" t="e">
        <f>T35/Production!T32</f>
        <v>#DIV/0!</v>
      </c>
      <c r="U76" s="12" t="e">
        <f>U35/Production!U32</f>
        <v>#DIV/0!</v>
      </c>
      <c r="V76" s="12">
        <f>V35/Production!V32</f>
        <v>170.50493295902749</v>
      </c>
      <c r="W76" s="12" t="e">
        <f>W35/Production!W32</f>
        <v>#DIV/0!</v>
      </c>
    </row>
    <row r="77" spans="1:23" ht="24">
      <c r="A77" s="446" t="s">
        <v>45</v>
      </c>
      <c r="B77" s="446"/>
      <c r="C77" s="7" t="s">
        <v>129</v>
      </c>
      <c r="D77" s="86">
        <v>205</v>
      </c>
      <c r="E77" s="158">
        <f>E36/Production!E33</f>
        <v>184.0399571770069</v>
      </c>
      <c r="F77" s="158">
        <f>F36/Production!F33</f>
        <v>172.50513536770654</v>
      </c>
      <c r="G77" s="158">
        <f>G36/Production!G33</f>
        <v>176.25567211372572</v>
      </c>
      <c r="H77" s="158">
        <f>H36/Production!H33</f>
        <v>172.08057601080947</v>
      </c>
      <c r="I77" s="158" t="e">
        <f>I36/Production!I33</f>
        <v>#DIV/0!</v>
      </c>
      <c r="J77" s="158" t="e">
        <f>J36/Production!J33</f>
        <v>#DIV/0!</v>
      </c>
      <c r="K77" s="158" t="e">
        <f>K36/Production!K33</f>
        <v>#DIV/0!</v>
      </c>
      <c r="L77" s="158" t="e">
        <f>L36/Production!L33</f>
        <v>#DIV/0!</v>
      </c>
      <c r="M77" s="158" t="e">
        <f>M36/Production!M33</f>
        <v>#DIV/0!</v>
      </c>
      <c r="N77" s="158" t="e">
        <f>N36/Production!N33</f>
        <v>#DIV/0!</v>
      </c>
      <c r="O77" s="158" t="e">
        <f>O36/Production!O33</f>
        <v>#DIV/0!</v>
      </c>
      <c r="P77" s="158" t="e">
        <f>P36/Production!P33</f>
        <v>#DIV/0!</v>
      </c>
      <c r="Q77" s="159">
        <f>Q36/Production!Q33</f>
        <v>176.57002480853754</v>
      </c>
      <c r="R77" s="158">
        <f>R36/Production!R33</f>
        <v>177.83170150728193</v>
      </c>
      <c r="S77" s="158">
        <f>S36/Production!S33</f>
        <v>172.08057601080947</v>
      </c>
      <c r="T77" s="158" t="e">
        <f>T36/Production!T33</f>
        <v>#DIV/0!</v>
      </c>
      <c r="U77" s="158" t="e">
        <f>U36/Production!U33</f>
        <v>#DIV/0!</v>
      </c>
      <c r="V77" s="158">
        <f>V36/Production!V33</f>
        <v>176.57002480853754</v>
      </c>
      <c r="W77" s="158" t="e">
        <f>W36/Production!W33</f>
        <v>#DIV/0!</v>
      </c>
    </row>
    <row r="78" spans="1:23">
      <c r="Q78" s="58"/>
    </row>
    <row r="79" spans="1:23" ht="18.5">
      <c r="A79" s="441" t="s">
        <v>46</v>
      </c>
      <c r="B79" s="441"/>
      <c r="C79" s="340" t="s">
        <v>129</v>
      </c>
      <c r="D79" s="356">
        <v>207.25534089646004</v>
      </c>
      <c r="E79" s="354">
        <f>E38/Production!E36</f>
        <v>170.2439191692024</v>
      </c>
      <c r="F79" s="354">
        <f>F38/Production!F36</f>
        <v>147.74251834320714</v>
      </c>
      <c r="G79" s="354">
        <f>G38/Production!G36</f>
        <v>155.14888547680255</v>
      </c>
      <c r="H79" s="354">
        <f>H38/Production!H36</f>
        <v>162.52629400282854</v>
      </c>
      <c r="I79" s="354" t="e">
        <f>I38/Production!I36</f>
        <v>#DIV/0!</v>
      </c>
      <c r="J79" s="354" t="e">
        <f>J38/Production!J36</f>
        <v>#DIV/0!</v>
      </c>
      <c r="K79" s="354" t="e">
        <f>K38/Production!K36</f>
        <v>#DIV/0!</v>
      </c>
      <c r="L79" s="354" t="e">
        <f>L38/Production!L36</f>
        <v>#DIV/0!</v>
      </c>
      <c r="M79" s="354" t="e">
        <f>M38/Production!M36</f>
        <v>#DIV/0!</v>
      </c>
      <c r="N79" s="354" t="e">
        <f>N38/Production!N36</f>
        <v>#DIV/0!</v>
      </c>
      <c r="O79" s="354" t="e">
        <f>O38/Production!O36</f>
        <v>#DIV/0!</v>
      </c>
      <c r="P79" s="354" t="e">
        <f>P38/Production!P36</f>
        <v>#DIV/0!</v>
      </c>
      <c r="Q79" s="354">
        <f>Q38/Production!Q36</f>
        <v>158.60880397305854</v>
      </c>
    </row>
    <row r="80" spans="1:23" ht="18.5">
      <c r="A80" s="441" t="s">
        <v>47</v>
      </c>
      <c r="B80" s="441"/>
      <c r="C80" s="340" t="s">
        <v>129</v>
      </c>
      <c r="D80" s="356">
        <v>201.61093813113604</v>
      </c>
      <c r="E80" s="354">
        <f>E39/Production!E37</f>
        <v>212.98386232025084</v>
      </c>
      <c r="F80" s="354">
        <f>F39/Production!F37</f>
        <v>230.40378749072858</v>
      </c>
      <c r="G80" s="354">
        <f>G39/Production!G37</f>
        <v>208.75108580074578</v>
      </c>
      <c r="H80" s="354">
        <f>H39/Production!H37</f>
        <v>186.45431303707244</v>
      </c>
      <c r="I80" s="354" t="e">
        <f>I39/Production!I37</f>
        <v>#DIV/0!</v>
      </c>
      <c r="J80" s="354" t="e">
        <f>J39/Production!J37</f>
        <v>#DIV/0!</v>
      </c>
      <c r="K80" s="354" t="e">
        <f>K39/Production!K37</f>
        <v>#DIV/0!</v>
      </c>
      <c r="L80" s="354" t="e">
        <f>L39/Production!L37</f>
        <v>#DIV/0!</v>
      </c>
      <c r="M80" s="354" t="e">
        <f>M39/Production!M37</f>
        <v>#DIV/0!</v>
      </c>
      <c r="N80" s="354" t="e">
        <f>N39/Production!N37</f>
        <v>#DIV/0!</v>
      </c>
      <c r="O80" s="354" t="e">
        <f>O39/Production!O37</f>
        <v>#DIV/0!</v>
      </c>
      <c r="P80" s="354" t="e">
        <f>P39/Production!P37</f>
        <v>#DIV/0!</v>
      </c>
      <c r="Q80" s="354">
        <f>Q39/Production!Q37</f>
        <v>208.78349231634519</v>
      </c>
    </row>
    <row r="81" spans="1:18">
      <c r="Q81" s="58"/>
    </row>
    <row r="82" spans="1:18">
      <c r="Q82" s="58"/>
    </row>
    <row r="83" spans="1:18">
      <c r="A83" s="36"/>
      <c r="B83" s="40">
        <f>'Waste disposal'!B87</f>
        <v>2020</v>
      </c>
      <c r="C83" s="40">
        <f>'Waste disposal'!C87</f>
        <v>2021</v>
      </c>
      <c r="D83" s="40">
        <f>'Waste disposal'!D87</f>
        <v>2022</v>
      </c>
      <c r="E83" s="40">
        <f>'Waste disposal'!E87</f>
        <v>2023</v>
      </c>
      <c r="F83" s="59">
        <f>'Waste disposal'!F87</f>
        <v>46023</v>
      </c>
      <c r="G83" s="59">
        <f>'Waste disposal'!G87</f>
        <v>46054</v>
      </c>
      <c r="H83" s="59">
        <f>'Waste disposal'!H87</f>
        <v>46082</v>
      </c>
      <c r="I83" s="59">
        <f>'Waste disposal'!I87</f>
        <v>46113</v>
      </c>
      <c r="J83" s="59">
        <f>'Waste disposal'!J87</f>
        <v>46143</v>
      </c>
      <c r="K83" s="59">
        <f>'Waste disposal'!K87</f>
        <v>46174</v>
      </c>
      <c r="L83" s="59">
        <f>'Waste disposal'!L87</f>
        <v>46204</v>
      </c>
      <c r="M83" s="59">
        <f>'Waste disposal'!M87</f>
        <v>46235</v>
      </c>
      <c r="N83" s="59">
        <f>'Waste disposal'!N87</f>
        <v>46266</v>
      </c>
      <c r="O83" s="59">
        <f>'Waste disposal'!O87</f>
        <v>46296</v>
      </c>
      <c r="P83" s="59">
        <f>'Waste disposal'!P87</f>
        <v>46327</v>
      </c>
      <c r="Q83" s="59">
        <f>'Waste disposal'!Q87</f>
        <v>46357</v>
      </c>
      <c r="R83" s="59" t="str">
        <f>'Waste disposal'!R87</f>
        <v>YTD 2026</v>
      </c>
    </row>
    <row r="84" spans="1:18">
      <c r="A84" s="37" t="s">
        <v>4</v>
      </c>
      <c r="B84" s="96"/>
      <c r="C84" s="96"/>
      <c r="D84" s="94"/>
      <c r="E84" s="96"/>
      <c r="F84" s="88">
        <f>$D$76</f>
        <v>0</v>
      </c>
      <c r="G84" s="88">
        <f t="shared" ref="G84:R84" si="28">$D$76</f>
        <v>0</v>
      </c>
      <c r="H84" s="88">
        <f t="shared" si="28"/>
        <v>0</v>
      </c>
      <c r="I84" s="88">
        <f t="shared" si="28"/>
        <v>0</v>
      </c>
      <c r="J84" s="88">
        <f t="shared" si="28"/>
        <v>0</v>
      </c>
      <c r="K84" s="88">
        <f t="shared" si="28"/>
        <v>0</v>
      </c>
      <c r="L84" s="88">
        <f t="shared" si="28"/>
        <v>0</v>
      </c>
      <c r="M84" s="88">
        <f t="shared" si="28"/>
        <v>0</v>
      </c>
      <c r="N84" s="88">
        <f t="shared" si="28"/>
        <v>0</v>
      </c>
      <c r="O84" s="88">
        <f t="shared" si="28"/>
        <v>0</v>
      </c>
      <c r="P84" s="88">
        <f t="shared" si="28"/>
        <v>0</v>
      </c>
      <c r="Q84" s="88">
        <f t="shared" si="28"/>
        <v>0</v>
      </c>
      <c r="R84" s="88">
        <f t="shared" si="28"/>
        <v>0</v>
      </c>
    </row>
    <row r="85" spans="1:18">
      <c r="A85" s="37" t="s">
        <v>66</v>
      </c>
      <c r="B85" s="97">
        <f t="shared" ref="B85:D85" si="29">E144</f>
        <v>147.59179858565309</v>
      </c>
      <c r="C85" s="97">
        <f t="shared" si="29"/>
        <v>152.33294643310171</v>
      </c>
      <c r="D85" s="95">
        <f t="shared" si="29"/>
        <v>172.39589306617907</v>
      </c>
      <c r="E85" s="100">
        <f>[3]NOx!$Q$55</f>
        <v>176.58771462745756</v>
      </c>
      <c r="F85" s="88">
        <f t="shared" ref="F85:R85" si="30">E76</f>
        <v>178.00080804285281</v>
      </c>
      <c r="G85" s="88">
        <f>F76</f>
        <v>167.00524780689466</v>
      </c>
      <c r="H85" s="88">
        <f t="shared" si="30"/>
        <v>170.53765244389069</v>
      </c>
      <c r="I85" s="88">
        <f t="shared" si="30"/>
        <v>164.98575151978312</v>
      </c>
      <c r="J85" s="88" t="e">
        <f t="shared" si="30"/>
        <v>#DIV/0!</v>
      </c>
      <c r="K85" s="88" t="e">
        <f t="shared" si="30"/>
        <v>#DIV/0!</v>
      </c>
      <c r="L85" s="88" t="e">
        <f t="shared" si="30"/>
        <v>#DIV/0!</v>
      </c>
      <c r="M85" s="88" t="e">
        <f t="shared" si="30"/>
        <v>#DIV/0!</v>
      </c>
      <c r="N85" s="88" t="e">
        <f t="shared" si="30"/>
        <v>#DIV/0!</v>
      </c>
      <c r="O85" s="88" t="e">
        <f t="shared" si="30"/>
        <v>#DIV/0!</v>
      </c>
      <c r="P85" s="88" t="e">
        <f t="shared" si="30"/>
        <v>#DIV/0!</v>
      </c>
      <c r="Q85" s="88" t="e">
        <f t="shared" si="30"/>
        <v>#DIV/0!</v>
      </c>
      <c r="R85" s="88">
        <f t="shared" si="30"/>
        <v>170.50493295902749</v>
      </c>
    </row>
    <row r="86" spans="1:18">
      <c r="A86" s="37" t="s">
        <v>90</v>
      </c>
      <c r="B86" s="96"/>
      <c r="C86" s="96"/>
      <c r="D86" s="94"/>
      <c r="E86" s="96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</row>
    <row r="87" spans="1:18">
      <c r="A87" s="37" t="s">
        <v>67</v>
      </c>
      <c r="B87" s="98">
        <f>'Water withdrawal'!C87</f>
        <v>9.0561442384612807</v>
      </c>
      <c r="C87" s="98">
        <f>'Water withdrawal'!D87</f>
        <v>10.3315058334617</v>
      </c>
      <c r="D87" s="99">
        <f>'Water withdrawal'!E87</f>
        <v>8.0495006936000006</v>
      </c>
      <c r="E87" s="98">
        <f>'Water withdrawal'!F87</f>
        <v>8.2806149300000023</v>
      </c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</row>
    <row r="89" spans="1:18">
      <c r="A89" s="113" t="s">
        <v>70</v>
      </c>
      <c r="B89" s="115">
        <f>[2]NOx!L16</f>
        <v>154.26721480333018</v>
      </c>
      <c r="C89" s="115">
        <f>[2]NOx!M16</f>
        <v>159.72972109573683</v>
      </c>
      <c r="D89" s="115">
        <f>[2]NOx!N16</f>
        <v>170.06309624406882</v>
      </c>
      <c r="E89" s="115">
        <f>[4]NOx!$Q$56</f>
        <v>185.53273442935387</v>
      </c>
    </row>
    <row r="143" spans="2:17">
      <c r="C143" s="36"/>
      <c r="D143" s="36"/>
      <c r="E143" s="40">
        <v>2020</v>
      </c>
      <c r="F143" s="40">
        <v>2021</v>
      </c>
      <c r="G143" s="40">
        <v>2022</v>
      </c>
      <c r="H143" s="40" t="s">
        <v>74</v>
      </c>
      <c r="I143" s="40" t="s">
        <v>75</v>
      </c>
      <c r="J143" s="40" t="s">
        <v>100</v>
      </c>
      <c r="K143" s="40" t="s">
        <v>101</v>
      </c>
      <c r="N143">
        <v>2021</v>
      </c>
      <c r="P143">
        <v>2023</v>
      </c>
      <c r="Q143" t="s">
        <v>130</v>
      </c>
    </row>
    <row r="144" spans="2:17">
      <c r="B144" s="417" t="s">
        <v>77</v>
      </c>
      <c r="C144" s="37" t="s">
        <v>66</v>
      </c>
      <c r="D144" s="37" t="s">
        <v>129</v>
      </c>
      <c r="E144" s="90">
        <v>147.59179858565309</v>
      </c>
      <c r="F144" s="90">
        <v>152.33294643310171</v>
      </c>
      <c r="G144" s="90">
        <v>172.39589306617907</v>
      </c>
      <c r="H144" s="90">
        <f>$R$84</f>
        <v>0</v>
      </c>
      <c r="I144" s="91">
        <f>$R$85</f>
        <v>170.50493295902749</v>
      </c>
      <c r="J144" s="88">
        <f>$Q$146</f>
        <v>99.75880162077307</v>
      </c>
      <c r="K144" s="1">
        <v>199</v>
      </c>
      <c r="M144" t="s">
        <v>131</v>
      </c>
      <c r="N144" s="50">
        <f>[2]NOx!$D$15*10^6</f>
        <v>1573828724.7019999</v>
      </c>
      <c r="O144" s="58">
        <f>(N144-P144)/N144</f>
        <v>0.60859988175235702</v>
      </c>
      <c r="P144" s="50">
        <f>$Q$35</f>
        <v>615996748.94989991</v>
      </c>
      <c r="Q144" s="50">
        <f>P144+(P144*O144)</f>
        <v>990892297.52064538</v>
      </c>
    </row>
    <row r="145" spans="2:17">
      <c r="B145" s="418"/>
      <c r="C145" s="37" t="s">
        <v>67</v>
      </c>
      <c r="D145" s="37" t="s">
        <v>68</v>
      </c>
      <c r="E145" s="38">
        <f>[2]NOx!C23</f>
        <v>9.0561442384612842</v>
      </c>
      <c r="F145" s="38">
        <f>[2]NOx!D23</f>
        <v>10.344745617753649</v>
      </c>
      <c r="G145" s="38">
        <f>[2]NOx!E23</f>
        <v>8.5988598636000013</v>
      </c>
      <c r="H145" s="38">
        <f>'[3]Water withdrawal'!H101</f>
        <v>9.1984955120831806</v>
      </c>
      <c r="I145" s="39">
        <f>'[3]Water withdrawal'!I101</f>
        <v>8280614.9300000016</v>
      </c>
      <c r="J145" s="38"/>
      <c r="K145" s="26">
        <f>'[3]Hz waste gen'!$K$103</f>
        <v>8.5300867756288596</v>
      </c>
      <c r="M145" t="s">
        <v>132</v>
      </c>
      <c r="N145" s="35">
        <f>[2]Production!$D$24</f>
        <v>10344745.617753649</v>
      </c>
      <c r="O145" s="58">
        <f>(N145-P145)/N145</f>
        <v>0.19953421418224021</v>
      </c>
      <c r="P145" s="50">
        <f>[3]Production!$Q$23</f>
        <v>8280614.9300000016</v>
      </c>
      <c r="Q145" s="50">
        <f>P145+(P145*O145)</f>
        <v>9932880.9230032787</v>
      </c>
    </row>
    <row r="146" spans="2:17">
      <c r="B146" s="419" t="s">
        <v>78</v>
      </c>
      <c r="C146" s="37" t="s">
        <v>66</v>
      </c>
      <c r="D146" s="37" t="s">
        <v>129</v>
      </c>
      <c r="E146" s="88">
        <v>154.26721480333018</v>
      </c>
      <c r="F146" s="88">
        <v>159.94763246219324</v>
      </c>
      <c r="G146" s="88">
        <v>182.49071993342162</v>
      </c>
      <c r="H146" s="92">
        <v>210</v>
      </c>
      <c r="I146" s="88">
        <f>$Q$77</f>
        <v>176.57002480853754</v>
      </c>
      <c r="J146" s="88"/>
      <c r="K146" s="93">
        <v>208</v>
      </c>
      <c r="Q146" s="35">
        <f>Q144/Q145</f>
        <v>99.75880162077307</v>
      </c>
    </row>
    <row r="147" spans="2:17">
      <c r="B147" s="420"/>
      <c r="C147" s="37" t="s">
        <v>67</v>
      </c>
      <c r="D147" s="37" t="s">
        <v>68</v>
      </c>
      <c r="E147" s="38">
        <f>'[3]Water withdrawal'!E103</f>
        <v>8.5473448657681743</v>
      </c>
      <c r="F147" s="38">
        <f>'[3]Water withdrawal'!F103</f>
        <v>9.7048037773794942</v>
      </c>
      <c r="G147" s="38">
        <f>'[3]Water withdrawal'!G103</f>
        <v>7.5174074896</v>
      </c>
      <c r="H147" s="43">
        <f>'[3]Water withdrawal'!H103</f>
        <v>8.6185785120831842</v>
      </c>
      <c r="I147" s="38">
        <f>'[3]Water withdrawal'!I103</f>
        <v>7.7716394509999995</v>
      </c>
      <c r="J147" s="38"/>
      <c r="K147" s="26">
        <f>'[3]Hz waste gen'!$K$107</f>
        <v>8.0037267756288593</v>
      </c>
    </row>
    <row r="148" spans="2:17">
      <c r="E148">
        <v>205</v>
      </c>
      <c r="J148" s="44">
        <f>(E148-J144)/E148</f>
        <v>0.51337169941086302</v>
      </c>
    </row>
    <row r="214" spans="4:12">
      <c r="F214" s="40">
        <v>2020</v>
      </c>
      <c r="G214" s="40">
        <v>2021</v>
      </c>
      <c r="H214" s="40">
        <v>2022</v>
      </c>
      <c r="I214" s="40">
        <v>2023</v>
      </c>
      <c r="J214" s="40" t="s">
        <v>101</v>
      </c>
    </row>
    <row r="215" spans="4:12">
      <c r="D215" s="2" t="s">
        <v>66</v>
      </c>
      <c r="E215" s="37" t="s">
        <v>63</v>
      </c>
      <c r="F215" s="16">
        <f t="shared" ref="F215:H215" si="31">E144</f>
        <v>147.59179858565309</v>
      </c>
      <c r="G215" s="16">
        <f t="shared" si="31"/>
        <v>152.33294643310171</v>
      </c>
      <c r="H215" s="16">
        <f t="shared" si="31"/>
        <v>172.39589306617907</v>
      </c>
      <c r="I215" s="89">
        <f>I217-I216</f>
        <v>70.746131338254415</v>
      </c>
      <c r="J215" s="89">
        <f>J217-J216</f>
        <v>34.763708055201761</v>
      </c>
      <c r="L215">
        <f>[2]NOx!$G$15</f>
        <v>1698.9826613720606</v>
      </c>
    </row>
    <row r="216" spans="4:12">
      <c r="D216" s="2" t="s">
        <v>90</v>
      </c>
      <c r="E216" s="37" t="s">
        <v>63</v>
      </c>
      <c r="F216" s="16"/>
      <c r="G216" s="16"/>
      <c r="H216" s="16"/>
      <c r="I216" s="16">
        <f>$J$144</f>
        <v>99.75880162077307</v>
      </c>
      <c r="J216" s="16">
        <f>L215*10^6/L216</f>
        <v>164.23629194479824</v>
      </c>
      <c r="L216">
        <f>'[3]Hz waste gen'!$L$179</f>
        <v>10344745.617753649</v>
      </c>
    </row>
    <row r="217" spans="4:12">
      <c r="I217" s="89">
        <f>$I$144</f>
        <v>170.50493295902749</v>
      </c>
      <c r="J217" s="16">
        <f>$K$144</f>
        <v>199</v>
      </c>
    </row>
  </sheetData>
  <mergeCells count="16">
    <mergeCell ref="B146:B147"/>
    <mergeCell ref="A3:A19"/>
    <mergeCell ref="A44:A60"/>
    <mergeCell ref="A35:B35"/>
    <mergeCell ref="A36:B36"/>
    <mergeCell ref="A76:B76"/>
    <mergeCell ref="A77:B77"/>
    <mergeCell ref="A38:B38"/>
    <mergeCell ref="A39:B39"/>
    <mergeCell ref="A79:B79"/>
    <mergeCell ref="A80:B80"/>
    <mergeCell ref="A1:W1"/>
    <mergeCell ref="A42:W42"/>
    <mergeCell ref="A20:A32"/>
    <mergeCell ref="A61:A73"/>
    <mergeCell ref="B144:B145"/>
  </mergeCells>
  <conditionalFormatting sqref="E44">
    <cfRule type="cellIs" dxfId="604" priority="311" operator="greaterThan">
      <formula>$D44</formula>
    </cfRule>
    <cfRule type="cellIs" dxfId="603" priority="312" operator="lessThanOrEqual">
      <formula>$D44</formula>
    </cfRule>
  </conditionalFormatting>
  <conditionalFormatting sqref="E45">
    <cfRule type="cellIs" dxfId="602" priority="309" operator="greaterThan">
      <formula>$D45</formula>
    </cfRule>
    <cfRule type="cellIs" dxfId="601" priority="310" operator="lessThanOrEqual">
      <formula>$D45</formula>
    </cfRule>
  </conditionalFormatting>
  <conditionalFormatting sqref="E46">
    <cfRule type="cellIs" dxfId="600" priority="307" operator="greaterThan">
      <formula>$D46</formula>
    </cfRule>
    <cfRule type="cellIs" dxfId="599" priority="308" operator="lessThanOrEqual">
      <formula>$D46</formula>
    </cfRule>
  </conditionalFormatting>
  <conditionalFormatting sqref="E47">
    <cfRule type="cellIs" dxfId="598" priority="305" operator="greaterThan">
      <formula>$D47</formula>
    </cfRule>
    <cfRule type="cellIs" dxfId="597" priority="306" operator="lessThanOrEqual">
      <formula>$D47</formula>
    </cfRule>
  </conditionalFormatting>
  <conditionalFormatting sqref="E52:E55">
    <cfRule type="cellIs" dxfId="596" priority="303" operator="greaterThan">
      <formula>$D52</formula>
    </cfRule>
    <cfRule type="cellIs" dxfId="595" priority="304" operator="lessThanOrEqual">
      <formula>$D52</formula>
    </cfRule>
  </conditionalFormatting>
  <conditionalFormatting sqref="E56:E57">
    <cfRule type="cellIs" dxfId="594" priority="301" operator="greaterThan">
      <formula>$D56</formula>
    </cfRule>
    <cfRule type="cellIs" dxfId="593" priority="302" operator="lessThanOrEqual">
      <formula>$D56</formula>
    </cfRule>
  </conditionalFormatting>
  <conditionalFormatting sqref="E59:E61">
    <cfRule type="cellIs" dxfId="592" priority="299" operator="greaterThan">
      <formula>$D59</formula>
    </cfRule>
    <cfRule type="cellIs" dxfId="591" priority="300" operator="lessThanOrEqual">
      <formula>$D59</formula>
    </cfRule>
  </conditionalFormatting>
  <conditionalFormatting sqref="E62">
    <cfRule type="cellIs" dxfId="590" priority="297" operator="greaterThan">
      <formula>$D62</formula>
    </cfRule>
    <cfRule type="cellIs" dxfId="589" priority="298" operator="lessThanOrEqual">
      <formula>$D62</formula>
    </cfRule>
  </conditionalFormatting>
  <conditionalFormatting sqref="E63:E74">
    <cfRule type="cellIs" dxfId="588" priority="295" operator="greaterThan">
      <formula>$D63</formula>
    </cfRule>
    <cfRule type="cellIs" dxfId="587" priority="296" operator="lessThanOrEqual">
      <formula>$D63</formula>
    </cfRule>
  </conditionalFormatting>
  <conditionalFormatting sqref="F44">
    <cfRule type="cellIs" dxfId="586" priority="293" operator="greaterThan">
      <formula>$D44</formula>
    </cfRule>
    <cfRule type="cellIs" dxfId="585" priority="294" operator="lessThanOrEqual">
      <formula>$D44</formula>
    </cfRule>
  </conditionalFormatting>
  <conditionalFormatting sqref="F45">
    <cfRule type="cellIs" dxfId="584" priority="291" operator="greaterThan">
      <formula>$D45</formula>
    </cfRule>
    <cfRule type="cellIs" dxfId="583" priority="292" operator="lessThanOrEqual">
      <formula>$D45</formula>
    </cfRule>
  </conditionalFormatting>
  <conditionalFormatting sqref="F46">
    <cfRule type="cellIs" dxfId="582" priority="289" operator="greaterThan">
      <formula>$D46</formula>
    </cfRule>
    <cfRule type="cellIs" dxfId="581" priority="290" operator="lessThanOrEqual">
      <formula>$D46</formula>
    </cfRule>
  </conditionalFormatting>
  <conditionalFormatting sqref="F47">
    <cfRule type="cellIs" dxfId="580" priority="287" operator="greaterThan">
      <formula>$D47</formula>
    </cfRule>
    <cfRule type="cellIs" dxfId="579" priority="288" operator="lessThanOrEqual">
      <formula>$D47</formula>
    </cfRule>
  </conditionalFormatting>
  <conditionalFormatting sqref="F52:F55">
    <cfRule type="cellIs" dxfId="578" priority="285" operator="greaterThan">
      <formula>$D52</formula>
    </cfRule>
    <cfRule type="cellIs" dxfId="577" priority="286" operator="lessThanOrEqual">
      <formula>$D52</formula>
    </cfRule>
  </conditionalFormatting>
  <conditionalFormatting sqref="F56:F57">
    <cfRule type="cellIs" dxfId="576" priority="283" operator="greaterThan">
      <formula>$D56</formula>
    </cfRule>
    <cfRule type="cellIs" dxfId="575" priority="284" operator="lessThanOrEqual">
      <formula>$D56</formula>
    </cfRule>
  </conditionalFormatting>
  <conditionalFormatting sqref="F59:F61">
    <cfRule type="cellIs" dxfId="574" priority="281" operator="greaterThan">
      <formula>$D59</formula>
    </cfRule>
    <cfRule type="cellIs" dxfId="573" priority="282" operator="lessThanOrEqual">
      <formula>$D59</formula>
    </cfRule>
  </conditionalFormatting>
  <conditionalFormatting sqref="F62">
    <cfRule type="cellIs" dxfId="572" priority="279" operator="greaterThan">
      <formula>$D62</formula>
    </cfRule>
    <cfRule type="cellIs" dxfId="571" priority="280" operator="lessThanOrEqual">
      <formula>$D62</formula>
    </cfRule>
  </conditionalFormatting>
  <conditionalFormatting sqref="F63:F74">
    <cfRule type="cellIs" dxfId="570" priority="277" operator="greaterThan">
      <formula>$D63</formula>
    </cfRule>
    <cfRule type="cellIs" dxfId="569" priority="278" operator="lessThanOrEqual">
      <formula>$D63</formula>
    </cfRule>
  </conditionalFormatting>
  <conditionalFormatting sqref="G44">
    <cfRule type="cellIs" dxfId="568" priority="275" operator="greaterThan">
      <formula>$D44</formula>
    </cfRule>
    <cfRule type="cellIs" dxfId="567" priority="276" operator="lessThanOrEqual">
      <formula>$D44</formula>
    </cfRule>
  </conditionalFormatting>
  <conditionalFormatting sqref="G45">
    <cfRule type="cellIs" dxfId="566" priority="273" operator="greaterThan">
      <formula>$D45</formula>
    </cfRule>
    <cfRule type="cellIs" dxfId="565" priority="274" operator="lessThanOrEqual">
      <formula>$D45</formula>
    </cfRule>
  </conditionalFormatting>
  <conditionalFormatting sqref="G46">
    <cfRule type="cellIs" dxfId="564" priority="271" operator="greaterThan">
      <formula>$D46</formula>
    </cfRule>
    <cfRule type="cellIs" dxfId="563" priority="272" operator="lessThanOrEqual">
      <formula>$D46</formula>
    </cfRule>
  </conditionalFormatting>
  <conditionalFormatting sqref="G47">
    <cfRule type="cellIs" dxfId="562" priority="269" operator="greaterThan">
      <formula>$D47</formula>
    </cfRule>
    <cfRule type="cellIs" dxfId="561" priority="270" operator="lessThanOrEqual">
      <formula>$D47</formula>
    </cfRule>
  </conditionalFormatting>
  <conditionalFormatting sqref="G52">
    <cfRule type="cellIs" dxfId="560" priority="267" operator="greaterThan">
      <formula>$D52</formula>
    </cfRule>
    <cfRule type="cellIs" dxfId="559" priority="268" operator="lessThanOrEqual">
      <formula>$D52</formula>
    </cfRule>
  </conditionalFormatting>
  <conditionalFormatting sqref="G56:G57">
    <cfRule type="cellIs" dxfId="558" priority="265" operator="greaterThan">
      <formula>$D56</formula>
    </cfRule>
    <cfRule type="cellIs" dxfId="557" priority="266" operator="lessThanOrEqual">
      <formula>$D56</formula>
    </cfRule>
  </conditionalFormatting>
  <conditionalFormatting sqref="G59:G61">
    <cfRule type="cellIs" dxfId="556" priority="263" operator="greaterThan">
      <formula>$D59</formula>
    </cfRule>
    <cfRule type="cellIs" dxfId="555" priority="264" operator="lessThanOrEqual">
      <formula>$D59</formula>
    </cfRule>
  </conditionalFormatting>
  <conditionalFormatting sqref="G62">
    <cfRule type="cellIs" dxfId="554" priority="261" operator="greaterThan">
      <formula>$D62</formula>
    </cfRule>
    <cfRule type="cellIs" dxfId="553" priority="262" operator="lessThanOrEqual">
      <formula>$D62</formula>
    </cfRule>
  </conditionalFormatting>
  <conditionalFormatting sqref="G63:G74">
    <cfRule type="cellIs" dxfId="552" priority="259" operator="greaterThan">
      <formula>$D63</formula>
    </cfRule>
    <cfRule type="cellIs" dxfId="551" priority="260" operator="lessThanOrEqual">
      <formula>$D63</formula>
    </cfRule>
  </conditionalFormatting>
  <conditionalFormatting sqref="H44">
    <cfRule type="cellIs" dxfId="550" priority="257" operator="greaterThan">
      <formula>$D44</formula>
    </cfRule>
    <cfRule type="cellIs" dxfId="549" priority="258" operator="lessThanOrEqual">
      <formula>$D44</formula>
    </cfRule>
  </conditionalFormatting>
  <conditionalFormatting sqref="H45">
    <cfRule type="cellIs" dxfId="548" priority="255" operator="greaterThan">
      <formula>$D45</formula>
    </cfRule>
    <cfRule type="cellIs" dxfId="547" priority="256" operator="lessThanOrEqual">
      <formula>$D45</formula>
    </cfRule>
  </conditionalFormatting>
  <conditionalFormatting sqref="H46">
    <cfRule type="cellIs" dxfId="546" priority="253" operator="greaterThan">
      <formula>$D46</formula>
    </cfRule>
    <cfRule type="cellIs" dxfId="545" priority="254" operator="lessThanOrEqual">
      <formula>$D46</formula>
    </cfRule>
  </conditionalFormatting>
  <conditionalFormatting sqref="H47">
    <cfRule type="cellIs" dxfId="544" priority="251" operator="greaterThan">
      <formula>$D47</formula>
    </cfRule>
    <cfRule type="cellIs" dxfId="543" priority="252" operator="lessThanOrEqual">
      <formula>$D47</formula>
    </cfRule>
  </conditionalFormatting>
  <conditionalFormatting sqref="H52">
    <cfRule type="cellIs" dxfId="542" priority="249" operator="greaterThan">
      <formula>$D52</formula>
    </cfRule>
    <cfRule type="cellIs" dxfId="541" priority="250" operator="lessThanOrEqual">
      <formula>$D52</formula>
    </cfRule>
  </conditionalFormatting>
  <conditionalFormatting sqref="H56:H57">
    <cfRule type="cellIs" dxfId="540" priority="247" operator="greaterThan">
      <formula>$D56</formula>
    </cfRule>
    <cfRule type="cellIs" dxfId="539" priority="248" operator="lessThanOrEqual">
      <formula>$D56</formula>
    </cfRule>
  </conditionalFormatting>
  <conditionalFormatting sqref="H59:H61">
    <cfRule type="cellIs" dxfId="538" priority="245" operator="greaterThan">
      <formula>$D59</formula>
    </cfRule>
    <cfRule type="cellIs" dxfId="537" priority="246" operator="lessThanOrEqual">
      <formula>$D59</formula>
    </cfRule>
  </conditionalFormatting>
  <conditionalFormatting sqref="H62">
    <cfRule type="cellIs" dxfId="536" priority="243" operator="greaterThan">
      <formula>$D62</formula>
    </cfRule>
    <cfRule type="cellIs" dxfId="535" priority="244" operator="lessThanOrEqual">
      <formula>$D62</formula>
    </cfRule>
  </conditionalFormatting>
  <conditionalFormatting sqref="H63:H74">
    <cfRule type="cellIs" dxfId="534" priority="241" operator="greaterThan">
      <formula>$D63</formula>
    </cfRule>
    <cfRule type="cellIs" dxfId="533" priority="242" operator="lessThanOrEqual">
      <formula>$D63</formula>
    </cfRule>
  </conditionalFormatting>
  <conditionalFormatting sqref="I44">
    <cfRule type="cellIs" dxfId="532" priority="239" operator="greaterThan">
      <formula>$D44</formula>
    </cfRule>
    <cfRule type="cellIs" dxfId="531" priority="240" operator="lessThanOrEqual">
      <formula>$D44</formula>
    </cfRule>
  </conditionalFormatting>
  <conditionalFormatting sqref="I45">
    <cfRule type="cellIs" dxfId="530" priority="237" operator="greaterThan">
      <formula>$D45</formula>
    </cfRule>
    <cfRule type="cellIs" dxfId="529" priority="238" operator="lessThanOrEqual">
      <formula>$D45</formula>
    </cfRule>
  </conditionalFormatting>
  <conditionalFormatting sqref="I46">
    <cfRule type="cellIs" dxfId="528" priority="235" operator="greaterThan">
      <formula>$D46</formula>
    </cfRule>
    <cfRule type="cellIs" dxfId="527" priority="236" operator="lessThanOrEqual">
      <formula>$D46</formula>
    </cfRule>
  </conditionalFormatting>
  <conditionalFormatting sqref="I47">
    <cfRule type="cellIs" dxfId="526" priority="233" operator="greaterThan">
      <formula>$D47</formula>
    </cfRule>
    <cfRule type="cellIs" dxfId="525" priority="234" operator="lessThanOrEqual">
      <formula>$D47</formula>
    </cfRule>
  </conditionalFormatting>
  <conditionalFormatting sqref="I52">
    <cfRule type="cellIs" dxfId="524" priority="231" operator="greaterThan">
      <formula>$D52</formula>
    </cfRule>
    <cfRule type="cellIs" dxfId="523" priority="232" operator="lessThanOrEqual">
      <formula>$D52</formula>
    </cfRule>
  </conditionalFormatting>
  <conditionalFormatting sqref="I56:I57">
    <cfRule type="cellIs" dxfId="522" priority="229" operator="greaterThan">
      <formula>$D56</formula>
    </cfRule>
    <cfRule type="cellIs" dxfId="521" priority="230" operator="lessThanOrEqual">
      <formula>$D56</formula>
    </cfRule>
  </conditionalFormatting>
  <conditionalFormatting sqref="I59:I61">
    <cfRule type="cellIs" dxfId="520" priority="227" operator="greaterThan">
      <formula>$D59</formula>
    </cfRule>
    <cfRule type="cellIs" dxfId="519" priority="228" operator="lessThanOrEqual">
      <formula>$D59</formula>
    </cfRule>
  </conditionalFormatting>
  <conditionalFormatting sqref="I62">
    <cfRule type="cellIs" dxfId="518" priority="225" operator="greaterThan">
      <formula>$D62</formula>
    </cfRule>
    <cfRule type="cellIs" dxfId="517" priority="226" operator="lessThanOrEqual">
      <formula>$D62</formula>
    </cfRule>
  </conditionalFormatting>
  <conditionalFormatting sqref="I63:I74">
    <cfRule type="cellIs" dxfId="516" priority="223" operator="greaterThan">
      <formula>$D63</formula>
    </cfRule>
    <cfRule type="cellIs" dxfId="515" priority="224" operator="lessThanOrEqual">
      <formula>$D63</formula>
    </cfRule>
  </conditionalFormatting>
  <conditionalFormatting sqref="J44">
    <cfRule type="cellIs" dxfId="514" priority="221" operator="greaterThan">
      <formula>$D44</formula>
    </cfRule>
    <cfRule type="cellIs" dxfId="513" priority="222" operator="lessThanOrEqual">
      <formula>$D44</formula>
    </cfRule>
  </conditionalFormatting>
  <conditionalFormatting sqref="J45">
    <cfRule type="cellIs" dxfId="512" priority="219" operator="greaterThan">
      <formula>$D45</formula>
    </cfRule>
    <cfRule type="cellIs" dxfId="511" priority="220" operator="lessThanOrEqual">
      <formula>$D45</formula>
    </cfRule>
  </conditionalFormatting>
  <conditionalFormatting sqref="J46">
    <cfRule type="cellIs" dxfId="510" priority="217" operator="greaterThan">
      <formula>$D46</formula>
    </cfRule>
    <cfRule type="cellIs" dxfId="509" priority="218" operator="lessThanOrEqual">
      <formula>$D46</formula>
    </cfRule>
  </conditionalFormatting>
  <conditionalFormatting sqref="J47">
    <cfRule type="cellIs" dxfId="508" priority="215" operator="greaterThan">
      <formula>$D47</formula>
    </cfRule>
    <cfRule type="cellIs" dxfId="507" priority="216" operator="lessThanOrEqual">
      <formula>$D47</formula>
    </cfRule>
  </conditionalFormatting>
  <conditionalFormatting sqref="J52">
    <cfRule type="cellIs" dxfId="506" priority="213" operator="greaterThan">
      <formula>$D52</formula>
    </cfRule>
    <cfRule type="cellIs" dxfId="505" priority="214" operator="lessThanOrEqual">
      <formula>$D52</formula>
    </cfRule>
  </conditionalFormatting>
  <conditionalFormatting sqref="J56:J57">
    <cfRule type="cellIs" dxfId="504" priority="211" operator="greaterThan">
      <formula>$D56</formula>
    </cfRule>
    <cfRule type="cellIs" dxfId="503" priority="212" operator="lessThanOrEqual">
      <formula>$D56</formula>
    </cfRule>
  </conditionalFormatting>
  <conditionalFormatting sqref="J59:J61">
    <cfRule type="cellIs" dxfId="502" priority="209" operator="greaterThan">
      <formula>$D59</formula>
    </cfRule>
    <cfRule type="cellIs" dxfId="501" priority="210" operator="lessThanOrEqual">
      <formula>$D59</formula>
    </cfRule>
  </conditionalFormatting>
  <conditionalFormatting sqref="J62">
    <cfRule type="cellIs" dxfId="500" priority="207" operator="greaterThan">
      <formula>$D62</formula>
    </cfRule>
    <cfRule type="cellIs" dxfId="499" priority="208" operator="lessThanOrEqual">
      <formula>$D62</formula>
    </cfRule>
  </conditionalFormatting>
  <conditionalFormatting sqref="J63:J74">
    <cfRule type="cellIs" dxfId="498" priority="205" operator="greaterThan">
      <formula>$D63</formula>
    </cfRule>
    <cfRule type="cellIs" dxfId="497" priority="206" operator="lessThanOrEqual">
      <formula>$D63</formula>
    </cfRule>
  </conditionalFormatting>
  <conditionalFormatting sqref="K44">
    <cfRule type="cellIs" dxfId="496" priority="203" operator="greaterThan">
      <formula>$D44</formula>
    </cfRule>
    <cfRule type="cellIs" dxfId="495" priority="204" operator="lessThanOrEqual">
      <formula>$D44</formula>
    </cfRule>
  </conditionalFormatting>
  <conditionalFormatting sqref="K45">
    <cfRule type="cellIs" dxfId="494" priority="201" operator="greaterThan">
      <formula>$D45</formula>
    </cfRule>
    <cfRule type="cellIs" dxfId="493" priority="202" operator="lessThanOrEqual">
      <formula>$D45</formula>
    </cfRule>
  </conditionalFormatting>
  <conditionalFormatting sqref="K46">
    <cfRule type="cellIs" dxfId="492" priority="199" operator="greaterThan">
      <formula>$D46</formula>
    </cfRule>
    <cfRule type="cellIs" dxfId="491" priority="200" operator="lessThanOrEqual">
      <formula>$D46</formula>
    </cfRule>
  </conditionalFormatting>
  <conditionalFormatting sqref="K47">
    <cfRule type="cellIs" dxfId="490" priority="197" operator="greaterThan">
      <formula>$D47</formula>
    </cfRule>
    <cfRule type="cellIs" dxfId="489" priority="198" operator="lessThanOrEqual">
      <formula>$D47</formula>
    </cfRule>
  </conditionalFormatting>
  <conditionalFormatting sqref="K52">
    <cfRule type="cellIs" dxfId="488" priority="195" operator="greaterThan">
      <formula>$D52</formula>
    </cfRule>
    <cfRule type="cellIs" dxfId="487" priority="196" operator="lessThanOrEqual">
      <formula>$D52</formula>
    </cfRule>
  </conditionalFormatting>
  <conditionalFormatting sqref="K56:K57">
    <cfRule type="cellIs" dxfId="486" priority="193" operator="greaterThan">
      <formula>$D56</formula>
    </cfRule>
    <cfRule type="cellIs" dxfId="485" priority="194" operator="lessThanOrEqual">
      <formula>$D56</formula>
    </cfRule>
  </conditionalFormatting>
  <conditionalFormatting sqref="K59:K61">
    <cfRule type="cellIs" dxfId="484" priority="191" operator="greaterThan">
      <formula>$D59</formula>
    </cfRule>
    <cfRule type="cellIs" dxfId="483" priority="192" operator="lessThanOrEqual">
      <formula>$D59</formula>
    </cfRule>
  </conditionalFormatting>
  <conditionalFormatting sqref="K62">
    <cfRule type="cellIs" dxfId="482" priority="189" operator="greaterThan">
      <formula>$D62</formula>
    </cfRule>
    <cfRule type="cellIs" dxfId="481" priority="190" operator="lessThanOrEqual">
      <formula>$D62</formula>
    </cfRule>
  </conditionalFormatting>
  <conditionalFormatting sqref="K63:K74">
    <cfRule type="cellIs" dxfId="480" priority="187" operator="greaterThan">
      <formula>$D63</formula>
    </cfRule>
    <cfRule type="cellIs" dxfId="479" priority="188" operator="lessThanOrEqual">
      <formula>$D63</formula>
    </cfRule>
  </conditionalFormatting>
  <conditionalFormatting sqref="L44">
    <cfRule type="cellIs" dxfId="478" priority="185" operator="greaterThan">
      <formula>$D44</formula>
    </cfRule>
    <cfRule type="cellIs" dxfId="477" priority="186" operator="lessThanOrEqual">
      <formula>$D44</formula>
    </cfRule>
  </conditionalFormatting>
  <conditionalFormatting sqref="L45">
    <cfRule type="cellIs" dxfId="476" priority="183" operator="greaterThan">
      <formula>$D45</formula>
    </cfRule>
    <cfRule type="cellIs" dxfId="475" priority="184" operator="lessThanOrEqual">
      <formula>$D45</formula>
    </cfRule>
  </conditionalFormatting>
  <conditionalFormatting sqref="L46">
    <cfRule type="cellIs" dxfId="474" priority="181" operator="greaterThan">
      <formula>$D46</formula>
    </cfRule>
    <cfRule type="cellIs" dxfId="473" priority="182" operator="lessThanOrEqual">
      <formula>$D46</formula>
    </cfRule>
  </conditionalFormatting>
  <conditionalFormatting sqref="L47">
    <cfRule type="cellIs" dxfId="472" priority="179" operator="greaterThan">
      <formula>$D47</formula>
    </cfRule>
    <cfRule type="cellIs" dxfId="471" priority="180" operator="lessThanOrEqual">
      <formula>$D47</formula>
    </cfRule>
  </conditionalFormatting>
  <conditionalFormatting sqref="L52">
    <cfRule type="cellIs" dxfId="470" priority="177" operator="greaterThan">
      <formula>$D52</formula>
    </cfRule>
    <cfRule type="cellIs" dxfId="469" priority="178" operator="lessThanOrEqual">
      <formula>$D52</formula>
    </cfRule>
  </conditionalFormatting>
  <conditionalFormatting sqref="L56:L57">
    <cfRule type="cellIs" dxfId="468" priority="175" operator="greaterThan">
      <formula>$D56</formula>
    </cfRule>
    <cfRule type="cellIs" dxfId="467" priority="176" operator="lessThanOrEqual">
      <formula>$D56</formula>
    </cfRule>
  </conditionalFormatting>
  <conditionalFormatting sqref="L59:L61">
    <cfRule type="cellIs" dxfId="466" priority="173" operator="greaterThan">
      <formula>$D59</formula>
    </cfRule>
    <cfRule type="cellIs" dxfId="465" priority="174" operator="lessThanOrEqual">
      <formula>$D59</formula>
    </cfRule>
  </conditionalFormatting>
  <conditionalFormatting sqref="L62">
    <cfRule type="cellIs" dxfId="464" priority="171" operator="greaterThan">
      <formula>$D62</formula>
    </cfRule>
    <cfRule type="cellIs" dxfId="463" priority="172" operator="lessThanOrEqual">
      <formula>$D62</formula>
    </cfRule>
  </conditionalFormatting>
  <conditionalFormatting sqref="L63:L74">
    <cfRule type="cellIs" dxfId="462" priority="169" operator="greaterThan">
      <formula>$D63</formula>
    </cfRule>
    <cfRule type="cellIs" dxfId="461" priority="170" operator="lessThanOrEqual">
      <formula>$D63</formula>
    </cfRule>
  </conditionalFormatting>
  <conditionalFormatting sqref="M44">
    <cfRule type="cellIs" dxfId="460" priority="167" operator="greaterThan">
      <formula>$D44</formula>
    </cfRule>
    <cfRule type="cellIs" dxfId="459" priority="168" operator="lessThanOrEqual">
      <formula>$D44</formula>
    </cfRule>
  </conditionalFormatting>
  <conditionalFormatting sqref="M45">
    <cfRule type="cellIs" dxfId="458" priority="165" operator="greaterThan">
      <formula>$D45</formula>
    </cfRule>
    <cfRule type="cellIs" dxfId="457" priority="166" operator="lessThanOrEqual">
      <formula>$D45</formula>
    </cfRule>
  </conditionalFormatting>
  <conditionalFormatting sqref="M46">
    <cfRule type="cellIs" dxfId="456" priority="163" operator="greaterThan">
      <formula>$D46</formula>
    </cfRule>
    <cfRule type="cellIs" dxfId="455" priority="164" operator="lessThanOrEqual">
      <formula>$D46</formula>
    </cfRule>
  </conditionalFormatting>
  <conditionalFormatting sqref="M47">
    <cfRule type="cellIs" dxfId="454" priority="161" operator="greaterThan">
      <formula>$D47</formula>
    </cfRule>
    <cfRule type="cellIs" dxfId="453" priority="162" operator="lessThanOrEqual">
      <formula>$D47</formula>
    </cfRule>
  </conditionalFormatting>
  <conditionalFormatting sqref="M52">
    <cfRule type="cellIs" dxfId="452" priority="159" operator="greaterThan">
      <formula>$D52</formula>
    </cfRule>
    <cfRule type="cellIs" dxfId="451" priority="160" operator="lessThanOrEqual">
      <formula>$D52</formula>
    </cfRule>
  </conditionalFormatting>
  <conditionalFormatting sqref="M56:M57">
    <cfRule type="cellIs" dxfId="450" priority="157" operator="greaterThan">
      <formula>$D56</formula>
    </cfRule>
    <cfRule type="cellIs" dxfId="449" priority="158" operator="lessThanOrEqual">
      <formula>$D56</formula>
    </cfRule>
  </conditionalFormatting>
  <conditionalFormatting sqref="M59:M61">
    <cfRule type="cellIs" dxfId="448" priority="155" operator="greaterThan">
      <formula>$D59</formula>
    </cfRule>
    <cfRule type="cellIs" dxfId="447" priority="156" operator="lessThanOrEqual">
      <formula>$D59</formula>
    </cfRule>
  </conditionalFormatting>
  <conditionalFormatting sqref="M62">
    <cfRule type="cellIs" dxfId="446" priority="153" operator="greaterThan">
      <formula>$D62</formula>
    </cfRule>
    <cfRule type="cellIs" dxfId="445" priority="154" operator="lessThanOrEqual">
      <formula>$D62</formula>
    </cfRule>
  </conditionalFormatting>
  <conditionalFormatting sqref="M63:M74">
    <cfRule type="cellIs" dxfId="444" priority="151" operator="greaterThan">
      <formula>$D63</formula>
    </cfRule>
    <cfRule type="cellIs" dxfId="443" priority="152" operator="lessThanOrEqual">
      <formula>$D63</formula>
    </cfRule>
  </conditionalFormatting>
  <conditionalFormatting sqref="N44">
    <cfRule type="cellIs" dxfId="442" priority="149" operator="greaterThan">
      <formula>$D44</formula>
    </cfRule>
    <cfRule type="cellIs" dxfId="441" priority="150" operator="lessThanOrEqual">
      <formula>$D44</formula>
    </cfRule>
  </conditionalFormatting>
  <conditionalFormatting sqref="N45">
    <cfRule type="cellIs" dxfId="440" priority="147" operator="greaterThan">
      <formula>$D45</formula>
    </cfRule>
    <cfRule type="cellIs" dxfId="439" priority="148" operator="lessThanOrEqual">
      <formula>$D45</formula>
    </cfRule>
  </conditionalFormatting>
  <conditionalFormatting sqref="N46">
    <cfRule type="cellIs" dxfId="438" priority="145" operator="greaterThan">
      <formula>$D46</formula>
    </cfRule>
    <cfRule type="cellIs" dxfId="437" priority="146" operator="lessThanOrEqual">
      <formula>$D46</formula>
    </cfRule>
  </conditionalFormatting>
  <conditionalFormatting sqref="N47">
    <cfRule type="cellIs" dxfId="436" priority="143" operator="greaterThan">
      <formula>$D47</formula>
    </cfRule>
    <cfRule type="cellIs" dxfId="435" priority="144" operator="lessThanOrEqual">
      <formula>$D47</formula>
    </cfRule>
  </conditionalFormatting>
  <conditionalFormatting sqref="N52">
    <cfRule type="cellIs" dxfId="434" priority="141" operator="greaterThan">
      <formula>$D52</formula>
    </cfRule>
    <cfRule type="cellIs" dxfId="433" priority="142" operator="lessThanOrEqual">
      <formula>$D52</formula>
    </cfRule>
  </conditionalFormatting>
  <conditionalFormatting sqref="N56:N57">
    <cfRule type="cellIs" dxfId="432" priority="139" operator="greaterThan">
      <formula>$D56</formula>
    </cfRule>
    <cfRule type="cellIs" dxfId="431" priority="140" operator="lessThanOrEqual">
      <formula>$D56</formula>
    </cfRule>
  </conditionalFormatting>
  <conditionalFormatting sqref="N59:N61">
    <cfRule type="cellIs" dxfId="430" priority="137" operator="greaterThan">
      <formula>$D59</formula>
    </cfRule>
    <cfRule type="cellIs" dxfId="429" priority="138" operator="lessThanOrEqual">
      <formula>$D59</formula>
    </cfRule>
  </conditionalFormatting>
  <conditionalFormatting sqref="N62">
    <cfRule type="cellIs" dxfId="428" priority="135" operator="greaterThan">
      <formula>$D62</formula>
    </cfRule>
    <cfRule type="cellIs" dxfId="427" priority="136" operator="lessThanOrEqual">
      <formula>$D62</formula>
    </cfRule>
  </conditionalFormatting>
  <conditionalFormatting sqref="N63:N74">
    <cfRule type="cellIs" dxfId="426" priority="133" operator="greaterThan">
      <formula>$D63</formula>
    </cfRule>
    <cfRule type="cellIs" dxfId="425" priority="134" operator="lessThanOrEqual">
      <formula>$D63</formula>
    </cfRule>
  </conditionalFormatting>
  <conditionalFormatting sqref="O44">
    <cfRule type="cellIs" dxfId="424" priority="131" operator="greaterThan">
      <formula>$D44</formula>
    </cfRule>
    <cfRule type="cellIs" dxfId="423" priority="132" operator="lessThanOrEqual">
      <formula>$D44</formula>
    </cfRule>
  </conditionalFormatting>
  <conditionalFormatting sqref="O45">
    <cfRule type="cellIs" dxfId="422" priority="129" operator="greaterThan">
      <formula>$D45</formula>
    </cfRule>
    <cfRule type="cellIs" dxfId="421" priority="130" operator="lessThanOrEqual">
      <formula>$D45</formula>
    </cfRule>
  </conditionalFormatting>
  <conditionalFormatting sqref="O46">
    <cfRule type="cellIs" dxfId="420" priority="127" operator="greaterThan">
      <formula>$D46</formula>
    </cfRule>
    <cfRule type="cellIs" dxfId="419" priority="128" operator="lessThanOrEqual">
      <formula>$D46</formula>
    </cfRule>
  </conditionalFormatting>
  <conditionalFormatting sqref="O47">
    <cfRule type="cellIs" dxfId="418" priority="125" operator="greaterThan">
      <formula>$D47</formula>
    </cfRule>
    <cfRule type="cellIs" dxfId="417" priority="126" operator="lessThanOrEqual">
      <formula>$D47</formula>
    </cfRule>
  </conditionalFormatting>
  <conditionalFormatting sqref="O52">
    <cfRule type="cellIs" dxfId="416" priority="123" operator="greaterThan">
      <formula>$D52</formula>
    </cfRule>
    <cfRule type="cellIs" dxfId="415" priority="124" operator="lessThanOrEqual">
      <formula>$D52</formula>
    </cfRule>
  </conditionalFormatting>
  <conditionalFormatting sqref="O56:O57">
    <cfRule type="cellIs" dxfId="414" priority="121" operator="greaterThan">
      <formula>$D56</formula>
    </cfRule>
    <cfRule type="cellIs" dxfId="413" priority="122" operator="lessThanOrEqual">
      <formula>$D56</formula>
    </cfRule>
  </conditionalFormatting>
  <conditionalFormatting sqref="O59:O61">
    <cfRule type="cellIs" dxfId="412" priority="119" operator="greaterThan">
      <formula>$D59</formula>
    </cfRule>
    <cfRule type="cellIs" dxfId="411" priority="120" operator="lessThanOrEqual">
      <formula>$D59</formula>
    </cfRule>
  </conditionalFormatting>
  <conditionalFormatting sqref="O62">
    <cfRule type="cellIs" dxfId="410" priority="117" operator="greaterThan">
      <formula>$D62</formula>
    </cfRule>
    <cfRule type="cellIs" dxfId="409" priority="118" operator="lessThanOrEqual">
      <formula>$D62</formula>
    </cfRule>
  </conditionalFormatting>
  <conditionalFormatting sqref="O63:O74">
    <cfRule type="cellIs" dxfId="408" priority="115" operator="greaterThan">
      <formula>$D63</formula>
    </cfRule>
    <cfRule type="cellIs" dxfId="407" priority="116" operator="lessThanOrEqual">
      <formula>$D63</formula>
    </cfRule>
  </conditionalFormatting>
  <conditionalFormatting sqref="P44">
    <cfRule type="cellIs" dxfId="406" priority="113" operator="greaterThan">
      <formula>$D44</formula>
    </cfRule>
    <cfRule type="cellIs" dxfId="405" priority="114" operator="lessThanOrEqual">
      <formula>$D44</formula>
    </cfRule>
  </conditionalFormatting>
  <conditionalFormatting sqref="P45">
    <cfRule type="cellIs" dxfId="404" priority="111" operator="greaterThan">
      <formula>$D45</formula>
    </cfRule>
    <cfRule type="cellIs" dxfId="403" priority="112" operator="lessThanOrEqual">
      <formula>$D45</formula>
    </cfRule>
  </conditionalFormatting>
  <conditionalFormatting sqref="P46">
    <cfRule type="cellIs" dxfId="402" priority="109" operator="greaterThan">
      <formula>$D46</formula>
    </cfRule>
    <cfRule type="cellIs" dxfId="401" priority="110" operator="lessThanOrEqual">
      <formula>$D46</formula>
    </cfRule>
  </conditionalFormatting>
  <conditionalFormatting sqref="P47">
    <cfRule type="cellIs" dxfId="400" priority="107" operator="greaterThan">
      <formula>$D47</formula>
    </cfRule>
    <cfRule type="cellIs" dxfId="399" priority="108" operator="lessThanOrEqual">
      <formula>$D47</formula>
    </cfRule>
  </conditionalFormatting>
  <conditionalFormatting sqref="P52">
    <cfRule type="cellIs" dxfId="398" priority="105" operator="greaterThan">
      <formula>$D52</formula>
    </cfRule>
    <cfRule type="cellIs" dxfId="397" priority="106" operator="lessThanOrEqual">
      <formula>$D52</formula>
    </cfRule>
  </conditionalFormatting>
  <conditionalFormatting sqref="P56:P57">
    <cfRule type="cellIs" dxfId="396" priority="103" operator="greaterThan">
      <formula>$D56</formula>
    </cfRule>
    <cfRule type="cellIs" dxfId="395" priority="104" operator="lessThanOrEqual">
      <formula>$D56</formula>
    </cfRule>
  </conditionalFormatting>
  <conditionalFormatting sqref="P59:P61">
    <cfRule type="cellIs" dxfId="394" priority="101" operator="greaterThan">
      <formula>$D59</formula>
    </cfRule>
    <cfRule type="cellIs" dxfId="393" priority="102" operator="lessThanOrEqual">
      <formula>$D59</formula>
    </cfRule>
  </conditionalFormatting>
  <conditionalFormatting sqref="P62">
    <cfRule type="cellIs" dxfId="392" priority="99" operator="greaterThan">
      <formula>$D62</formula>
    </cfRule>
    <cfRule type="cellIs" dxfId="391" priority="100" operator="lessThanOrEqual">
      <formula>$D62</formula>
    </cfRule>
  </conditionalFormatting>
  <conditionalFormatting sqref="P63:P74">
    <cfRule type="cellIs" dxfId="390" priority="97" operator="greaterThan">
      <formula>$D63</formula>
    </cfRule>
    <cfRule type="cellIs" dxfId="389" priority="98" operator="lessThanOrEqual">
      <formula>$D63</formula>
    </cfRule>
  </conditionalFormatting>
  <conditionalFormatting sqref="Q44">
    <cfRule type="cellIs" dxfId="388" priority="95" operator="greaterThan">
      <formula>$D44</formula>
    </cfRule>
    <cfRule type="cellIs" dxfId="387" priority="96" operator="lessThanOrEqual">
      <formula>$D44</formula>
    </cfRule>
  </conditionalFormatting>
  <conditionalFormatting sqref="Q45">
    <cfRule type="cellIs" dxfId="386" priority="93" operator="greaterThan">
      <formula>$D45</formula>
    </cfRule>
    <cfRule type="cellIs" dxfId="385" priority="94" operator="lessThanOrEqual">
      <formula>$D45</formula>
    </cfRule>
  </conditionalFormatting>
  <conditionalFormatting sqref="Q46">
    <cfRule type="cellIs" dxfId="384" priority="91" operator="greaterThan">
      <formula>$D46</formula>
    </cfRule>
    <cfRule type="cellIs" dxfId="383" priority="92" operator="lessThanOrEqual">
      <formula>$D46</formula>
    </cfRule>
  </conditionalFormatting>
  <conditionalFormatting sqref="Q47">
    <cfRule type="cellIs" dxfId="382" priority="89" operator="greaterThan">
      <formula>$D47</formula>
    </cfRule>
    <cfRule type="cellIs" dxfId="381" priority="90" operator="lessThanOrEqual">
      <formula>$D47</formula>
    </cfRule>
  </conditionalFormatting>
  <conditionalFormatting sqref="Q52">
    <cfRule type="cellIs" dxfId="380" priority="87" operator="greaterThan">
      <formula>$D52</formula>
    </cfRule>
    <cfRule type="cellIs" dxfId="379" priority="88" operator="lessThanOrEqual">
      <formula>$D52</formula>
    </cfRule>
  </conditionalFormatting>
  <conditionalFormatting sqref="Q56:Q57">
    <cfRule type="cellIs" dxfId="378" priority="85" operator="greaterThan">
      <formula>$D56</formula>
    </cfRule>
    <cfRule type="cellIs" dxfId="377" priority="86" operator="lessThanOrEqual">
      <formula>$D56</formula>
    </cfRule>
  </conditionalFormatting>
  <conditionalFormatting sqref="Q59:Q61">
    <cfRule type="cellIs" dxfId="376" priority="83" operator="greaterThan">
      <formula>$D59</formula>
    </cfRule>
    <cfRule type="cellIs" dxfId="375" priority="84" operator="lessThanOrEqual">
      <formula>$D59</formula>
    </cfRule>
  </conditionalFormatting>
  <conditionalFormatting sqref="Q62">
    <cfRule type="cellIs" dxfId="374" priority="81" operator="greaterThan">
      <formula>$D62</formula>
    </cfRule>
    <cfRule type="cellIs" dxfId="373" priority="82" operator="lessThanOrEqual">
      <formula>$D62</formula>
    </cfRule>
  </conditionalFormatting>
  <conditionalFormatting sqref="Q63:Q74">
    <cfRule type="cellIs" dxfId="372" priority="79" operator="greaterThan">
      <formula>$D63</formula>
    </cfRule>
    <cfRule type="cellIs" dxfId="371" priority="80" operator="lessThanOrEqual">
      <formula>$D63</formula>
    </cfRule>
  </conditionalFormatting>
  <conditionalFormatting sqref="E77">
    <cfRule type="cellIs" dxfId="370" priority="77" operator="greaterThan">
      <formula>$D77</formula>
    </cfRule>
    <cfRule type="cellIs" dxfId="369" priority="78" operator="lessThanOrEqual">
      <formula>$D77</formula>
    </cfRule>
  </conditionalFormatting>
  <conditionalFormatting sqref="F77">
    <cfRule type="cellIs" dxfId="368" priority="75" operator="greaterThan">
      <formula>$D77</formula>
    </cfRule>
    <cfRule type="cellIs" dxfId="367" priority="76" operator="lessThanOrEqual">
      <formula>$D77</formula>
    </cfRule>
  </conditionalFormatting>
  <conditionalFormatting sqref="G77">
    <cfRule type="cellIs" dxfId="366" priority="73" operator="greaterThan">
      <formula>$D77</formula>
    </cfRule>
    <cfRule type="cellIs" dxfId="365" priority="74" operator="lessThanOrEqual">
      <formula>$D77</formula>
    </cfRule>
  </conditionalFormatting>
  <conditionalFormatting sqref="H77">
    <cfRule type="cellIs" dxfId="364" priority="71" operator="greaterThan">
      <formula>$D77</formula>
    </cfRule>
    <cfRule type="cellIs" dxfId="363" priority="72" operator="lessThanOrEqual">
      <formula>$D77</formula>
    </cfRule>
  </conditionalFormatting>
  <conditionalFormatting sqref="I77">
    <cfRule type="cellIs" dxfId="362" priority="69" operator="greaterThan">
      <formula>$D77</formula>
    </cfRule>
    <cfRule type="cellIs" dxfId="361" priority="70" operator="lessThanOrEqual">
      <formula>$D77</formula>
    </cfRule>
  </conditionalFormatting>
  <conditionalFormatting sqref="J77">
    <cfRule type="cellIs" dxfId="360" priority="67" operator="greaterThan">
      <formula>$D77</formula>
    </cfRule>
    <cfRule type="cellIs" dxfId="359" priority="68" operator="lessThanOrEqual">
      <formula>$D77</formula>
    </cfRule>
  </conditionalFormatting>
  <conditionalFormatting sqref="K77">
    <cfRule type="cellIs" dxfId="358" priority="65" operator="greaterThan">
      <formula>$D77</formula>
    </cfRule>
    <cfRule type="cellIs" dxfId="357" priority="66" operator="lessThanOrEqual">
      <formula>$D77</formula>
    </cfRule>
  </conditionalFormatting>
  <conditionalFormatting sqref="L77">
    <cfRule type="cellIs" dxfId="356" priority="63" operator="greaterThan">
      <formula>$D77</formula>
    </cfRule>
    <cfRule type="cellIs" dxfId="355" priority="64" operator="lessThanOrEqual">
      <formula>$D77</formula>
    </cfRule>
  </conditionalFormatting>
  <conditionalFormatting sqref="M77">
    <cfRule type="cellIs" dxfId="354" priority="61" operator="greaterThan">
      <formula>$D77</formula>
    </cfRule>
    <cfRule type="cellIs" dxfId="353" priority="62" operator="lessThanOrEqual">
      <formula>$D77</formula>
    </cfRule>
  </conditionalFormatting>
  <conditionalFormatting sqref="N77">
    <cfRule type="cellIs" dxfId="352" priority="59" operator="greaterThan">
      <formula>$D77</formula>
    </cfRule>
    <cfRule type="cellIs" dxfId="351" priority="60" operator="lessThanOrEqual">
      <formula>$D77</formula>
    </cfRule>
  </conditionalFormatting>
  <conditionalFormatting sqref="O77">
    <cfRule type="cellIs" dxfId="350" priority="57" operator="greaterThan">
      <formula>$D77</formula>
    </cfRule>
    <cfRule type="cellIs" dxfId="349" priority="58" operator="lessThanOrEqual">
      <formula>$D77</formula>
    </cfRule>
  </conditionalFormatting>
  <conditionalFormatting sqref="P77">
    <cfRule type="cellIs" dxfId="348" priority="55" operator="greaterThan">
      <formula>$D77</formula>
    </cfRule>
    <cfRule type="cellIs" dxfId="347" priority="56" operator="lessThanOrEqual">
      <formula>$D77</formula>
    </cfRule>
  </conditionalFormatting>
  <conditionalFormatting sqref="Q77:W77">
    <cfRule type="cellIs" dxfId="346" priority="53" operator="greaterThan">
      <formula>$D77</formula>
    </cfRule>
    <cfRule type="cellIs" dxfId="345" priority="54" operator="lessThanOrEqual">
      <formula>$D77</formula>
    </cfRule>
  </conditionalFormatting>
  <conditionalFormatting sqref="E79">
    <cfRule type="cellIs" dxfId="344" priority="51" operator="greaterThan">
      <formula>$D79</formula>
    </cfRule>
    <cfRule type="cellIs" dxfId="343" priority="52" operator="lessThanOrEqual">
      <formula>$D79</formula>
    </cfRule>
  </conditionalFormatting>
  <conditionalFormatting sqref="F79">
    <cfRule type="cellIs" dxfId="342" priority="49" operator="greaterThan">
      <formula>$D79</formula>
    </cfRule>
    <cfRule type="cellIs" dxfId="341" priority="50" operator="lessThanOrEqual">
      <formula>$D79</formula>
    </cfRule>
  </conditionalFormatting>
  <conditionalFormatting sqref="G79">
    <cfRule type="cellIs" dxfId="340" priority="47" operator="greaterThan">
      <formula>$D79</formula>
    </cfRule>
    <cfRule type="cellIs" dxfId="339" priority="48" operator="lessThanOrEqual">
      <formula>$D79</formula>
    </cfRule>
  </conditionalFormatting>
  <conditionalFormatting sqref="H79">
    <cfRule type="cellIs" dxfId="338" priority="45" operator="greaterThan">
      <formula>$D79</formula>
    </cfRule>
    <cfRule type="cellIs" dxfId="337" priority="46" operator="lessThanOrEqual">
      <formula>$D79</formula>
    </cfRule>
  </conditionalFormatting>
  <conditionalFormatting sqref="I79">
    <cfRule type="cellIs" dxfId="336" priority="43" operator="greaterThan">
      <formula>$D79</formula>
    </cfRule>
    <cfRule type="cellIs" dxfId="335" priority="44" operator="lessThanOrEqual">
      <formula>$D79</formula>
    </cfRule>
  </conditionalFormatting>
  <conditionalFormatting sqref="J79">
    <cfRule type="cellIs" dxfId="334" priority="41" operator="greaterThan">
      <formula>$D79</formula>
    </cfRule>
    <cfRule type="cellIs" dxfId="333" priority="42" operator="lessThanOrEqual">
      <formula>$D79</formula>
    </cfRule>
  </conditionalFormatting>
  <conditionalFormatting sqref="K79">
    <cfRule type="cellIs" dxfId="332" priority="39" operator="greaterThan">
      <formula>$D79</formula>
    </cfRule>
    <cfRule type="cellIs" dxfId="331" priority="40" operator="lessThanOrEqual">
      <formula>$D79</formula>
    </cfRule>
  </conditionalFormatting>
  <conditionalFormatting sqref="L79">
    <cfRule type="cellIs" dxfId="330" priority="37" operator="greaterThan">
      <formula>$D79</formula>
    </cfRule>
    <cfRule type="cellIs" dxfId="329" priority="38" operator="lessThanOrEqual">
      <formula>$D79</formula>
    </cfRule>
  </conditionalFormatting>
  <conditionalFormatting sqref="M79">
    <cfRule type="cellIs" dxfId="328" priority="35" operator="greaterThan">
      <formula>$D79</formula>
    </cfRule>
    <cfRule type="cellIs" dxfId="327" priority="36" operator="lessThanOrEqual">
      <formula>$D79</formula>
    </cfRule>
  </conditionalFormatting>
  <conditionalFormatting sqref="N79">
    <cfRule type="cellIs" dxfId="326" priority="33" operator="greaterThan">
      <formula>$D79</formula>
    </cfRule>
    <cfRule type="cellIs" dxfId="325" priority="34" operator="lessThanOrEqual">
      <formula>$D79</formula>
    </cfRule>
  </conditionalFormatting>
  <conditionalFormatting sqref="O79">
    <cfRule type="cellIs" dxfId="324" priority="31" operator="greaterThan">
      <formula>$D79</formula>
    </cfRule>
    <cfRule type="cellIs" dxfId="323" priority="32" operator="lessThanOrEqual">
      <formula>$D79</formula>
    </cfRule>
  </conditionalFormatting>
  <conditionalFormatting sqref="P79">
    <cfRule type="cellIs" dxfId="322" priority="29" operator="greaterThan">
      <formula>$D79</formula>
    </cfRule>
    <cfRule type="cellIs" dxfId="321" priority="30" operator="lessThanOrEqual">
      <formula>$D79</formula>
    </cfRule>
  </conditionalFormatting>
  <conditionalFormatting sqref="Q79">
    <cfRule type="cellIs" dxfId="320" priority="27" operator="greaterThan">
      <formula>$D79</formula>
    </cfRule>
    <cfRule type="cellIs" dxfId="319" priority="28" operator="lessThanOrEqual">
      <formula>$D79</formula>
    </cfRule>
  </conditionalFormatting>
  <conditionalFormatting sqref="E80">
    <cfRule type="cellIs" dxfId="318" priority="25" operator="greaterThan">
      <formula>$D80</formula>
    </cfRule>
    <cfRule type="cellIs" dxfId="317" priority="26" operator="lessThanOrEqual">
      <formula>$D80</formula>
    </cfRule>
  </conditionalFormatting>
  <conditionalFormatting sqref="F80">
    <cfRule type="cellIs" dxfId="316" priority="23" operator="greaterThan">
      <formula>$D80</formula>
    </cfRule>
    <cfRule type="cellIs" dxfId="315" priority="24" operator="lessThanOrEqual">
      <formula>$D80</formula>
    </cfRule>
  </conditionalFormatting>
  <conditionalFormatting sqref="G80">
    <cfRule type="cellIs" dxfId="314" priority="21" operator="greaterThan">
      <formula>$D80</formula>
    </cfRule>
    <cfRule type="cellIs" dxfId="313" priority="22" operator="lessThanOrEqual">
      <formula>$D80</formula>
    </cfRule>
  </conditionalFormatting>
  <conditionalFormatting sqref="H80">
    <cfRule type="cellIs" dxfId="312" priority="19" operator="greaterThan">
      <formula>$D80</formula>
    </cfRule>
    <cfRule type="cellIs" dxfId="311" priority="20" operator="lessThanOrEqual">
      <formula>$D80</formula>
    </cfRule>
  </conditionalFormatting>
  <conditionalFormatting sqref="I80">
    <cfRule type="cellIs" dxfId="310" priority="17" operator="greaterThan">
      <formula>$D80</formula>
    </cfRule>
    <cfRule type="cellIs" dxfId="309" priority="18" operator="lessThanOrEqual">
      <formula>$D80</formula>
    </cfRule>
  </conditionalFormatting>
  <conditionalFormatting sqref="J80">
    <cfRule type="cellIs" dxfId="308" priority="15" operator="greaterThan">
      <formula>$D80</formula>
    </cfRule>
    <cfRule type="cellIs" dxfId="307" priority="16" operator="lessThanOrEqual">
      <formula>$D80</formula>
    </cfRule>
  </conditionalFormatting>
  <conditionalFormatting sqref="K80">
    <cfRule type="cellIs" dxfId="306" priority="13" operator="greaterThan">
      <formula>$D80</formula>
    </cfRule>
    <cfRule type="cellIs" dxfId="305" priority="14" operator="lessThanOrEqual">
      <formula>$D80</formula>
    </cfRule>
  </conditionalFormatting>
  <conditionalFormatting sqref="L80">
    <cfRule type="cellIs" dxfId="304" priority="11" operator="greaterThan">
      <formula>$D80</formula>
    </cfRule>
    <cfRule type="cellIs" dxfId="303" priority="12" operator="lessThanOrEqual">
      <formula>$D80</formula>
    </cfRule>
  </conditionalFormatting>
  <conditionalFormatting sqref="M80">
    <cfRule type="cellIs" dxfId="302" priority="9" operator="greaterThan">
      <formula>$D80</formula>
    </cfRule>
    <cfRule type="cellIs" dxfId="301" priority="10" operator="lessThanOrEqual">
      <formula>$D80</formula>
    </cfRule>
  </conditionalFormatting>
  <conditionalFormatting sqref="N80">
    <cfRule type="cellIs" dxfId="300" priority="7" operator="greaterThan">
      <formula>$D80</formula>
    </cfRule>
    <cfRule type="cellIs" dxfId="299" priority="8" operator="lessThanOrEqual">
      <formula>$D80</formula>
    </cfRule>
  </conditionalFormatting>
  <conditionalFormatting sqref="O80">
    <cfRule type="cellIs" dxfId="298" priority="5" operator="greaterThan">
      <formula>$D80</formula>
    </cfRule>
    <cfRule type="cellIs" dxfId="297" priority="6" operator="lessThanOrEqual">
      <formula>$D80</formula>
    </cfRule>
  </conditionalFormatting>
  <conditionalFormatting sqref="P80">
    <cfRule type="cellIs" dxfId="296" priority="3" operator="greaterThan">
      <formula>$D80</formula>
    </cfRule>
    <cfRule type="cellIs" dxfId="295" priority="4" operator="lessThanOrEqual">
      <formula>$D80</formula>
    </cfRule>
  </conditionalFormatting>
  <conditionalFormatting sqref="Q80">
    <cfRule type="cellIs" dxfId="294" priority="1" operator="greaterThan">
      <formula>$D80</formula>
    </cfRule>
    <cfRule type="cellIs" dxfId="293" priority="2" operator="lessThanOrEqual">
      <formula>$D80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ACCD-7497-46CB-A129-8B416E631C3B}">
  <dimension ref="A1:W216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55" sqref="E55"/>
    </sheetView>
  </sheetViews>
  <sheetFormatPr defaultRowHeight="14.5"/>
  <cols>
    <col min="1" max="1" width="24.6328125" bestFit="1" customWidth="1"/>
    <col min="2" max="2" width="13.90625" bestFit="1" customWidth="1"/>
    <col min="3" max="3" width="15.26953125" bestFit="1" customWidth="1"/>
    <col min="4" max="4" width="14.08984375" customWidth="1"/>
    <col min="5" max="5" width="23.7265625" bestFit="1" customWidth="1"/>
    <col min="6" max="6" width="20.26953125" bestFit="1" customWidth="1"/>
    <col min="7" max="7" width="18.90625" bestFit="1" customWidth="1"/>
    <col min="8" max="8" width="20.26953125" bestFit="1" customWidth="1"/>
    <col min="9" max="9" width="17.36328125" bestFit="1" customWidth="1"/>
    <col min="10" max="10" width="20" bestFit="1" customWidth="1"/>
    <col min="11" max="12" width="15.6328125" bestFit="1" customWidth="1"/>
    <col min="13" max="13" width="14.36328125" bestFit="1" customWidth="1"/>
    <col min="14" max="14" width="19.7265625" bestFit="1" customWidth="1"/>
    <col min="15" max="16" width="14.36328125" bestFit="1" customWidth="1"/>
    <col min="17" max="18" width="23.7265625" bestFit="1" customWidth="1"/>
    <col min="19" max="19" width="20.26953125" bestFit="1" customWidth="1"/>
    <col min="20" max="20" width="15.36328125" bestFit="1" customWidth="1"/>
    <col min="21" max="21" width="13.36328125" bestFit="1" customWidth="1"/>
    <col min="22" max="22" width="23.7265625" bestFit="1" customWidth="1"/>
    <col min="23" max="23" width="15.36328125" bestFit="1" customWidth="1"/>
  </cols>
  <sheetData>
    <row r="1" spans="1:23" ht="15.5">
      <c r="A1" s="448" t="s">
        <v>133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</row>
    <row r="2" spans="1:23">
      <c r="A2" s="1"/>
      <c r="B2" s="2" t="s">
        <v>2</v>
      </c>
      <c r="C2" s="2" t="s">
        <v>3</v>
      </c>
      <c r="D2" s="23" t="s">
        <v>4</v>
      </c>
      <c r="E2" s="3">
        <v>46023</v>
      </c>
      <c r="F2" s="3">
        <v>46054</v>
      </c>
      <c r="G2" s="3">
        <v>46082</v>
      </c>
      <c r="H2" s="3">
        <v>46113</v>
      </c>
      <c r="I2" s="3">
        <v>46143</v>
      </c>
      <c r="J2" s="3">
        <v>46174</v>
      </c>
      <c r="K2" s="3">
        <v>46204</v>
      </c>
      <c r="L2" s="3">
        <v>46235</v>
      </c>
      <c r="M2" s="3">
        <v>46266</v>
      </c>
      <c r="N2" s="3">
        <v>46296</v>
      </c>
      <c r="O2" s="3">
        <v>46327</v>
      </c>
      <c r="P2" s="3">
        <v>46357</v>
      </c>
      <c r="Q2" s="4" t="s">
        <v>55</v>
      </c>
      <c r="R2" s="5" t="s">
        <v>5</v>
      </c>
      <c r="S2" s="5" t="s">
        <v>6</v>
      </c>
      <c r="T2" s="5" t="s">
        <v>7</v>
      </c>
      <c r="U2" s="5" t="s">
        <v>8</v>
      </c>
      <c r="V2" s="5" t="s">
        <v>9</v>
      </c>
      <c r="W2" s="5" t="s">
        <v>10</v>
      </c>
    </row>
    <row r="3" spans="1:23">
      <c r="A3" s="414" t="s">
        <v>12</v>
      </c>
      <c r="B3" s="6" t="s">
        <v>13</v>
      </c>
      <c r="C3" s="6" t="s">
        <v>127</v>
      </c>
      <c r="D3" s="24"/>
      <c r="E3" s="111">
        <f>[1]in!$D$1023</f>
        <v>2624180</v>
      </c>
      <c r="F3" s="111">
        <f>[1]in!$E$1023</f>
        <v>1486800</v>
      </c>
      <c r="G3" s="111">
        <f>[1]in!$F$1023</f>
        <v>512190</v>
      </c>
      <c r="H3" s="111">
        <f>[1]in!$H$1023</f>
        <v>37990</v>
      </c>
      <c r="I3" s="111">
        <f>[1]in!$I$1023</f>
        <v>0</v>
      </c>
      <c r="J3" s="111">
        <f>[1]in!$J$1023</f>
        <v>0</v>
      </c>
      <c r="K3" s="111">
        <f>[1]in!$L$1023</f>
        <v>0</v>
      </c>
      <c r="L3" s="111">
        <f>[1]in!$M$1023</f>
        <v>0</v>
      </c>
      <c r="M3" s="111">
        <f>[1]in!$N$1023</f>
        <v>0</v>
      </c>
      <c r="N3" s="111">
        <f>[1]in!$P$1023</f>
        <v>0</v>
      </c>
      <c r="O3" s="111">
        <f>[1]in!$Q$1023</f>
        <v>0</v>
      </c>
      <c r="P3" s="111">
        <f>[1]in!$R$1023</f>
        <v>0</v>
      </c>
      <c r="Q3" s="24">
        <f>SUM(E3:P3)</f>
        <v>4661160</v>
      </c>
      <c r="R3" s="25">
        <f>SUM(E3:G3)</f>
        <v>4623170</v>
      </c>
      <c r="S3" s="25">
        <f>SUM(H3:J3)</f>
        <v>37990</v>
      </c>
      <c r="T3" s="25">
        <f>SUM(K3:M3)</f>
        <v>0</v>
      </c>
      <c r="U3" s="25">
        <f>SUM(N3:P3)</f>
        <v>0</v>
      </c>
      <c r="V3" s="25">
        <f>SUM(E3:J3)</f>
        <v>4661160</v>
      </c>
      <c r="W3" s="25">
        <f>SUM(K3:P3)</f>
        <v>0</v>
      </c>
    </row>
    <row r="4" spans="1:23">
      <c r="A4" s="415"/>
      <c r="B4" s="6" t="s">
        <v>15</v>
      </c>
      <c r="C4" s="6" t="s">
        <v>127</v>
      </c>
      <c r="D4" s="24"/>
      <c r="E4" s="24">
        <f>[1]in!$D$1024</f>
        <v>0</v>
      </c>
      <c r="F4" s="24">
        <f>[1]in!$E$1024</f>
        <v>500</v>
      </c>
      <c r="G4" s="24">
        <f>[1]in!$F$1024</f>
        <v>330</v>
      </c>
      <c r="H4" s="24">
        <f>[1]in!$H$1024</f>
        <v>0</v>
      </c>
      <c r="I4" s="24">
        <f>[1]in!$I$1024</f>
        <v>0</v>
      </c>
      <c r="J4" s="24">
        <f>[1]in!$J$1024</f>
        <v>0</v>
      </c>
      <c r="K4" s="24">
        <f>[1]in!$L$1024</f>
        <v>0</v>
      </c>
      <c r="L4" s="24">
        <f>[1]in!$M$1024</f>
        <v>0</v>
      </c>
      <c r="M4" s="24">
        <f>[1]in!$N$1024</f>
        <v>0</v>
      </c>
      <c r="N4" s="24">
        <f>[1]in!$P$1024</f>
        <v>0</v>
      </c>
      <c r="O4" s="24">
        <f>[1]in!$Q$1024</f>
        <v>0</v>
      </c>
      <c r="P4" s="24">
        <f>[1]in!$R$1024</f>
        <v>0</v>
      </c>
      <c r="Q4" s="24">
        <f t="shared" ref="Q4:Q24" si="0">SUM(E4:P4)</f>
        <v>830</v>
      </c>
      <c r="R4" s="25">
        <f>SUM(E4:G4)</f>
        <v>830</v>
      </c>
      <c r="S4" s="25">
        <f>SUM(H4:J4)</f>
        <v>0</v>
      </c>
      <c r="T4" s="25">
        <f>SUM(K4:M4)</f>
        <v>0</v>
      </c>
      <c r="U4" s="25">
        <f>SUM(N4:P4)</f>
        <v>0</v>
      </c>
      <c r="V4" s="25">
        <f>SUM(E4:J4)</f>
        <v>830</v>
      </c>
      <c r="W4" s="25">
        <f>SUM(K4:P4)</f>
        <v>0</v>
      </c>
    </row>
    <row r="5" spans="1:23">
      <c r="A5" s="415"/>
      <c r="B5" s="7" t="s">
        <v>16</v>
      </c>
      <c r="C5" s="7" t="s">
        <v>127</v>
      </c>
      <c r="D5" s="84"/>
      <c r="E5" s="11">
        <f>SUM(E3:E4)</f>
        <v>2624180</v>
      </c>
      <c r="F5" s="11">
        <f>SUM(F3:F4)</f>
        <v>1487300</v>
      </c>
      <c r="G5" s="11">
        <f t="shared" ref="G5:P5" si="1">SUM(G3:G4)</f>
        <v>512520</v>
      </c>
      <c r="H5" s="11">
        <f t="shared" si="1"/>
        <v>37990</v>
      </c>
      <c r="I5" s="11">
        <f t="shared" si="1"/>
        <v>0</v>
      </c>
      <c r="J5" s="11">
        <f t="shared" si="1"/>
        <v>0</v>
      </c>
      <c r="K5" s="11">
        <f t="shared" si="1"/>
        <v>0</v>
      </c>
      <c r="L5" s="11">
        <f t="shared" si="1"/>
        <v>0</v>
      </c>
      <c r="M5" s="11">
        <f t="shared" si="1"/>
        <v>0</v>
      </c>
      <c r="N5" s="11">
        <f t="shared" si="1"/>
        <v>0</v>
      </c>
      <c r="O5" s="11">
        <f t="shared" si="1"/>
        <v>0</v>
      </c>
      <c r="P5" s="11">
        <f t="shared" si="1"/>
        <v>0</v>
      </c>
      <c r="Q5" s="34">
        <f>SUM(E5:P5)</f>
        <v>4661990</v>
      </c>
      <c r="R5" s="11">
        <f t="shared" ref="R5:W5" si="2">SUM(R3:R4)</f>
        <v>4624000</v>
      </c>
      <c r="S5" s="11">
        <f t="shared" si="2"/>
        <v>37990</v>
      </c>
      <c r="T5" s="11">
        <f t="shared" si="2"/>
        <v>0</v>
      </c>
      <c r="U5" s="11">
        <f t="shared" si="2"/>
        <v>0</v>
      </c>
      <c r="V5" s="11">
        <f t="shared" si="2"/>
        <v>4661990</v>
      </c>
      <c r="W5" s="11">
        <f t="shared" si="2"/>
        <v>0</v>
      </c>
    </row>
    <row r="6" spans="1:23">
      <c r="A6" s="415"/>
      <c r="B6" s="7" t="s">
        <v>17</v>
      </c>
      <c r="C6" s="7" t="s">
        <v>127</v>
      </c>
      <c r="D6" s="84"/>
      <c r="E6" s="77">
        <f>[1]in!$D$1028</f>
        <v>0</v>
      </c>
      <c r="F6" s="77">
        <f>[1]in!$E$1028</f>
        <v>0</v>
      </c>
      <c r="G6" s="77">
        <f>[1]in!$F$1028</f>
        <v>0</v>
      </c>
      <c r="H6" s="77">
        <f>[1]in!$H$1028</f>
        <v>0</v>
      </c>
      <c r="I6" s="77">
        <f>[1]in!$I$1028</f>
        <v>0</v>
      </c>
      <c r="J6" s="77">
        <f>[1]in!$J$1028</f>
        <v>0</v>
      </c>
      <c r="K6" s="77">
        <f>[1]in!$L$1028</f>
        <v>0</v>
      </c>
      <c r="L6" s="77">
        <f>[1]in!$M$1028</f>
        <v>0</v>
      </c>
      <c r="M6" s="77">
        <f>[1]in!$N$1028</f>
        <v>0</v>
      </c>
      <c r="N6" s="77">
        <f>[1]in!$P$1028</f>
        <v>0</v>
      </c>
      <c r="O6" s="77">
        <f>[1]in!$Q$1028</f>
        <v>0</v>
      </c>
      <c r="P6" s="77">
        <f>[1]in!$R$1028</f>
        <v>0</v>
      </c>
      <c r="Q6" s="34">
        <f t="shared" si="0"/>
        <v>0</v>
      </c>
      <c r="R6" s="26">
        <f t="shared" ref="R6:R24" si="3">SUM(E6:G6)</f>
        <v>0</v>
      </c>
      <c r="S6" s="26">
        <f t="shared" ref="S6:S24" si="4">SUM(H6:J6)</f>
        <v>0</v>
      </c>
      <c r="T6" s="26">
        <f t="shared" ref="T6:T24" si="5">SUM(K6:M6)</f>
        <v>0</v>
      </c>
      <c r="U6" s="26">
        <f t="shared" ref="U6:U24" si="6">SUM(N6:P6)</f>
        <v>0</v>
      </c>
      <c r="V6" s="26">
        <f t="shared" ref="V6:V24" si="7">SUM(E6:J6)</f>
        <v>0</v>
      </c>
      <c r="W6" s="26">
        <f t="shared" ref="W6:W24" si="8">SUM(K6:P6)</f>
        <v>0</v>
      </c>
    </row>
    <row r="7" spans="1:23">
      <c r="A7" s="415"/>
      <c r="B7" s="7" t="s">
        <v>18</v>
      </c>
      <c r="C7" s="7" t="s">
        <v>127</v>
      </c>
      <c r="D7" s="84"/>
      <c r="E7" s="77">
        <f>[1]in!$D$1032</f>
        <v>0</v>
      </c>
      <c r="F7" s="77">
        <f>[1]in!$E$1032</f>
        <v>0</v>
      </c>
      <c r="G7" s="77">
        <f>[1]in!$F$1032</f>
        <v>0</v>
      </c>
      <c r="H7" s="77">
        <f>[1]in!$H$1032</f>
        <v>0</v>
      </c>
      <c r="I7" s="77">
        <f>[1]in!$I$1032</f>
        <v>0</v>
      </c>
      <c r="J7" s="77">
        <f>[1]in!$J$1032</f>
        <v>0</v>
      </c>
      <c r="K7" s="77">
        <f>[1]in!$L$1032</f>
        <v>0</v>
      </c>
      <c r="L7" s="77">
        <f>[1]in!$M$1032</f>
        <v>0</v>
      </c>
      <c r="M7" s="77">
        <f>[1]in!$N$1032</f>
        <v>0</v>
      </c>
      <c r="N7" s="77">
        <f>[1]in!$P$1032</f>
        <v>0</v>
      </c>
      <c r="O7" s="77">
        <f>[1]in!$Q$1032</f>
        <v>0</v>
      </c>
      <c r="P7" s="77">
        <f>[1]in!$R$1032</f>
        <v>0</v>
      </c>
      <c r="Q7" s="34">
        <f t="shared" si="0"/>
        <v>0</v>
      </c>
      <c r="R7" s="26">
        <f t="shared" si="3"/>
        <v>0</v>
      </c>
      <c r="S7" s="26">
        <f t="shared" si="4"/>
        <v>0</v>
      </c>
      <c r="T7" s="26">
        <f t="shared" si="5"/>
        <v>0</v>
      </c>
      <c r="U7" s="26">
        <f t="shared" si="6"/>
        <v>0</v>
      </c>
      <c r="V7" s="26">
        <f t="shared" si="7"/>
        <v>0</v>
      </c>
      <c r="W7" s="26">
        <f t="shared" si="8"/>
        <v>0</v>
      </c>
    </row>
    <row r="8" spans="1:23">
      <c r="A8" s="415"/>
      <c r="B8" s="7" t="s">
        <v>19</v>
      </c>
      <c r="C8" s="7" t="s">
        <v>127</v>
      </c>
      <c r="D8" s="84"/>
      <c r="E8" s="77">
        <f>[1]in!$D$1037</f>
        <v>0</v>
      </c>
      <c r="F8" s="77">
        <f>[1]in!$E$1037</f>
        <v>0</v>
      </c>
      <c r="G8" s="77">
        <f>[1]in!$F$1037</f>
        <v>0</v>
      </c>
      <c r="H8" s="77">
        <f>[1]in!$H$1037</f>
        <v>0</v>
      </c>
      <c r="I8" s="77">
        <f>[1]in!$I$1037</f>
        <v>0</v>
      </c>
      <c r="J8" s="77">
        <f>[1]in!$J$1037</f>
        <v>0</v>
      </c>
      <c r="K8" s="77">
        <f>[1]in!$L$1037</f>
        <v>0</v>
      </c>
      <c r="L8" s="77">
        <f>[1]in!$M$1037</f>
        <v>0</v>
      </c>
      <c r="M8" s="77">
        <f>[1]in!$N$1037</f>
        <v>0</v>
      </c>
      <c r="N8" s="77">
        <f>[1]in!$P$1037</f>
        <v>0</v>
      </c>
      <c r="O8" s="77">
        <f>[1]in!$Q$1037</f>
        <v>0</v>
      </c>
      <c r="P8" s="77">
        <f>[1]in!$R$1037</f>
        <v>0</v>
      </c>
      <c r="Q8" s="34">
        <f t="shared" si="0"/>
        <v>0</v>
      </c>
      <c r="R8" s="26">
        <f t="shared" si="3"/>
        <v>0</v>
      </c>
      <c r="S8" s="26">
        <f t="shared" si="4"/>
        <v>0</v>
      </c>
      <c r="T8" s="26">
        <f t="shared" si="5"/>
        <v>0</v>
      </c>
      <c r="U8" s="26">
        <f t="shared" si="6"/>
        <v>0</v>
      </c>
      <c r="V8" s="26">
        <f t="shared" si="7"/>
        <v>0</v>
      </c>
      <c r="W8" s="26">
        <f t="shared" si="8"/>
        <v>0</v>
      </c>
    </row>
    <row r="9" spans="1:23">
      <c r="A9" s="415"/>
      <c r="B9" s="7" t="s">
        <v>20</v>
      </c>
      <c r="C9" s="7" t="s">
        <v>127</v>
      </c>
      <c r="D9" s="84"/>
      <c r="E9" s="77">
        <f>[1]in!$D$1038</f>
        <v>0</v>
      </c>
      <c r="F9" s="77">
        <f>[1]in!$E$1038</f>
        <v>0</v>
      </c>
      <c r="G9" s="77">
        <f>[1]in!$F$1038</f>
        <v>0</v>
      </c>
      <c r="H9" s="77">
        <f>[1]in!$H$1038</f>
        <v>0</v>
      </c>
      <c r="I9" s="77">
        <f>[1]in!$I$1038</f>
        <v>0</v>
      </c>
      <c r="J9" s="77">
        <f>[1]in!$J$1038</f>
        <v>0</v>
      </c>
      <c r="K9" s="77">
        <f>[1]in!$L$1038</f>
        <v>0</v>
      </c>
      <c r="L9" s="77">
        <f>[1]in!$M$1038</f>
        <v>0</v>
      </c>
      <c r="M9" s="77">
        <f>[1]in!$N$1038</f>
        <v>0</v>
      </c>
      <c r="N9" s="77">
        <f>[1]in!$P$1038</f>
        <v>0</v>
      </c>
      <c r="O9" s="77">
        <f>[1]in!$Q$1038</f>
        <v>0</v>
      </c>
      <c r="P9" s="77">
        <f>[1]in!$R$1038</f>
        <v>0</v>
      </c>
      <c r="Q9" s="34">
        <f t="shared" si="0"/>
        <v>0</v>
      </c>
      <c r="R9" s="26">
        <f t="shared" si="3"/>
        <v>0</v>
      </c>
      <c r="S9" s="26">
        <f t="shared" si="4"/>
        <v>0</v>
      </c>
      <c r="T9" s="26">
        <f t="shared" si="5"/>
        <v>0</v>
      </c>
      <c r="U9" s="26">
        <f t="shared" si="6"/>
        <v>0</v>
      </c>
      <c r="V9" s="26">
        <f t="shared" si="7"/>
        <v>0</v>
      </c>
      <c r="W9" s="26">
        <f t="shared" si="8"/>
        <v>0</v>
      </c>
    </row>
    <row r="10" spans="1:23">
      <c r="A10" s="415"/>
      <c r="B10" s="7" t="s">
        <v>134</v>
      </c>
      <c r="C10" s="7" t="s">
        <v>127</v>
      </c>
      <c r="D10" s="84"/>
      <c r="E10" s="77">
        <f>[1]in!$D$1040</f>
        <v>0</v>
      </c>
      <c r="F10" s="77">
        <f>[1]in!$E$1040</f>
        <v>0</v>
      </c>
      <c r="G10" s="77">
        <f>[1]in!$F$1040</f>
        <v>0</v>
      </c>
      <c r="H10" s="77">
        <f>[1]in!$H$1040</f>
        <v>0</v>
      </c>
      <c r="I10" s="77">
        <f>[1]in!$I$1040</f>
        <v>0</v>
      </c>
      <c r="J10" s="77">
        <f>[1]in!$J$1040</f>
        <v>0</v>
      </c>
      <c r="K10" s="77">
        <f>[1]in!$L$1040</f>
        <v>0</v>
      </c>
      <c r="L10" s="77">
        <f>[1]in!$M$1040</f>
        <v>0</v>
      </c>
      <c r="M10" s="77">
        <f>[1]in!$N$1040</f>
        <v>0</v>
      </c>
      <c r="N10" s="77">
        <f>[1]in!$P$1040</f>
        <v>0</v>
      </c>
      <c r="O10" s="77">
        <f>[1]in!$Q$1040</f>
        <v>0</v>
      </c>
      <c r="P10" s="77">
        <f>[1]in!$R$1040</f>
        <v>0</v>
      </c>
      <c r="Q10" s="34">
        <f t="shared" si="0"/>
        <v>0</v>
      </c>
      <c r="R10" s="26">
        <f t="shared" si="3"/>
        <v>0</v>
      </c>
      <c r="S10" s="26">
        <f t="shared" si="4"/>
        <v>0</v>
      </c>
      <c r="T10" s="26">
        <f t="shared" si="5"/>
        <v>0</v>
      </c>
      <c r="U10" s="26">
        <f t="shared" si="6"/>
        <v>0</v>
      </c>
      <c r="V10" s="26">
        <f t="shared" si="7"/>
        <v>0</v>
      </c>
      <c r="W10" s="26">
        <f t="shared" si="8"/>
        <v>0</v>
      </c>
    </row>
    <row r="11" spans="1:23">
      <c r="A11" s="415"/>
      <c r="B11" s="7" t="s">
        <v>22</v>
      </c>
      <c r="C11" s="7" t="s">
        <v>127</v>
      </c>
      <c r="D11" s="84"/>
      <c r="E11" s="77">
        <f>[1]in!$D$1049</f>
        <v>0</v>
      </c>
      <c r="F11" s="77">
        <f>[1]in!$E$1049</f>
        <v>0</v>
      </c>
      <c r="G11" s="77">
        <f>[1]in!$F$1049</f>
        <v>0</v>
      </c>
      <c r="H11" s="77">
        <f>[1]in!$H$1049</f>
        <v>0</v>
      </c>
      <c r="I11" s="77">
        <f>[1]in!$I$1049</f>
        <v>0</v>
      </c>
      <c r="J11" s="77">
        <f>[1]in!$J$1049</f>
        <v>0</v>
      </c>
      <c r="K11" s="77">
        <f>[1]in!$L$1049</f>
        <v>0</v>
      </c>
      <c r="L11" s="77">
        <f>[1]in!$M$1049</f>
        <v>0</v>
      </c>
      <c r="M11" s="77">
        <f>[1]in!$N$1049</f>
        <v>0</v>
      </c>
      <c r="N11" s="77">
        <f>[1]in!$P$1049</f>
        <v>0</v>
      </c>
      <c r="O11" s="77">
        <f>[1]in!$Q$1049</f>
        <v>0</v>
      </c>
      <c r="P11" s="77">
        <f>[1]in!$R$1049</f>
        <v>0</v>
      </c>
      <c r="Q11" s="34">
        <f t="shared" si="0"/>
        <v>0</v>
      </c>
      <c r="R11" s="26">
        <f t="shared" si="3"/>
        <v>0</v>
      </c>
      <c r="S11" s="26">
        <f t="shared" si="4"/>
        <v>0</v>
      </c>
      <c r="T11" s="26">
        <f t="shared" si="5"/>
        <v>0</v>
      </c>
      <c r="U11" s="26">
        <f t="shared" si="6"/>
        <v>0</v>
      </c>
      <c r="V11" s="26">
        <f t="shared" si="7"/>
        <v>0</v>
      </c>
      <c r="W11" s="26">
        <f t="shared" si="8"/>
        <v>0</v>
      </c>
    </row>
    <row r="12" spans="1:23">
      <c r="A12" s="415"/>
      <c r="B12" s="292" t="s">
        <v>23</v>
      </c>
      <c r="C12" s="7" t="s">
        <v>127</v>
      </c>
      <c r="D12" s="84"/>
      <c r="E12" s="77">
        <f>[1]in!$D$1051</f>
        <v>0</v>
      </c>
      <c r="F12" s="77">
        <f>[1]in!$E$1051</f>
        <v>0</v>
      </c>
      <c r="G12" s="77">
        <f>[1]in!$F$1051</f>
        <v>0</v>
      </c>
      <c r="H12" s="77">
        <f>[1]in!$H$1051</f>
        <v>0</v>
      </c>
      <c r="I12" s="77">
        <f>[1]in!$I$1051</f>
        <v>0</v>
      </c>
      <c r="J12" s="77">
        <f>[1]in!$J$1051</f>
        <v>0</v>
      </c>
      <c r="K12" s="77">
        <f>[1]in!$L$1051</f>
        <v>0</v>
      </c>
      <c r="L12" s="77">
        <f>[1]in!$M$1051</f>
        <v>0</v>
      </c>
      <c r="M12" s="77">
        <f>[1]in!$N$1051</f>
        <v>0</v>
      </c>
      <c r="N12" s="77">
        <f>[1]in!$P$1051</f>
        <v>0</v>
      </c>
      <c r="O12" s="77">
        <f>[1]in!$Q$1051</f>
        <v>0</v>
      </c>
      <c r="P12" s="77">
        <f>[1]in!$R$1051</f>
        <v>0</v>
      </c>
      <c r="Q12" s="34"/>
      <c r="R12" s="26">
        <f t="shared" si="3"/>
        <v>0</v>
      </c>
      <c r="S12" s="26">
        <f t="shared" si="4"/>
        <v>0</v>
      </c>
      <c r="T12" s="26">
        <f t="shared" si="5"/>
        <v>0</v>
      </c>
      <c r="U12" s="26">
        <f t="shared" si="6"/>
        <v>0</v>
      </c>
      <c r="V12" s="26">
        <f t="shared" si="7"/>
        <v>0</v>
      </c>
      <c r="W12" s="26">
        <f t="shared" si="8"/>
        <v>0</v>
      </c>
    </row>
    <row r="13" spans="1:23">
      <c r="A13" s="415"/>
      <c r="B13" s="7" t="s">
        <v>58</v>
      </c>
      <c r="C13" s="7" t="s">
        <v>127</v>
      </c>
      <c r="D13" s="84"/>
      <c r="E13" s="77">
        <f>[1]in!$D$1045</f>
        <v>0</v>
      </c>
      <c r="F13" s="77">
        <f>[1]in!$E$1045</f>
        <v>0</v>
      </c>
      <c r="G13" s="77">
        <f>[1]in!$F$1045</f>
        <v>0</v>
      </c>
      <c r="H13" s="77">
        <f>[1]in!$H$1045</f>
        <v>0</v>
      </c>
      <c r="I13" s="77">
        <f>[1]in!$I$1045</f>
        <v>0</v>
      </c>
      <c r="J13" s="77">
        <f>[1]in!$J$1045</f>
        <v>0</v>
      </c>
      <c r="K13" s="77">
        <f>[1]in!$L$1045</f>
        <v>0</v>
      </c>
      <c r="L13" s="77">
        <f>[1]in!$M$1045</f>
        <v>0</v>
      </c>
      <c r="M13" s="77">
        <f>[1]in!$N$1045</f>
        <v>0</v>
      </c>
      <c r="N13" s="77">
        <f>[1]in!$P$1045</f>
        <v>0</v>
      </c>
      <c r="O13" s="77">
        <f>[1]in!$Q$1045</f>
        <v>0</v>
      </c>
      <c r="P13" s="77">
        <f>[1]in!$R$1045</f>
        <v>0</v>
      </c>
      <c r="Q13" s="34">
        <f t="shared" si="0"/>
        <v>0</v>
      </c>
      <c r="R13" s="26">
        <f t="shared" si="3"/>
        <v>0</v>
      </c>
      <c r="S13" s="26">
        <f t="shared" si="4"/>
        <v>0</v>
      </c>
      <c r="T13" s="26">
        <f t="shared" si="5"/>
        <v>0</v>
      </c>
      <c r="U13" s="26">
        <f t="shared" si="6"/>
        <v>0</v>
      </c>
      <c r="V13" s="26">
        <f t="shared" si="7"/>
        <v>0</v>
      </c>
      <c r="W13" s="26">
        <f t="shared" si="8"/>
        <v>0</v>
      </c>
    </row>
    <row r="14" spans="1:23">
      <c r="A14" s="415"/>
      <c r="B14" s="7" t="s">
        <v>24</v>
      </c>
      <c r="C14" s="7" t="s">
        <v>127</v>
      </c>
      <c r="D14" s="84"/>
      <c r="E14" s="77">
        <f>[1]in!$D$1031</f>
        <v>0</v>
      </c>
      <c r="F14" s="77">
        <f>[1]in!$E$1031</f>
        <v>0</v>
      </c>
      <c r="G14" s="77">
        <f>[1]in!$F$1031</f>
        <v>0</v>
      </c>
      <c r="H14" s="77">
        <f>[1]in!$H$1031</f>
        <v>0</v>
      </c>
      <c r="I14" s="77">
        <f>[1]in!$I$1031</f>
        <v>0</v>
      </c>
      <c r="J14" s="77">
        <f>[1]in!$J$1031</f>
        <v>0</v>
      </c>
      <c r="K14" s="77">
        <f>[1]in!$L$1031</f>
        <v>0</v>
      </c>
      <c r="L14" s="77">
        <f>[1]in!$M$1031</f>
        <v>0</v>
      </c>
      <c r="M14" s="77">
        <f>[1]in!$N$1031</f>
        <v>0</v>
      </c>
      <c r="N14" s="77">
        <f>[1]in!$P$1031</f>
        <v>0</v>
      </c>
      <c r="O14" s="77">
        <f>[1]in!$Q$1031</f>
        <v>0</v>
      </c>
      <c r="P14" s="77">
        <f>[1]in!$R$1031</f>
        <v>0</v>
      </c>
      <c r="Q14" s="34">
        <f t="shared" si="0"/>
        <v>0</v>
      </c>
      <c r="R14" s="26">
        <f t="shared" si="3"/>
        <v>0</v>
      </c>
      <c r="S14" s="26">
        <f t="shared" si="4"/>
        <v>0</v>
      </c>
      <c r="T14" s="26">
        <f t="shared" si="5"/>
        <v>0</v>
      </c>
      <c r="U14" s="26">
        <f t="shared" si="6"/>
        <v>0</v>
      </c>
      <c r="V14" s="26">
        <f t="shared" si="7"/>
        <v>0</v>
      </c>
      <c r="W14" s="26">
        <f t="shared" si="8"/>
        <v>0</v>
      </c>
    </row>
    <row r="15" spans="1:23">
      <c r="A15" s="415"/>
      <c r="B15" s="7" t="s">
        <v>25</v>
      </c>
      <c r="C15" s="7" t="s">
        <v>127</v>
      </c>
      <c r="D15" s="84"/>
      <c r="E15" s="77">
        <f>[1]in!$D$1036</f>
        <v>0</v>
      </c>
      <c r="F15" s="77">
        <f>[1]in!$E$1036</f>
        <v>0</v>
      </c>
      <c r="G15" s="77">
        <f>[1]in!$F$1036</f>
        <v>0</v>
      </c>
      <c r="H15" s="77">
        <f>[1]in!$H$1036</f>
        <v>0</v>
      </c>
      <c r="I15" s="77">
        <f>[1]in!$I$1036</f>
        <v>0</v>
      </c>
      <c r="J15" s="77">
        <f>[1]in!$J$1036</f>
        <v>0</v>
      </c>
      <c r="K15" s="77">
        <f>[1]in!$L$1036</f>
        <v>0</v>
      </c>
      <c r="L15" s="77">
        <f>[1]in!$M$1036</f>
        <v>0</v>
      </c>
      <c r="M15" s="77">
        <f>[1]in!$N$1036</f>
        <v>0</v>
      </c>
      <c r="N15" s="77">
        <f>[1]in!$P$1036</f>
        <v>0</v>
      </c>
      <c r="O15" s="77">
        <f>[1]in!$Q$1036</f>
        <v>0</v>
      </c>
      <c r="P15" s="77">
        <f>[1]in!$R$1036</f>
        <v>0</v>
      </c>
      <c r="Q15" s="34">
        <f t="shared" si="0"/>
        <v>0</v>
      </c>
      <c r="R15" s="26">
        <f t="shared" si="3"/>
        <v>0</v>
      </c>
      <c r="S15" s="26">
        <f t="shared" si="4"/>
        <v>0</v>
      </c>
      <c r="T15" s="26">
        <f t="shared" si="5"/>
        <v>0</v>
      </c>
      <c r="U15" s="26">
        <f t="shared" si="6"/>
        <v>0</v>
      </c>
      <c r="V15" s="26">
        <f t="shared" si="7"/>
        <v>0</v>
      </c>
      <c r="W15" s="26">
        <f t="shared" si="8"/>
        <v>0</v>
      </c>
    </row>
    <row r="16" spans="1:23">
      <c r="A16" s="415"/>
      <c r="B16" s="7" t="s">
        <v>26</v>
      </c>
      <c r="C16" s="7" t="s">
        <v>127</v>
      </c>
      <c r="D16" s="84"/>
      <c r="E16" s="77">
        <f>[1]in!$D$1041</f>
        <v>3010</v>
      </c>
      <c r="F16" s="77">
        <f>[1]in!$E$1041</f>
        <v>2770</v>
      </c>
      <c r="G16" s="77">
        <f>[1]in!$F$1041</f>
        <v>3070</v>
      </c>
      <c r="H16" s="77">
        <f>[1]in!$H$1041</f>
        <v>2980</v>
      </c>
      <c r="I16" s="77">
        <f>[1]in!$I$1041</f>
        <v>0</v>
      </c>
      <c r="J16" s="77">
        <f>[1]in!$J$1041</f>
        <v>0</v>
      </c>
      <c r="K16" s="77">
        <f>[1]in!$L$1041</f>
        <v>0</v>
      </c>
      <c r="L16" s="77">
        <f>[1]in!$M$1041</f>
        <v>0</v>
      </c>
      <c r="M16" s="77">
        <f>[1]in!$N$1041</f>
        <v>0</v>
      </c>
      <c r="N16" s="77">
        <f>[1]in!$P$1041</f>
        <v>0</v>
      </c>
      <c r="O16" s="77">
        <f>[1]in!$Q$1041</f>
        <v>0</v>
      </c>
      <c r="P16" s="77">
        <f>[1]in!$R$1041</f>
        <v>0</v>
      </c>
      <c r="Q16" s="34">
        <f t="shared" si="0"/>
        <v>11830</v>
      </c>
      <c r="R16" s="26">
        <f t="shared" si="3"/>
        <v>8850</v>
      </c>
      <c r="S16" s="26">
        <f t="shared" si="4"/>
        <v>2980</v>
      </c>
      <c r="T16" s="26">
        <f t="shared" si="5"/>
        <v>0</v>
      </c>
      <c r="U16" s="26">
        <f t="shared" si="6"/>
        <v>0</v>
      </c>
      <c r="V16" s="26">
        <f t="shared" si="7"/>
        <v>11830</v>
      </c>
      <c r="W16" s="26">
        <f t="shared" si="8"/>
        <v>0</v>
      </c>
    </row>
    <row r="17" spans="1:23">
      <c r="A17" s="415"/>
      <c r="B17" s="7" t="s">
        <v>27</v>
      </c>
      <c r="C17" s="7" t="s">
        <v>127</v>
      </c>
      <c r="D17" s="84"/>
      <c r="E17" s="77">
        <f>[1]in!$D$1042</f>
        <v>0</v>
      </c>
      <c r="F17" s="77">
        <f>[1]in!$E$1042</f>
        <v>0</v>
      </c>
      <c r="G17" s="77">
        <f>[1]in!$F$1042</f>
        <v>0</v>
      </c>
      <c r="H17" s="77">
        <f>[1]in!$H$1042</f>
        <v>0</v>
      </c>
      <c r="I17" s="77">
        <f>[1]in!$I$1042</f>
        <v>0</v>
      </c>
      <c r="J17" s="77">
        <f>[1]in!$J$1042</f>
        <v>0</v>
      </c>
      <c r="K17" s="77">
        <f>[1]in!$L$1042</f>
        <v>0</v>
      </c>
      <c r="L17" s="77">
        <f>[1]in!$M$1042</f>
        <v>0</v>
      </c>
      <c r="M17" s="77">
        <f>[1]in!$N$1042</f>
        <v>0</v>
      </c>
      <c r="N17" s="77">
        <f>[1]in!$P$1042</f>
        <v>0</v>
      </c>
      <c r="O17" s="77">
        <f>[1]in!$Q$1042</f>
        <v>0</v>
      </c>
      <c r="P17" s="77">
        <f>[1]in!$R$1042</f>
        <v>0</v>
      </c>
      <c r="Q17" s="34">
        <f t="shared" si="0"/>
        <v>0</v>
      </c>
      <c r="R17" s="26">
        <f t="shared" si="3"/>
        <v>0</v>
      </c>
      <c r="S17" s="26">
        <f t="shared" si="4"/>
        <v>0</v>
      </c>
      <c r="T17" s="26">
        <f t="shared" si="5"/>
        <v>0</v>
      </c>
      <c r="U17" s="26">
        <f t="shared" si="6"/>
        <v>0</v>
      </c>
      <c r="V17" s="26">
        <f t="shared" si="7"/>
        <v>0</v>
      </c>
      <c r="W17" s="26">
        <f t="shared" si="8"/>
        <v>0</v>
      </c>
    </row>
    <row r="18" spans="1:23">
      <c r="A18" s="415"/>
      <c r="B18" s="7" t="s">
        <v>59</v>
      </c>
      <c r="C18" s="7" t="s">
        <v>127</v>
      </c>
      <c r="D18" s="84"/>
      <c r="E18" s="77">
        <f>[1]in!$D$1048</f>
        <v>0</v>
      </c>
      <c r="F18" s="77">
        <f>[1]in!$E$1048</f>
        <v>0</v>
      </c>
      <c r="G18" s="77">
        <f>[1]in!$F$1048</f>
        <v>0</v>
      </c>
      <c r="H18" s="77">
        <f>[1]in!$H$1048</f>
        <v>0</v>
      </c>
      <c r="I18" s="77">
        <f>[1]in!$I$1048</f>
        <v>0</v>
      </c>
      <c r="J18" s="77">
        <f>[1]in!$J$1048</f>
        <v>0</v>
      </c>
      <c r="K18" s="77">
        <f>[1]in!$L$1048</f>
        <v>0</v>
      </c>
      <c r="L18" s="77">
        <f>[1]in!$M$1048</f>
        <v>0</v>
      </c>
      <c r="M18" s="77">
        <f>[1]in!$N$1048</f>
        <v>0</v>
      </c>
      <c r="N18" s="77">
        <f>[1]in!$P$1048</f>
        <v>0</v>
      </c>
      <c r="O18" s="77">
        <f>[1]in!$Q$1048</f>
        <v>0</v>
      </c>
      <c r="P18" s="77">
        <f>[1]in!$R$1048</f>
        <v>0</v>
      </c>
      <c r="Q18" s="34">
        <f t="shared" si="0"/>
        <v>0</v>
      </c>
      <c r="R18" s="26">
        <f t="shared" si="3"/>
        <v>0</v>
      </c>
      <c r="S18" s="26">
        <f t="shared" si="4"/>
        <v>0</v>
      </c>
      <c r="T18" s="26">
        <f t="shared" si="5"/>
        <v>0</v>
      </c>
      <c r="U18" s="26">
        <f t="shared" si="6"/>
        <v>0</v>
      </c>
      <c r="V18" s="26">
        <f t="shared" si="7"/>
        <v>0</v>
      </c>
      <c r="W18" s="26">
        <f t="shared" si="8"/>
        <v>0</v>
      </c>
    </row>
    <row r="19" spans="1:23">
      <c r="A19" s="410" t="s">
        <v>28</v>
      </c>
      <c r="B19" s="7" t="s">
        <v>29</v>
      </c>
      <c r="C19" s="7" t="s">
        <v>127</v>
      </c>
      <c r="D19" s="84"/>
      <c r="E19" s="77">
        <f>[1]in!$D$1026</f>
        <v>0</v>
      </c>
      <c r="F19" s="77">
        <f>[1]in!$E$1026</f>
        <v>0</v>
      </c>
      <c r="G19" s="77">
        <f>[1]in!$F$1026</f>
        <v>0</v>
      </c>
      <c r="H19" s="77">
        <f>[1]in!$H$1026</f>
        <v>0</v>
      </c>
      <c r="I19" s="77">
        <f>[1]in!$I$1026</f>
        <v>0</v>
      </c>
      <c r="J19" s="77">
        <f>[1]in!$J$1026</f>
        <v>0</v>
      </c>
      <c r="K19" s="77">
        <f>[1]in!$L$1026</f>
        <v>0</v>
      </c>
      <c r="L19" s="77">
        <f>[1]in!$M$1026</f>
        <v>0</v>
      </c>
      <c r="M19" s="77">
        <f>[1]in!$N$1026</f>
        <v>0</v>
      </c>
      <c r="N19" s="77">
        <f>[1]in!$P$1026</f>
        <v>0</v>
      </c>
      <c r="O19" s="77">
        <f>[1]in!$Q$1026</f>
        <v>0</v>
      </c>
      <c r="P19" s="77">
        <f>[1]in!$R$1026</f>
        <v>0</v>
      </c>
      <c r="Q19" s="34">
        <f t="shared" si="0"/>
        <v>0</v>
      </c>
      <c r="R19" s="26">
        <f t="shared" si="3"/>
        <v>0</v>
      </c>
      <c r="S19" s="26">
        <f t="shared" si="4"/>
        <v>0</v>
      </c>
      <c r="T19" s="26">
        <f t="shared" si="5"/>
        <v>0</v>
      </c>
      <c r="U19" s="26">
        <f t="shared" si="6"/>
        <v>0</v>
      </c>
      <c r="V19" s="26">
        <f t="shared" si="7"/>
        <v>0</v>
      </c>
      <c r="W19" s="26">
        <f t="shared" si="8"/>
        <v>0</v>
      </c>
    </row>
    <row r="20" spans="1:23">
      <c r="A20" s="410"/>
      <c r="B20" s="7" t="s">
        <v>30</v>
      </c>
      <c r="C20" s="7" t="s">
        <v>127</v>
      </c>
      <c r="D20" s="84"/>
      <c r="E20" s="55">
        <f>[1]in!$D$1027</f>
        <v>83650.868799999997</v>
      </c>
      <c r="F20" s="55">
        <f>[1]in!$E$1027</f>
        <v>111140.0211</v>
      </c>
      <c r="G20" s="55">
        <f>[1]in!$F1027</f>
        <v>108766.9022</v>
      </c>
      <c r="H20" s="55">
        <f>[1]in!$H$1027</f>
        <v>0</v>
      </c>
      <c r="I20" s="55">
        <f>[1]in!$I$1027</f>
        <v>0</v>
      </c>
      <c r="J20" s="55">
        <f>[1]in!$J$1027</f>
        <v>0</v>
      </c>
      <c r="K20" s="55">
        <f>[1]in!$L$1027</f>
        <v>0</v>
      </c>
      <c r="L20" s="55">
        <f>[1]in!$M$1027</f>
        <v>0</v>
      </c>
      <c r="M20" s="55">
        <f>[1]in!$N$1027</f>
        <v>0</v>
      </c>
      <c r="N20" s="55">
        <f>[1]in!$P$1027</f>
        <v>0</v>
      </c>
      <c r="O20" s="55">
        <f>[1]in!$Q$1027</f>
        <v>0</v>
      </c>
      <c r="P20" s="55">
        <f>[1]in!$R$1027</f>
        <v>0</v>
      </c>
      <c r="Q20" s="34">
        <f t="shared" si="0"/>
        <v>303557.79210000002</v>
      </c>
      <c r="R20" s="26">
        <f t="shared" si="3"/>
        <v>303557.79210000002</v>
      </c>
      <c r="S20" s="26">
        <f t="shared" si="4"/>
        <v>0</v>
      </c>
      <c r="T20" s="26">
        <f t="shared" si="5"/>
        <v>0</v>
      </c>
      <c r="U20" s="26">
        <f t="shared" si="6"/>
        <v>0</v>
      </c>
      <c r="V20" s="26">
        <f t="shared" si="7"/>
        <v>303557.79210000002</v>
      </c>
      <c r="W20" s="26">
        <f t="shared" si="8"/>
        <v>0</v>
      </c>
    </row>
    <row r="21" spans="1:23">
      <c r="A21" s="410"/>
      <c r="B21" s="7" t="s">
        <v>31</v>
      </c>
      <c r="C21" s="7" t="s">
        <v>127</v>
      </c>
      <c r="D21" s="84"/>
      <c r="E21" s="11">
        <f>[1]in!$D$1029</f>
        <v>2919000</v>
      </c>
      <c r="F21" s="11">
        <f>[1]in!$E$1029</f>
        <v>1625000</v>
      </c>
      <c r="G21" s="11">
        <f>[1]in!$F$1029</f>
        <v>1150000</v>
      </c>
      <c r="H21" s="11">
        <f>[1]in!$H$1029</f>
        <v>913000</v>
      </c>
      <c r="I21" s="11">
        <f>[1]in!$I$1029</f>
        <v>0</v>
      </c>
      <c r="J21" s="11">
        <f>[1]in!$J$1029</f>
        <v>0</v>
      </c>
      <c r="K21" s="11">
        <f>[1]in!$L$1029</f>
        <v>0</v>
      </c>
      <c r="L21" s="11">
        <f>[1]in!$M$1029</f>
        <v>0</v>
      </c>
      <c r="M21" s="11">
        <f>[1]in!$N$1029</f>
        <v>0</v>
      </c>
      <c r="N21" s="11">
        <f>[1]in!$P$1029</f>
        <v>0</v>
      </c>
      <c r="O21" s="11">
        <f>[1]in!$Q$1029</f>
        <v>0</v>
      </c>
      <c r="P21" s="11">
        <f>[1]in!$R$1029</f>
        <v>0</v>
      </c>
      <c r="Q21" s="34">
        <f t="shared" si="0"/>
        <v>6607000</v>
      </c>
      <c r="R21" s="26">
        <f t="shared" si="3"/>
        <v>5694000</v>
      </c>
      <c r="S21" s="26">
        <f t="shared" si="4"/>
        <v>913000</v>
      </c>
      <c r="T21" s="26">
        <f t="shared" si="5"/>
        <v>0</v>
      </c>
      <c r="U21" s="26">
        <f t="shared" si="6"/>
        <v>0</v>
      </c>
      <c r="V21" s="26">
        <f t="shared" si="7"/>
        <v>6607000</v>
      </c>
      <c r="W21" s="26">
        <f t="shared" si="8"/>
        <v>0</v>
      </c>
    </row>
    <row r="22" spans="1:23">
      <c r="A22" s="410"/>
      <c r="B22" s="7" t="s">
        <v>32</v>
      </c>
      <c r="C22" s="7" t="s">
        <v>127</v>
      </c>
      <c r="D22" s="84"/>
      <c r="E22" s="77">
        <f>[1]in!$D$1030</f>
        <v>0</v>
      </c>
      <c r="F22" s="77">
        <f>[1]in!$E$1030</f>
        <v>0</v>
      </c>
      <c r="G22" s="77">
        <f>[1]in!$F$1030</f>
        <v>0</v>
      </c>
      <c r="H22" s="77">
        <f>[1]in!$H$1030</f>
        <v>0</v>
      </c>
      <c r="I22" s="77">
        <f>[1]in!$I$1030</f>
        <v>0</v>
      </c>
      <c r="J22" s="77">
        <f>[1]in!$J$1030</f>
        <v>0</v>
      </c>
      <c r="K22" s="77">
        <f>[1]in!$L$1030</f>
        <v>0</v>
      </c>
      <c r="L22" s="77">
        <f>[1]in!$M$1030</f>
        <v>0</v>
      </c>
      <c r="M22" s="77">
        <f>[1]in!$N$1030</f>
        <v>0</v>
      </c>
      <c r="N22" s="77">
        <f>[1]in!$P$1030</f>
        <v>0</v>
      </c>
      <c r="O22" s="77">
        <f>[1]in!$Q$1030</f>
        <v>0</v>
      </c>
      <c r="P22" s="77">
        <f>[1]in!$R$1030</f>
        <v>0</v>
      </c>
      <c r="Q22" s="34">
        <f t="shared" si="0"/>
        <v>0</v>
      </c>
      <c r="R22" s="26">
        <f t="shared" si="3"/>
        <v>0</v>
      </c>
      <c r="S22" s="26">
        <f t="shared" si="4"/>
        <v>0</v>
      </c>
      <c r="T22" s="26">
        <f t="shared" si="5"/>
        <v>0</v>
      </c>
      <c r="U22" s="26">
        <f t="shared" si="6"/>
        <v>0</v>
      </c>
      <c r="V22" s="26">
        <f t="shared" si="7"/>
        <v>0</v>
      </c>
      <c r="W22" s="26">
        <f t="shared" si="8"/>
        <v>0</v>
      </c>
    </row>
    <row r="23" spans="1:23">
      <c r="A23" s="410"/>
      <c r="B23" s="7" t="s">
        <v>33</v>
      </c>
      <c r="C23" s="7" t="s">
        <v>127</v>
      </c>
      <c r="D23" s="84"/>
      <c r="E23" s="77">
        <f>[1]in!$D$1034</f>
        <v>0</v>
      </c>
      <c r="F23" s="77">
        <f>[1]in!$E$1034</f>
        <v>0</v>
      </c>
      <c r="G23" s="77">
        <f>[1]in!$F$1034</f>
        <v>0</v>
      </c>
      <c r="H23" s="77">
        <f>[1]in!$H$1034</f>
        <v>0</v>
      </c>
      <c r="I23" s="77">
        <f>[1]in!$I$1034</f>
        <v>0</v>
      </c>
      <c r="J23" s="77">
        <f>[1]in!$J$1034</f>
        <v>0</v>
      </c>
      <c r="K23" s="77">
        <f>[1]in!$L$1034</f>
        <v>0</v>
      </c>
      <c r="L23" s="77">
        <f>[1]in!$M$1034</f>
        <v>0</v>
      </c>
      <c r="M23" s="77">
        <f>[1]in!$N$1034</f>
        <v>0</v>
      </c>
      <c r="N23" s="77">
        <f>[1]in!$P$1034</f>
        <v>0</v>
      </c>
      <c r="O23" s="77">
        <f>[1]in!$Q$1034</f>
        <v>0</v>
      </c>
      <c r="P23" s="77">
        <f>[1]in!$R$1034</f>
        <v>0</v>
      </c>
      <c r="Q23" s="34">
        <f t="shared" si="0"/>
        <v>0</v>
      </c>
      <c r="R23" s="26">
        <f t="shared" si="3"/>
        <v>0</v>
      </c>
      <c r="S23" s="26">
        <f t="shared" si="4"/>
        <v>0</v>
      </c>
      <c r="T23" s="26">
        <f t="shared" si="5"/>
        <v>0</v>
      </c>
      <c r="U23" s="26">
        <f t="shared" si="6"/>
        <v>0</v>
      </c>
      <c r="V23" s="26">
        <f t="shared" si="7"/>
        <v>0</v>
      </c>
      <c r="W23" s="26">
        <f t="shared" si="8"/>
        <v>0</v>
      </c>
    </row>
    <row r="24" spans="1:23">
      <c r="A24" s="410"/>
      <c r="B24" s="7" t="s">
        <v>34</v>
      </c>
      <c r="C24" s="7" t="s">
        <v>127</v>
      </c>
      <c r="D24" s="84"/>
      <c r="E24" s="77">
        <f>[1]in!$D$1039</f>
        <v>0</v>
      </c>
      <c r="F24" s="77">
        <f>[1]in!$E$1039</f>
        <v>0</v>
      </c>
      <c r="G24" s="77">
        <f>[1]in!$F$1039</f>
        <v>0</v>
      </c>
      <c r="H24" s="77">
        <f>[1]in!$H$1039</f>
        <v>0</v>
      </c>
      <c r="I24" s="77">
        <f>[1]in!$I$1039</f>
        <v>0</v>
      </c>
      <c r="J24" s="77">
        <f>[1]in!$J$1039</f>
        <v>0</v>
      </c>
      <c r="K24" s="77">
        <f>[1]in!$L$1039</f>
        <v>0</v>
      </c>
      <c r="L24" s="77">
        <f>[1]in!$M$1039</f>
        <v>0</v>
      </c>
      <c r="M24" s="77">
        <f>[1]in!$N$1039</f>
        <v>0</v>
      </c>
      <c r="N24" s="77">
        <f>[1]in!$P$1039</f>
        <v>0</v>
      </c>
      <c r="O24" s="77">
        <f>[1]in!$Q$1039</f>
        <v>0</v>
      </c>
      <c r="P24" s="77">
        <f>[1]in!$R$1039</f>
        <v>0</v>
      </c>
      <c r="Q24" s="34">
        <f t="shared" si="0"/>
        <v>0</v>
      </c>
      <c r="R24" s="26">
        <f t="shared" si="3"/>
        <v>0</v>
      </c>
      <c r="S24" s="26">
        <f t="shared" si="4"/>
        <v>0</v>
      </c>
      <c r="T24" s="26">
        <f t="shared" si="5"/>
        <v>0</v>
      </c>
      <c r="U24" s="26">
        <f t="shared" si="6"/>
        <v>0</v>
      </c>
      <c r="V24" s="26">
        <f t="shared" si="7"/>
        <v>0</v>
      </c>
      <c r="W24" s="26">
        <f t="shared" si="8"/>
        <v>0</v>
      </c>
    </row>
    <row r="25" spans="1:23">
      <c r="A25" s="410"/>
      <c r="B25" s="7" t="s">
        <v>35</v>
      </c>
      <c r="C25" s="7" t="s">
        <v>127</v>
      </c>
      <c r="D25" s="84"/>
      <c r="E25" s="77">
        <f>[1]in!$D$1043</f>
        <v>0</v>
      </c>
      <c r="F25" s="77">
        <f>[1]in!$E$1043</f>
        <v>0</v>
      </c>
      <c r="G25" s="77">
        <f>[1]in!$F$1043</f>
        <v>0</v>
      </c>
      <c r="H25" s="77">
        <f>[1]in!$H$1043</f>
        <v>0</v>
      </c>
      <c r="I25" s="77">
        <f>[1]in!$I$1043</f>
        <v>0</v>
      </c>
      <c r="J25" s="77">
        <f>[1]in!$J$1043</f>
        <v>0</v>
      </c>
      <c r="K25" s="77">
        <f>[1]in!$L$1043</f>
        <v>0</v>
      </c>
      <c r="L25" s="77">
        <f>[1]in!$M$1043</f>
        <v>0</v>
      </c>
      <c r="M25" s="77">
        <f>[1]in!$N$1043</f>
        <v>0</v>
      </c>
      <c r="N25" s="77">
        <f>[1]in!$P$1043</f>
        <v>0</v>
      </c>
      <c r="O25" s="77">
        <f>[1]in!$Q$1043</f>
        <v>0</v>
      </c>
      <c r="P25" s="77">
        <f>[1]in!$R$1043</f>
        <v>0</v>
      </c>
      <c r="Q25" s="34">
        <f t="shared" ref="Q25:Q32" si="9">SUM(E25:P25)</f>
        <v>0</v>
      </c>
      <c r="R25" s="26">
        <f t="shared" ref="R25:R31" si="10">SUM(E25:G25)</f>
        <v>0</v>
      </c>
      <c r="S25" s="26">
        <f t="shared" ref="S25:S29" si="11">SUM(H25:J25)</f>
        <v>0</v>
      </c>
      <c r="T25" s="26">
        <f t="shared" ref="T25:T29" si="12">SUM(K25:M25)</f>
        <v>0</v>
      </c>
      <c r="U25" s="26">
        <f t="shared" ref="U25:U29" si="13">SUM(N25:P25)</f>
        <v>0</v>
      </c>
      <c r="V25" s="26">
        <f t="shared" ref="V25:V32" si="14">SUM(E25:J25)</f>
        <v>0</v>
      </c>
      <c r="W25" s="26">
        <f t="shared" ref="W25:W32" si="15">SUM(K25:P25)</f>
        <v>0</v>
      </c>
    </row>
    <row r="26" spans="1:23">
      <c r="A26" s="410"/>
      <c r="B26" s="7" t="s">
        <v>36</v>
      </c>
      <c r="C26" s="7" t="s">
        <v>127</v>
      </c>
      <c r="D26" s="84"/>
      <c r="E26" s="77">
        <f>[1]in!$D$1044</f>
        <v>0</v>
      </c>
      <c r="F26" s="77">
        <f>[1]in!$E$1044</f>
        <v>0</v>
      </c>
      <c r="G26" s="77">
        <f>[1]in!$F$1044</f>
        <v>0</v>
      </c>
      <c r="H26" s="77">
        <f>[1]in!$H$1044</f>
        <v>0</v>
      </c>
      <c r="I26" s="77">
        <f>[1]in!$I$1044</f>
        <v>0</v>
      </c>
      <c r="J26" s="77">
        <f>[1]in!$J$1044</f>
        <v>0</v>
      </c>
      <c r="K26" s="77">
        <f>[1]in!$L$1044</f>
        <v>0</v>
      </c>
      <c r="L26" s="77">
        <f>[1]in!$M$1044</f>
        <v>0</v>
      </c>
      <c r="M26" s="77">
        <f>[1]in!$N$1044</f>
        <v>0</v>
      </c>
      <c r="N26" s="77">
        <f>[1]in!$P$1044</f>
        <v>0</v>
      </c>
      <c r="O26" s="77">
        <f>[1]in!$Q$1044</f>
        <v>0</v>
      </c>
      <c r="P26" s="77">
        <f>[1]in!$R$1044</f>
        <v>0</v>
      </c>
      <c r="Q26" s="34">
        <f t="shared" si="9"/>
        <v>0</v>
      </c>
      <c r="R26" s="26">
        <f t="shared" si="10"/>
        <v>0</v>
      </c>
      <c r="S26" s="26">
        <f t="shared" si="11"/>
        <v>0</v>
      </c>
      <c r="T26" s="26">
        <f t="shared" si="12"/>
        <v>0</v>
      </c>
      <c r="U26" s="26">
        <f t="shared" si="13"/>
        <v>0</v>
      </c>
      <c r="V26" s="26">
        <f t="shared" si="14"/>
        <v>0</v>
      </c>
      <c r="W26" s="26">
        <f t="shared" si="15"/>
        <v>0</v>
      </c>
    </row>
    <row r="27" spans="1:23">
      <c r="A27" s="410"/>
      <c r="B27" s="7" t="s">
        <v>37</v>
      </c>
      <c r="C27" s="7" t="s">
        <v>127</v>
      </c>
      <c r="D27" s="84"/>
      <c r="E27" s="77">
        <f>[1]in!$D$1050</f>
        <v>0</v>
      </c>
      <c r="F27" s="77">
        <f>[1]in!$E$1050</f>
        <v>0</v>
      </c>
      <c r="G27" s="77">
        <f>[1]in!$F$1050</f>
        <v>0</v>
      </c>
      <c r="H27" s="77">
        <f>[1]in!$H$1050</f>
        <v>0</v>
      </c>
      <c r="I27" s="77">
        <f>[1]in!$I$1050</f>
        <v>0</v>
      </c>
      <c r="J27" s="77">
        <f>[1]in!$J$1050</f>
        <v>0</v>
      </c>
      <c r="K27" s="77">
        <f>[1]in!$L$1050</f>
        <v>0</v>
      </c>
      <c r="L27" s="77">
        <f>[1]in!$M$1050</f>
        <v>0</v>
      </c>
      <c r="M27" s="77">
        <f>[1]in!$N$1050</f>
        <v>0</v>
      </c>
      <c r="N27" s="77">
        <f>[1]in!$P$1050</f>
        <v>0</v>
      </c>
      <c r="O27" s="77">
        <f>[1]in!$Q$1050</f>
        <v>0</v>
      </c>
      <c r="P27" s="77">
        <f>[1]in!$R$1050</f>
        <v>0</v>
      </c>
      <c r="Q27" s="34">
        <f t="shared" si="9"/>
        <v>0</v>
      </c>
      <c r="R27" s="26">
        <f t="shared" si="10"/>
        <v>0</v>
      </c>
      <c r="S27" s="26">
        <f t="shared" si="11"/>
        <v>0</v>
      </c>
      <c r="T27" s="26">
        <f t="shared" si="12"/>
        <v>0</v>
      </c>
      <c r="U27" s="26">
        <f t="shared" si="13"/>
        <v>0</v>
      </c>
      <c r="V27" s="26">
        <f t="shared" si="14"/>
        <v>0</v>
      </c>
      <c r="W27" s="26">
        <f t="shared" si="15"/>
        <v>0</v>
      </c>
    </row>
    <row r="28" spans="1:23">
      <c r="A28" s="410"/>
      <c r="B28" s="6" t="s">
        <v>38</v>
      </c>
      <c r="C28" s="6" t="s">
        <v>127</v>
      </c>
      <c r="D28" s="24"/>
      <c r="E28" s="405">
        <f>[1]in!$D$1025</f>
        <v>5073780</v>
      </c>
      <c r="F28" s="405">
        <f>[1]in!$E$1025</f>
        <v>10484760</v>
      </c>
      <c r="G28" s="405">
        <f>[1]in!$F$1025</f>
        <v>7487490</v>
      </c>
      <c r="H28" s="405">
        <f>[1]in!$H$1025</f>
        <v>11503110</v>
      </c>
      <c r="I28" s="405">
        <f>[1]in!$I$1025</f>
        <v>0</v>
      </c>
      <c r="J28" s="405">
        <f>[1]in!$J$1025</f>
        <v>0</v>
      </c>
      <c r="K28" s="405">
        <f>[1]in!$L$1025</f>
        <v>0</v>
      </c>
      <c r="L28" s="405">
        <f>[1]in!$M$1025</f>
        <v>0</v>
      </c>
      <c r="M28" s="405">
        <f>[1]in!$N$1025</f>
        <v>0</v>
      </c>
      <c r="N28" s="405">
        <f>[1]in!$P$1025</f>
        <v>0</v>
      </c>
      <c r="O28" s="405">
        <f>[1]in!$Q$1025</f>
        <v>0</v>
      </c>
      <c r="P28" s="405">
        <f>[1]in!$R$1025</f>
        <v>0</v>
      </c>
      <c r="Q28" s="24">
        <f t="shared" si="9"/>
        <v>34549140</v>
      </c>
      <c r="R28" s="25">
        <f>SUM(E28:G28)</f>
        <v>23046030</v>
      </c>
      <c r="S28" s="25">
        <f t="shared" si="11"/>
        <v>11503110</v>
      </c>
      <c r="T28" s="25">
        <f t="shared" si="12"/>
        <v>0</v>
      </c>
      <c r="U28" s="25">
        <f t="shared" si="13"/>
        <v>0</v>
      </c>
      <c r="V28" s="25">
        <f t="shared" si="14"/>
        <v>34549140</v>
      </c>
      <c r="W28" s="25">
        <f t="shared" si="15"/>
        <v>0</v>
      </c>
    </row>
    <row r="29" spans="1:23">
      <c r="A29" s="410"/>
      <c r="B29" s="6" t="s">
        <v>39</v>
      </c>
      <c r="C29" s="6" t="s">
        <v>127</v>
      </c>
      <c r="D29" s="24"/>
      <c r="E29" s="405">
        <f>[1]in!$D$1033</f>
        <v>0</v>
      </c>
      <c r="F29" s="405">
        <f>[1]in!$E$1033</f>
        <v>0</v>
      </c>
      <c r="G29" s="405">
        <f>[1]in!$F$1033</f>
        <v>0</v>
      </c>
      <c r="H29" s="405">
        <f>[1]in!$H$1033</f>
        <v>0</v>
      </c>
      <c r="I29" s="405">
        <f>[1]in!$I$1033</f>
        <v>0</v>
      </c>
      <c r="J29" s="405">
        <f>[1]in!$J$1033</f>
        <v>0</v>
      </c>
      <c r="K29" s="405">
        <f>[1]in!$L$1033</f>
        <v>0</v>
      </c>
      <c r="L29" s="405">
        <f>[1]in!$M$1033</f>
        <v>0</v>
      </c>
      <c r="M29" s="405">
        <f>[1]in!$N$1033</f>
        <v>0</v>
      </c>
      <c r="N29" s="405">
        <f>[1]in!$P$1033</f>
        <v>0</v>
      </c>
      <c r="O29" s="405">
        <f>[1]in!$Q$1033</f>
        <v>0</v>
      </c>
      <c r="P29" s="405">
        <f>[1]in!$R$1033</f>
        <v>0</v>
      </c>
      <c r="Q29" s="24">
        <f>SUM(E29:P29)</f>
        <v>0</v>
      </c>
      <c r="R29" s="25">
        <f t="shared" si="10"/>
        <v>0</v>
      </c>
      <c r="S29" s="25">
        <f t="shared" si="11"/>
        <v>0</v>
      </c>
      <c r="T29" s="25">
        <f t="shared" si="12"/>
        <v>0</v>
      </c>
      <c r="U29" s="25">
        <f t="shared" si="13"/>
        <v>0</v>
      </c>
      <c r="V29" s="25">
        <f t="shared" si="14"/>
        <v>0</v>
      </c>
      <c r="W29" s="25">
        <f t="shared" si="15"/>
        <v>0</v>
      </c>
    </row>
    <row r="30" spans="1:23">
      <c r="A30" s="410"/>
      <c r="B30" s="7" t="s">
        <v>40</v>
      </c>
      <c r="C30" s="7" t="s">
        <v>127</v>
      </c>
      <c r="D30" s="84"/>
      <c r="E30" s="77">
        <f>SUM(E28:E29)</f>
        <v>5073780</v>
      </c>
      <c r="F30" s="77">
        <f t="shared" ref="F30:P30" si="16">SUM(F28:F29)</f>
        <v>10484760</v>
      </c>
      <c r="G30" s="77">
        <f t="shared" si="16"/>
        <v>7487490</v>
      </c>
      <c r="H30" s="77">
        <f t="shared" si="16"/>
        <v>11503110</v>
      </c>
      <c r="I30" s="77">
        <f t="shared" si="16"/>
        <v>0</v>
      </c>
      <c r="J30" s="77">
        <f t="shared" si="16"/>
        <v>0</v>
      </c>
      <c r="K30" s="77">
        <f t="shared" si="16"/>
        <v>0</v>
      </c>
      <c r="L30" s="77">
        <f t="shared" si="16"/>
        <v>0</v>
      </c>
      <c r="M30" s="77">
        <f t="shared" si="16"/>
        <v>0</v>
      </c>
      <c r="N30" s="77">
        <f t="shared" si="16"/>
        <v>0</v>
      </c>
      <c r="O30" s="77">
        <f t="shared" si="16"/>
        <v>0</v>
      </c>
      <c r="P30" s="77">
        <f t="shared" si="16"/>
        <v>0</v>
      </c>
      <c r="Q30" s="34">
        <f t="shared" si="9"/>
        <v>34549140</v>
      </c>
      <c r="R30" s="26">
        <f t="shared" si="10"/>
        <v>23046030</v>
      </c>
      <c r="S30" s="26">
        <f t="shared" ref="S30:S32" si="17">SUM(H30:J30)</f>
        <v>11503110</v>
      </c>
      <c r="T30" s="26">
        <f t="shared" ref="T30:T32" si="18">SUM(K30:M30)</f>
        <v>0</v>
      </c>
      <c r="U30" s="26">
        <f t="shared" ref="U30:U32" si="19">SUM(N30:P30)</f>
        <v>0</v>
      </c>
      <c r="V30" s="26">
        <f t="shared" si="14"/>
        <v>34549140</v>
      </c>
      <c r="W30" s="26">
        <f t="shared" si="15"/>
        <v>0</v>
      </c>
    </row>
    <row r="31" spans="1:23">
      <c r="A31" s="410"/>
      <c r="B31" s="7" t="s">
        <v>42</v>
      </c>
      <c r="C31" s="7" t="s">
        <v>127</v>
      </c>
      <c r="D31" s="84"/>
      <c r="E31" s="77">
        <f>[1]in!$D$1035</f>
        <v>0</v>
      </c>
      <c r="F31" s="77">
        <f>[1]in!$E$1035</f>
        <v>0</v>
      </c>
      <c r="G31" s="77">
        <f>[1]in!$F$1035</f>
        <v>0</v>
      </c>
      <c r="H31" s="77">
        <f>[1]in!$H$1035</f>
        <v>0</v>
      </c>
      <c r="I31" s="77">
        <f>[1]in!$I$1035</f>
        <v>0</v>
      </c>
      <c r="J31" s="77">
        <f>[1]in!$J$1035</f>
        <v>0</v>
      </c>
      <c r="K31" s="77">
        <f>[1]in!$L$1035</f>
        <v>0</v>
      </c>
      <c r="L31" s="77">
        <f>[1]in!$M$1035</f>
        <v>0</v>
      </c>
      <c r="M31" s="77">
        <f>[1]in!$N$1035</f>
        <v>0</v>
      </c>
      <c r="N31" s="77">
        <f>[1]in!$P$1035</f>
        <v>0</v>
      </c>
      <c r="O31" s="77">
        <f>[1]in!$Q$1035</f>
        <v>0</v>
      </c>
      <c r="P31" s="77">
        <f>[1]in!$R$1035</f>
        <v>0</v>
      </c>
      <c r="Q31" s="34">
        <f t="shared" si="9"/>
        <v>0</v>
      </c>
      <c r="R31" s="26">
        <f t="shared" si="10"/>
        <v>0</v>
      </c>
      <c r="S31" s="26">
        <f>SUM(H31:J31)</f>
        <v>0</v>
      </c>
      <c r="T31" s="26">
        <f t="shared" si="18"/>
        <v>0</v>
      </c>
      <c r="U31" s="26">
        <f t="shared" si="19"/>
        <v>0</v>
      </c>
      <c r="V31" s="26">
        <f t="shared" si="14"/>
        <v>0</v>
      </c>
      <c r="W31" s="26">
        <f t="shared" si="15"/>
        <v>0</v>
      </c>
    </row>
    <row r="32" spans="1:23">
      <c r="A32" s="72"/>
      <c r="B32" s="7" t="s">
        <v>43</v>
      </c>
      <c r="C32" s="7" t="s">
        <v>127</v>
      </c>
      <c r="D32" s="84"/>
      <c r="E32" s="77">
        <f>SUM(E8:E9,E23:E26,E31)</f>
        <v>0</v>
      </c>
      <c r="F32" s="77">
        <f>SUM(F8:F9,F23:F26,F31)</f>
        <v>0</v>
      </c>
      <c r="G32" s="77">
        <f t="shared" ref="G32:P32" si="20">SUM(G8:G9,G23:G26,G31)</f>
        <v>0</v>
      </c>
      <c r="H32" s="77">
        <f t="shared" si="20"/>
        <v>0</v>
      </c>
      <c r="I32" s="77">
        <f t="shared" si="20"/>
        <v>0</v>
      </c>
      <c r="J32" s="77">
        <f t="shared" si="20"/>
        <v>0</v>
      </c>
      <c r="K32" s="77">
        <f t="shared" si="20"/>
        <v>0</v>
      </c>
      <c r="L32" s="77">
        <f t="shared" si="20"/>
        <v>0</v>
      </c>
      <c r="M32" s="77">
        <f t="shared" si="20"/>
        <v>0</v>
      </c>
      <c r="N32" s="77">
        <f t="shared" si="20"/>
        <v>0</v>
      </c>
      <c r="O32" s="77">
        <f t="shared" si="20"/>
        <v>0</v>
      </c>
      <c r="P32" s="77">
        <f t="shared" si="20"/>
        <v>0</v>
      </c>
      <c r="Q32" s="34">
        <f t="shared" si="9"/>
        <v>0</v>
      </c>
      <c r="R32" s="26">
        <f>SUM(E32:G32)</f>
        <v>0</v>
      </c>
      <c r="S32" s="26">
        <f t="shared" si="17"/>
        <v>0</v>
      </c>
      <c r="T32" s="26">
        <f t="shared" si="18"/>
        <v>0</v>
      </c>
      <c r="U32" s="26">
        <f t="shared" si="19"/>
        <v>0</v>
      </c>
      <c r="V32" s="26">
        <f t="shared" si="14"/>
        <v>0</v>
      </c>
      <c r="W32" s="26">
        <f t="shared" si="15"/>
        <v>0</v>
      </c>
    </row>
    <row r="34" spans="1:23">
      <c r="A34" s="429" t="s">
        <v>44</v>
      </c>
      <c r="B34" s="429"/>
      <c r="C34" s="7" t="s">
        <v>127</v>
      </c>
      <c r="D34" s="31"/>
      <c r="E34" s="56">
        <f>SUM(E5:E27,E30:E31)</f>
        <v>10703620.868799999</v>
      </c>
      <c r="F34" s="56">
        <f>SUM(F5:F27,F30:F31)</f>
        <v>13710970.0211</v>
      </c>
      <c r="G34" s="56">
        <f t="shared" ref="G34:P34" si="21">SUM(G5:G27,G30:G31)</f>
        <v>9261846.9022000004</v>
      </c>
      <c r="H34" s="56">
        <f t="shared" si="21"/>
        <v>12457080</v>
      </c>
      <c r="I34" s="56">
        <f t="shared" si="21"/>
        <v>0</v>
      </c>
      <c r="J34" s="56">
        <f t="shared" si="21"/>
        <v>0</v>
      </c>
      <c r="K34" s="56">
        <f t="shared" si="21"/>
        <v>0</v>
      </c>
      <c r="L34" s="56">
        <f t="shared" si="21"/>
        <v>0</v>
      </c>
      <c r="M34" s="56">
        <f t="shared" si="21"/>
        <v>0</v>
      </c>
      <c r="N34" s="56">
        <f t="shared" si="21"/>
        <v>0</v>
      </c>
      <c r="O34" s="56">
        <f t="shared" si="21"/>
        <v>0</v>
      </c>
      <c r="P34" s="56">
        <f t="shared" si="21"/>
        <v>0</v>
      </c>
      <c r="Q34" s="57">
        <f>SUM(Q5:Q27,Q30:Q31)</f>
        <v>46133517.792099997</v>
      </c>
      <c r="R34" s="56">
        <f>SUM(R5:R27,R30:R31)</f>
        <v>33676437.792099997</v>
      </c>
      <c r="S34" s="56">
        <f t="shared" ref="S34:U34" si="22">SUM(S5:S27,S30:S31)</f>
        <v>12457080</v>
      </c>
      <c r="T34" s="56">
        <f t="shared" si="22"/>
        <v>0</v>
      </c>
      <c r="U34" s="56">
        <f t="shared" si="22"/>
        <v>0</v>
      </c>
      <c r="V34" s="56">
        <f>SUM(V5:V27,V30:V31)</f>
        <v>46133517.792099997</v>
      </c>
      <c r="W34" s="56">
        <f>SUM(W5:W27,W30:W31)</f>
        <v>0</v>
      </c>
    </row>
    <row r="35" spans="1:23" ht="24">
      <c r="A35" s="446" t="s">
        <v>45</v>
      </c>
      <c r="B35" s="446"/>
      <c r="C35" s="7" t="s">
        <v>127</v>
      </c>
      <c r="D35" s="31"/>
      <c r="E35" s="148">
        <f>SUM(E5:E13,E19:E27,E30:E31)</f>
        <v>10700610.868799999</v>
      </c>
      <c r="F35" s="148">
        <f t="shared" ref="F35:P35" si="23">SUM(F5:F13,F19:F27,F30:F31)</f>
        <v>13708200.0211</v>
      </c>
      <c r="G35" s="148">
        <f t="shared" si="23"/>
        <v>9258776.9022000004</v>
      </c>
      <c r="H35" s="148">
        <f t="shared" si="23"/>
        <v>12454100</v>
      </c>
      <c r="I35" s="148">
        <f t="shared" si="23"/>
        <v>0</v>
      </c>
      <c r="J35" s="148">
        <f t="shared" si="23"/>
        <v>0</v>
      </c>
      <c r="K35" s="148">
        <f t="shared" si="23"/>
        <v>0</v>
      </c>
      <c r="L35" s="148">
        <f t="shared" si="23"/>
        <v>0</v>
      </c>
      <c r="M35" s="148">
        <f t="shared" si="23"/>
        <v>0</v>
      </c>
      <c r="N35" s="148">
        <f t="shared" si="23"/>
        <v>0</v>
      </c>
      <c r="O35" s="148">
        <f t="shared" si="23"/>
        <v>0</v>
      </c>
      <c r="P35" s="148">
        <f t="shared" si="23"/>
        <v>0</v>
      </c>
      <c r="Q35" s="163">
        <f>SUM(Q5:Q13,Q19:Q27,Q30:Q31)</f>
        <v>46121687.792099997</v>
      </c>
      <c r="R35" s="148">
        <f>SUM(R5:R13,R19:R27,R30:R31)</f>
        <v>33667587.792099997</v>
      </c>
      <c r="S35" s="148">
        <f>SUM(S5:S13,S19:S27,S30:S31)</f>
        <v>12454100</v>
      </c>
      <c r="T35" s="148">
        <f>SUM(T5:T13,T19:T27,T30:T31)</f>
        <v>0</v>
      </c>
      <c r="U35" s="148">
        <f t="shared" ref="U35" si="24">SUM(U5:U13,U19:U27,U30:U31)</f>
        <v>0</v>
      </c>
      <c r="V35" s="148">
        <f>SUM(V5:V13,V19:V27,V30:V31)</f>
        <v>46121687.792099997</v>
      </c>
      <c r="W35" s="148">
        <f>SUM(W5:W13,W19:W27,W30:W31)</f>
        <v>0</v>
      </c>
    </row>
    <row r="36" spans="1:23">
      <c r="R36" s="197">
        <f>R35/10^6</f>
        <v>33.667587792100001</v>
      </c>
    </row>
    <row r="37" spans="1:23">
      <c r="A37" s="408" t="s">
        <v>46</v>
      </c>
      <c r="B37" s="408"/>
      <c r="C37" s="7" t="s">
        <v>127</v>
      </c>
      <c r="D37" s="6"/>
      <c r="E37" s="26">
        <f>SUM(E5:E13)</f>
        <v>2624180</v>
      </c>
      <c r="F37" s="26">
        <f>SUM(F5:F13)</f>
        <v>1487300</v>
      </c>
      <c r="G37" s="26">
        <f t="shared" ref="G37:Q37" si="25">SUM(G5:G13)</f>
        <v>512520</v>
      </c>
      <c r="H37" s="26">
        <f t="shared" si="25"/>
        <v>37990</v>
      </c>
      <c r="I37" s="26">
        <f t="shared" si="25"/>
        <v>0</v>
      </c>
      <c r="J37" s="26">
        <f t="shared" si="25"/>
        <v>0</v>
      </c>
      <c r="K37" s="26">
        <f t="shared" si="25"/>
        <v>0</v>
      </c>
      <c r="L37" s="26">
        <f t="shared" si="25"/>
        <v>0</v>
      </c>
      <c r="M37" s="26">
        <f t="shared" si="25"/>
        <v>0</v>
      </c>
      <c r="N37" s="26">
        <f t="shared" si="25"/>
        <v>0</v>
      </c>
      <c r="O37" s="26">
        <f t="shared" si="25"/>
        <v>0</v>
      </c>
      <c r="P37" s="26">
        <f t="shared" si="25"/>
        <v>0</v>
      </c>
      <c r="Q37" s="26">
        <f t="shared" si="25"/>
        <v>4661990</v>
      </c>
    </row>
    <row r="38" spans="1:23">
      <c r="A38" s="408" t="s">
        <v>47</v>
      </c>
      <c r="B38" s="408"/>
      <c r="C38" s="7" t="s">
        <v>127</v>
      </c>
      <c r="D38" s="6"/>
      <c r="E38" s="26">
        <f t="shared" ref="E38:L38" si="26">SUM(E19:E27,E30:E31)</f>
        <v>8076430.8687999994</v>
      </c>
      <c r="F38" s="26">
        <f t="shared" si="26"/>
        <v>12220900.0211</v>
      </c>
      <c r="G38" s="26">
        <f t="shared" si="26"/>
        <v>8746256.9022000004</v>
      </c>
      <c r="H38" s="26">
        <f t="shared" si="26"/>
        <v>12416110</v>
      </c>
      <c r="I38" s="26">
        <f t="shared" si="26"/>
        <v>0</v>
      </c>
      <c r="J38" s="26">
        <f t="shared" si="26"/>
        <v>0</v>
      </c>
      <c r="K38" s="26">
        <f t="shared" si="26"/>
        <v>0</v>
      </c>
      <c r="L38" s="26">
        <f t="shared" si="26"/>
        <v>0</v>
      </c>
      <c r="M38" s="26">
        <f t="shared" ref="M38:N38" si="27">SUM(M19:M27,M30:M31)</f>
        <v>0</v>
      </c>
      <c r="N38" s="26">
        <f t="shared" si="27"/>
        <v>0</v>
      </c>
      <c r="O38" s="26">
        <f>SUM(O19:O27,O30:O31)</f>
        <v>0</v>
      </c>
      <c r="P38" s="26">
        <f>SUM(P19:P27,P30:P31)</f>
        <v>0</v>
      </c>
      <c r="Q38" s="26">
        <f>SUM(Q19:Q27,Q30:Q31)</f>
        <v>41459697.792099997</v>
      </c>
      <c r="S38" s="200"/>
    </row>
    <row r="41" spans="1:23" ht="15.5">
      <c r="A41" s="448" t="s">
        <v>135</v>
      </c>
      <c r="B41" s="448"/>
      <c r="C41" s="448"/>
      <c r="D41" s="448"/>
      <c r="E41" s="448"/>
      <c r="F41" s="448"/>
      <c r="G41" s="448"/>
      <c r="H41" s="448"/>
      <c r="I41" s="448"/>
      <c r="J41" s="448"/>
      <c r="K41" s="448"/>
      <c r="L41" s="448"/>
      <c r="M41" s="448"/>
      <c r="N41" s="448"/>
      <c r="O41" s="448"/>
      <c r="P41" s="448"/>
      <c r="Q41" s="448"/>
      <c r="R41" s="448"/>
      <c r="S41" s="448"/>
      <c r="T41" s="448"/>
      <c r="U41" s="448"/>
      <c r="V41" s="448"/>
      <c r="W41" s="448"/>
    </row>
    <row r="42" spans="1:23">
      <c r="A42" s="1"/>
      <c r="B42" s="2" t="s">
        <v>2</v>
      </c>
      <c r="C42" s="2" t="s">
        <v>3</v>
      </c>
      <c r="D42" s="23" t="s">
        <v>4</v>
      </c>
      <c r="E42" s="3">
        <v>46023</v>
      </c>
      <c r="F42" s="3">
        <v>46054</v>
      </c>
      <c r="G42" s="3">
        <v>46082</v>
      </c>
      <c r="H42" s="3">
        <v>46113</v>
      </c>
      <c r="I42" s="3">
        <v>46143</v>
      </c>
      <c r="J42" s="3">
        <v>46174</v>
      </c>
      <c r="K42" s="3">
        <v>46204</v>
      </c>
      <c r="L42" s="3">
        <v>46235</v>
      </c>
      <c r="M42" s="3">
        <v>46266</v>
      </c>
      <c r="N42" s="3">
        <v>46296</v>
      </c>
      <c r="O42" s="3">
        <v>46327</v>
      </c>
      <c r="P42" s="3">
        <v>46357</v>
      </c>
      <c r="Q42" s="4" t="s">
        <v>55</v>
      </c>
      <c r="R42" s="5" t="s">
        <v>5</v>
      </c>
      <c r="S42" s="5" t="s">
        <v>6</v>
      </c>
      <c r="T42" s="5" t="s">
        <v>7</v>
      </c>
      <c r="U42" s="5" t="s">
        <v>8</v>
      </c>
      <c r="V42" s="5" t="s">
        <v>9</v>
      </c>
      <c r="W42" s="5" t="s">
        <v>10</v>
      </c>
    </row>
    <row r="43" spans="1:23">
      <c r="A43" s="414" t="s">
        <v>12</v>
      </c>
      <c r="B43" s="6" t="s">
        <v>13</v>
      </c>
      <c r="C43" s="6" t="s">
        <v>129</v>
      </c>
      <c r="D43" s="256">
        <v>4.74</v>
      </c>
      <c r="E43" s="11">
        <f>E3/Production!E3</f>
        <v>11.145854570166497</v>
      </c>
      <c r="F43" s="11">
        <f>F3/Production!F3</f>
        <v>6.938358369849781</v>
      </c>
      <c r="G43" s="11">
        <f>G3/Production!G3</f>
        <v>2.1327298392301701</v>
      </c>
      <c r="H43" s="11">
        <f>H3/Production!H3</f>
        <v>0.15885427555927242</v>
      </c>
      <c r="I43" s="11" t="e">
        <f>I3/Production!I3</f>
        <v>#DIV/0!</v>
      </c>
      <c r="J43" s="11" t="e">
        <f>J3/Production!J3</f>
        <v>#DIV/0!</v>
      </c>
      <c r="K43" s="11" t="e">
        <f>K3/Production!K3</f>
        <v>#DIV/0!</v>
      </c>
      <c r="L43" s="11" t="e">
        <f>L3/Production!L3</f>
        <v>#DIV/0!</v>
      </c>
      <c r="M43" s="11" t="e">
        <f>M3/Production!M3</f>
        <v>#DIV/0!</v>
      </c>
      <c r="N43" s="11" t="e">
        <f>N3/Production!N3</f>
        <v>#DIV/0!</v>
      </c>
      <c r="O43" s="11" t="e">
        <f>O3/Production!O3</f>
        <v>#DIV/0!</v>
      </c>
      <c r="P43" s="11" t="e">
        <f>P3/Production!P3</f>
        <v>#DIV/0!</v>
      </c>
      <c r="Q43" s="11">
        <f>Q3/Production!Q3</f>
        <v>5.0172114260619098</v>
      </c>
      <c r="R43" s="11"/>
      <c r="S43" s="11"/>
      <c r="T43" s="11"/>
      <c r="U43" s="11"/>
      <c r="V43" s="11"/>
      <c r="W43" s="11"/>
    </row>
    <row r="44" spans="1:23">
      <c r="A44" s="415"/>
      <c r="B44" s="6" t="s">
        <v>15</v>
      </c>
      <c r="C44" s="6" t="s">
        <v>129</v>
      </c>
      <c r="D44" s="256">
        <v>0.21</v>
      </c>
      <c r="E44" s="11">
        <f>E4/Production!E4</f>
        <v>0</v>
      </c>
      <c r="F44" s="11">
        <f>F4/Production!F4</f>
        <v>3.4419415028273826E-3</v>
      </c>
      <c r="G44" s="11">
        <f>G4/Production!G4</f>
        <v>6.1024275826767988E-3</v>
      </c>
      <c r="H44" s="11">
        <f>H4/Production!H4</f>
        <v>0</v>
      </c>
      <c r="I44" s="11" t="e">
        <f>I4/Production!I4</f>
        <v>#DIV/0!</v>
      </c>
      <c r="J44" s="11" t="e">
        <f>J4/Production!J4</f>
        <v>#DIV/0!</v>
      </c>
      <c r="K44" s="11" t="e">
        <f>K4/Production!K4</f>
        <v>#DIV/0!</v>
      </c>
      <c r="L44" s="11" t="e">
        <f>L4/Production!L4</f>
        <v>#DIV/0!</v>
      </c>
      <c r="M44" s="11" t="e">
        <f>M4/Production!M4</f>
        <v>#DIV/0!</v>
      </c>
      <c r="N44" s="11" t="e">
        <f>N4/Production!N4</f>
        <v>#DIV/0!</v>
      </c>
      <c r="O44" s="11" t="e">
        <f>O4/Production!O4</f>
        <v>#DIV/0!</v>
      </c>
      <c r="P44" s="11" t="e">
        <f>P4/Production!P4</f>
        <v>#DIV/0!</v>
      </c>
      <c r="Q44" s="11">
        <f>Q4/Production!Q4</f>
        <v>2.2761130906698234E-3</v>
      </c>
      <c r="R44" s="11"/>
      <c r="S44" s="11"/>
      <c r="T44" s="11"/>
      <c r="U44" s="11"/>
      <c r="V44" s="11"/>
      <c r="W44" s="11"/>
    </row>
    <row r="45" spans="1:23">
      <c r="A45" s="415"/>
      <c r="B45" s="7" t="s">
        <v>16</v>
      </c>
      <c r="C45" s="7" t="s">
        <v>129</v>
      </c>
      <c r="D45" s="213">
        <v>3</v>
      </c>
      <c r="E45" s="11">
        <f>E5/Production!E5</f>
        <v>6.6498853049490565</v>
      </c>
      <c r="F45" s="11">
        <f>F5/Production!F5</f>
        <v>4.1365152952749638</v>
      </c>
      <c r="G45" s="11">
        <f>G5/Production!G5</f>
        <v>1.7418798599100636</v>
      </c>
      <c r="H45" s="11">
        <f>H5/Production!H5</f>
        <v>0.15488249704211735</v>
      </c>
      <c r="I45" s="11" t="e">
        <f>I5/Production!I5</f>
        <v>#DIV/0!</v>
      </c>
      <c r="J45" s="11" t="e">
        <f>J5/Production!J5</f>
        <v>#DIV/0!</v>
      </c>
      <c r="K45" s="11" t="e">
        <f>K5/Production!K5</f>
        <v>#DIV/0!</v>
      </c>
      <c r="L45" s="11" t="e">
        <f>L5/Production!L5</f>
        <v>#DIV/0!</v>
      </c>
      <c r="M45" s="11" t="e">
        <f>M5/Production!M5</f>
        <v>#DIV/0!</v>
      </c>
      <c r="N45" s="11" t="e">
        <f>N5/Production!N5</f>
        <v>#DIV/0!</v>
      </c>
      <c r="O45" s="11" t="e">
        <f>O5/Production!O5</f>
        <v>#DIV/0!</v>
      </c>
      <c r="P45" s="11" t="e">
        <f>P5/Production!P5</f>
        <v>#DIV/0!</v>
      </c>
      <c r="Q45" s="11">
        <f>Q5/Production!Q5</f>
        <v>3.6036355702501819</v>
      </c>
      <c r="R45" s="11"/>
      <c r="S45" s="11"/>
      <c r="T45" s="11"/>
      <c r="U45" s="11"/>
      <c r="V45" s="11"/>
      <c r="W45" s="11"/>
    </row>
    <row r="46" spans="1:23">
      <c r="A46" s="415"/>
      <c r="B46" s="7" t="s">
        <v>17</v>
      </c>
      <c r="C46" s="7" t="s">
        <v>129</v>
      </c>
      <c r="D46" s="214" t="s">
        <v>64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>
      <c r="A47" s="415"/>
      <c r="B47" s="7" t="s">
        <v>18</v>
      </c>
      <c r="C47" s="7" t="s">
        <v>129</v>
      </c>
      <c r="D47" s="211" t="s">
        <v>64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>
      <c r="A48" s="415"/>
      <c r="B48" s="7" t="s">
        <v>19</v>
      </c>
      <c r="C48" s="7" t="s">
        <v>129</v>
      </c>
      <c r="D48" s="211" t="s">
        <v>64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>
      <c r="A49" s="415"/>
      <c r="B49" s="7" t="s">
        <v>20</v>
      </c>
      <c r="C49" s="7" t="s">
        <v>129</v>
      </c>
      <c r="D49" s="211" t="s">
        <v>64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>
      <c r="A50" s="415"/>
      <c r="B50" s="7" t="s">
        <v>134</v>
      </c>
      <c r="C50" s="7" t="s">
        <v>129</v>
      </c>
      <c r="D50" s="211" t="s">
        <v>64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>
      <c r="A51" s="415"/>
      <c r="B51" s="7" t="s">
        <v>22</v>
      </c>
      <c r="C51" s="7" t="s">
        <v>129</v>
      </c>
      <c r="D51" s="211" t="s">
        <v>64</v>
      </c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11"/>
      <c r="S51" s="11"/>
      <c r="T51" s="11"/>
      <c r="U51" s="11"/>
      <c r="V51" s="11"/>
      <c r="W51" s="11"/>
    </row>
    <row r="52" spans="1:23">
      <c r="A52" s="415"/>
      <c r="B52" s="206" t="s">
        <v>23</v>
      </c>
      <c r="C52" s="7" t="s">
        <v>129</v>
      </c>
      <c r="D52" s="211" t="s">
        <v>64</v>
      </c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11"/>
      <c r="S52" s="11"/>
      <c r="T52" s="11"/>
      <c r="U52" s="11"/>
      <c r="V52" s="11"/>
      <c r="W52" s="11"/>
    </row>
    <row r="53" spans="1:23">
      <c r="A53" s="415"/>
      <c r="B53" s="7" t="s">
        <v>24</v>
      </c>
      <c r="C53" s="7" t="s">
        <v>129</v>
      </c>
      <c r="D53" s="214" t="s">
        <v>64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>
      <c r="A54" s="415"/>
      <c r="B54" s="7" t="s">
        <v>25</v>
      </c>
      <c r="C54" s="7" t="s">
        <v>129</v>
      </c>
      <c r="D54" s="211" t="s">
        <v>64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>
      <c r="A55" s="415"/>
      <c r="B55" s="7" t="s">
        <v>26</v>
      </c>
      <c r="C55" s="7" t="s">
        <v>129</v>
      </c>
      <c r="D55" s="211">
        <v>4</v>
      </c>
      <c r="E55" s="11">
        <f>E16/Production!E15</f>
        <v>5.1432770022042611</v>
      </c>
      <c r="F55" s="11">
        <f>F16/Production!F15</f>
        <v>6.4612441977094077</v>
      </c>
      <c r="G55" s="11">
        <f>G16/Production!G15</f>
        <v>3.4796209820011788</v>
      </c>
      <c r="H55" s="11">
        <f>H16/Production!H15</f>
        <v>4.5958575592603443</v>
      </c>
      <c r="I55" s="11" t="e">
        <f>I16/Production!I15</f>
        <v>#DIV/0!</v>
      </c>
      <c r="J55" s="11" t="e">
        <f>J16/Production!J15</f>
        <v>#DIV/0!</v>
      </c>
      <c r="K55" s="11" t="e">
        <f>K16/Production!K15</f>
        <v>#DIV/0!</v>
      </c>
      <c r="L55" s="11" t="e">
        <f>L16/Production!L15</f>
        <v>#DIV/0!</v>
      </c>
      <c r="M55" s="11" t="e">
        <f>M16/Production!M15</f>
        <v>#DIV/0!</v>
      </c>
      <c r="N55" s="11" t="e">
        <f>N16/Production!N15</f>
        <v>#DIV/0!</v>
      </c>
      <c r="O55" s="11" t="e">
        <f>O16/Production!O15</f>
        <v>#DIV/0!</v>
      </c>
      <c r="P55" s="11" t="e">
        <f>P16/Production!P15</f>
        <v>#DIV/0!</v>
      </c>
      <c r="Q55" s="11">
        <f>Q16/Production!Q15</f>
        <v>4.6490059458546034</v>
      </c>
      <c r="R55" s="11"/>
      <c r="S55" s="11"/>
      <c r="T55" s="11"/>
      <c r="U55" s="11"/>
      <c r="V55" s="11"/>
      <c r="W55" s="11"/>
    </row>
    <row r="56" spans="1:23">
      <c r="A56" s="415"/>
      <c r="B56" s="7" t="s">
        <v>27</v>
      </c>
      <c r="C56" s="7" t="s">
        <v>129</v>
      </c>
      <c r="D56" s="214" t="s">
        <v>64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>
      <c r="A57" s="425" t="s">
        <v>28</v>
      </c>
      <c r="B57" s="7" t="s">
        <v>29</v>
      </c>
      <c r="C57" s="7" t="s">
        <v>129</v>
      </c>
      <c r="D57" s="211" t="s">
        <v>64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>
      <c r="A58" s="426"/>
      <c r="B58" s="7" t="s">
        <v>30</v>
      </c>
      <c r="C58" s="7" t="s">
        <v>129</v>
      </c>
      <c r="D58" s="252">
        <v>24.7</v>
      </c>
      <c r="E58" s="11">
        <f>E20/Production!E18</f>
        <v>12.830517571414546</v>
      </c>
      <c r="F58" s="11">
        <f>F20/Production!F18</f>
        <v>13.78621095106727</v>
      </c>
      <c r="G58" s="11">
        <f>G20/Production!G18</f>
        <v>13.293307105283741</v>
      </c>
      <c r="H58" s="11" t="e">
        <f>H20/Production!H18</f>
        <v>#DIV/0!</v>
      </c>
      <c r="I58" s="11" t="e">
        <f>I20/Production!I18</f>
        <v>#DIV/0!</v>
      </c>
      <c r="J58" s="11" t="e">
        <f>J20/Production!J18</f>
        <v>#DIV/0!</v>
      </c>
      <c r="K58" s="11" t="e">
        <f>K20/Production!K18</f>
        <v>#DIV/0!</v>
      </c>
      <c r="L58" s="11" t="e">
        <f>L20/Production!L18</f>
        <v>#DIV/0!</v>
      </c>
      <c r="M58" s="11" t="e">
        <f>M20/Production!M18</f>
        <v>#DIV/0!</v>
      </c>
      <c r="N58" s="11" t="e">
        <f>N20/Production!N18</f>
        <v>#DIV/0!</v>
      </c>
      <c r="O58" s="11" t="e">
        <f>O20/Production!O18</f>
        <v>#DIV/0!</v>
      </c>
      <c r="P58" s="11" t="e">
        <f>P20/Production!P18</f>
        <v>#DIV/0!</v>
      </c>
      <c r="Q58" s="11">
        <f>Q20/Production!Q18</f>
        <v>13.335321555090092</v>
      </c>
      <c r="R58" s="11"/>
      <c r="S58" s="11"/>
      <c r="T58" s="11"/>
      <c r="U58" s="11"/>
      <c r="V58" s="11"/>
      <c r="W58" s="11"/>
    </row>
    <row r="59" spans="1:23">
      <c r="A59" s="426"/>
      <c r="B59" s="7" t="s">
        <v>31</v>
      </c>
      <c r="C59" s="7" t="s">
        <v>129</v>
      </c>
      <c r="D59" s="252">
        <v>240</v>
      </c>
      <c r="E59" s="11">
        <f>E21/Production!E19</f>
        <v>198.77156584667324</v>
      </c>
      <c r="F59" s="11">
        <f>F21/Production!F19</f>
        <v>182.557275800567</v>
      </c>
      <c r="G59" s="11">
        <f>G21/Production!G19</f>
        <v>114.94135691969956</v>
      </c>
      <c r="H59" s="11">
        <f>H21/Production!H19</f>
        <v>106.67430640085563</v>
      </c>
      <c r="I59" s="11" t="e">
        <f>I21/Production!I19</f>
        <v>#DIV/0!</v>
      </c>
      <c r="J59" s="11" t="e">
        <f>J21/Production!J19</f>
        <v>#DIV/0!</v>
      </c>
      <c r="K59" s="11" t="e">
        <f>K21/Production!K19</f>
        <v>#DIV/0!</v>
      </c>
      <c r="L59" s="11" t="e">
        <f>L21/Production!L19</f>
        <v>#DIV/0!</v>
      </c>
      <c r="M59" s="11" t="e">
        <f>M21/Production!M19</f>
        <v>#DIV/0!</v>
      </c>
      <c r="N59" s="11" t="e">
        <f>N21/Production!N19</f>
        <v>#DIV/0!</v>
      </c>
      <c r="O59" s="11" t="e">
        <f>O21/Production!O19</f>
        <v>#DIV/0!</v>
      </c>
      <c r="P59" s="11" t="e">
        <f>P21/Production!P19</f>
        <v>#DIV/0!</v>
      </c>
      <c r="Q59" s="11">
        <f>Q21/Production!Q19</f>
        <v>156.74829400703609</v>
      </c>
      <c r="R59" s="11"/>
      <c r="S59" s="11"/>
      <c r="T59" s="11"/>
      <c r="U59" s="11"/>
      <c r="V59" s="11"/>
      <c r="W59" s="11"/>
    </row>
    <row r="60" spans="1:23">
      <c r="A60" s="426"/>
      <c r="B60" s="7" t="s">
        <v>32</v>
      </c>
      <c r="C60" s="7" t="s">
        <v>129</v>
      </c>
      <c r="D60" s="211" t="s">
        <v>64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>
      <c r="A61" s="426"/>
      <c r="B61" s="7" t="s">
        <v>33</v>
      </c>
      <c r="C61" s="7" t="s">
        <v>129</v>
      </c>
      <c r="D61" s="211" t="s">
        <v>64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>
      <c r="A62" s="426"/>
      <c r="B62" s="7" t="s">
        <v>34</v>
      </c>
      <c r="C62" s="7" t="s">
        <v>129</v>
      </c>
      <c r="D62" s="211" t="s">
        <v>64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>
      <c r="A63" s="426"/>
      <c r="B63" s="7" t="s">
        <v>35</v>
      </c>
      <c r="C63" s="7" t="s">
        <v>129</v>
      </c>
      <c r="D63" s="211" t="s">
        <v>64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>
      <c r="A64" s="426"/>
      <c r="B64" s="7" t="s">
        <v>36</v>
      </c>
      <c r="C64" s="7" t="s">
        <v>129</v>
      </c>
      <c r="D64" s="211" t="s">
        <v>64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>
      <c r="A65" s="426"/>
      <c r="B65" s="7" t="s">
        <v>37</v>
      </c>
      <c r="C65" s="7" t="s">
        <v>129</v>
      </c>
      <c r="D65" s="211" t="s">
        <v>64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>
      <c r="A66" s="426"/>
      <c r="B66" s="7" t="s">
        <v>38</v>
      </c>
      <c r="C66" s="7" t="s">
        <v>129</v>
      </c>
      <c r="D66" s="211" t="s">
        <v>64</v>
      </c>
      <c r="E66" s="11">
        <f>E28/Production!E26</f>
        <v>30.589946118604185</v>
      </c>
      <c r="F66" s="11">
        <f>F28/Production!F26</f>
        <v>72.622745465823058</v>
      </c>
      <c r="G66" s="11">
        <f>G28/Production!G26</f>
        <v>40.983554064618851</v>
      </c>
      <c r="H66" s="11">
        <f>H28/Production!H26</f>
        <v>58.149907339162922</v>
      </c>
      <c r="I66" s="11" t="e">
        <f>I28/Production!I26</f>
        <v>#DIV/0!</v>
      </c>
      <c r="J66" s="11" t="e">
        <f>J28/Production!J26</f>
        <v>#DIV/0!</v>
      </c>
      <c r="K66" s="11" t="e">
        <f>K28/Production!K26</f>
        <v>#DIV/0!</v>
      </c>
      <c r="L66" s="11" t="e">
        <f>L28/Production!L26</f>
        <v>#DIV/0!</v>
      </c>
      <c r="M66" s="11" t="e">
        <f>M28/Production!M26</f>
        <v>#DIV/0!</v>
      </c>
      <c r="N66" s="11" t="e">
        <f>N28/Production!N26</f>
        <v>#DIV/0!</v>
      </c>
      <c r="O66" s="11" t="e">
        <f>O28/Production!O26</f>
        <v>#DIV/0!</v>
      </c>
      <c r="P66" s="11" t="e">
        <f>P28/Production!P26</f>
        <v>#DIV/0!</v>
      </c>
      <c r="Q66" s="11">
        <f>Q28/Production!Q26</f>
        <v>50.016819388490006</v>
      </c>
      <c r="R66" s="11"/>
      <c r="S66" s="11"/>
      <c r="T66" s="11"/>
      <c r="U66" s="11"/>
      <c r="V66" s="11"/>
      <c r="W66" s="11"/>
    </row>
    <row r="67" spans="1:23">
      <c r="A67" s="426"/>
      <c r="B67" s="7" t="s">
        <v>39</v>
      </c>
      <c r="C67" s="7" t="s">
        <v>129</v>
      </c>
      <c r="D67" s="211" t="s">
        <v>64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>
      <c r="A68" s="426"/>
      <c r="B68" s="7" t="s">
        <v>40</v>
      </c>
      <c r="C68" s="7" t="s">
        <v>129</v>
      </c>
      <c r="D68" s="211" t="s">
        <v>64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>
      <c r="A69" s="426"/>
      <c r="B69" s="7" t="s">
        <v>42</v>
      </c>
      <c r="C69" s="7" t="s">
        <v>129</v>
      </c>
      <c r="D69" s="211" t="s">
        <v>64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>
      <c r="A70" s="72"/>
      <c r="B70" s="7" t="s">
        <v>43</v>
      </c>
      <c r="C70" s="7" t="s">
        <v>129</v>
      </c>
      <c r="D70" s="211" t="s">
        <v>64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>
      <c r="A71" s="72"/>
      <c r="B71" s="70"/>
      <c r="C71" s="70"/>
      <c r="D71" s="160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</row>
    <row r="72" spans="1:23">
      <c r="A72" s="72"/>
      <c r="B72" s="70"/>
      <c r="C72" s="70"/>
      <c r="D72" s="160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</row>
    <row r="74" spans="1:23" ht="19">
      <c r="A74" s="446" t="s">
        <v>44</v>
      </c>
      <c r="B74" s="446"/>
      <c r="C74" s="7" t="s">
        <v>129</v>
      </c>
      <c r="D74" s="161"/>
      <c r="E74" s="162">
        <f>E34/Production!E32</f>
        <v>10.616016481655793</v>
      </c>
      <c r="F74" s="162">
        <f>F34/Production!F32</f>
        <v>15.010665441157538</v>
      </c>
      <c r="G74" s="162">
        <f>G34/Production!G32</f>
        <v>10.341068539373808</v>
      </c>
      <c r="H74" s="162">
        <f>H34/Production!H32</f>
        <v>15.659926183426297</v>
      </c>
      <c r="I74" s="162" t="e">
        <f>I34/Production!I32</f>
        <v>#DIV/0!</v>
      </c>
      <c r="J74" s="162" t="e">
        <f>J34/Production!J32</f>
        <v>#DIV/0!</v>
      </c>
      <c r="K74" s="162" t="e">
        <f>K34/Production!K32</f>
        <v>#DIV/0!</v>
      </c>
      <c r="L74" s="162" t="e">
        <f>L34/Production!L32</f>
        <v>#DIV/0!</v>
      </c>
      <c r="M74" s="162" t="e">
        <f>M34/Production!M32</f>
        <v>#DIV/0!</v>
      </c>
      <c r="N74" s="162" t="e">
        <f>N34/Production!N32</f>
        <v>#DIV/0!</v>
      </c>
      <c r="O74" s="162" t="e">
        <f>O34/Production!O32</f>
        <v>#DIV/0!</v>
      </c>
      <c r="P74" s="162" t="e">
        <f>P34/Production!P32</f>
        <v>#DIV/0!</v>
      </c>
      <c r="Q74" s="164">
        <f>Q34/Production!Q32</f>
        <v>12.769535507639288</v>
      </c>
      <c r="R74" s="87"/>
      <c r="S74" s="87"/>
      <c r="T74" s="87"/>
      <c r="U74" s="87"/>
      <c r="V74" s="87"/>
      <c r="W74" s="87"/>
    </row>
    <row r="75" spans="1:23" ht="24">
      <c r="A75" s="411" t="s">
        <v>45</v>
      </c>
      <c r="B75" s="411"/>
      <c r="C75" s="7" t="s">
        <v>129</v>
      </c>
      <c r="D75" s="86">
        <v>14.87</v>
      </c>
      <c r="E75" s="149">
        <f>E35/Production!E33</f>
        <v>11.061020231927792</v>
      </c>
      <c r="F75" s="149">
        <f>F35/Production!F33</f>
        <v>15.684802036132202</v>
      </c>
      <c r="G75" s="149">
        <f>G35/Production!G33</f>
        <v>10.803713811208235</v>
      </c>
      <c r="H75" s="149">
        <f>H35/Production!H33</f>
        <v>16.422969353957999</v>
      </c>
      <c r="I75" s="149" t="e">
        <f>I35/Production!I33</f>
        <v>#DIV/0!</v>
      </c>
      <c r="J75" s="149" t="e">
        <f>J35/Production!J33</f>
        <v>#DIV/0!</v>
      </c>
      <c r="K75" s="149" t="e">
        <f>K35/Production!K33</f>
        <v>#DIV/0!</v>
      </c>
      <c r="L75" s="149" t="e">
        <f>L35/Production!L33</f>
        <v>#DIV/0!</v>
      </c>
      <c r="M75" s="149" t="e">
        <f>M35/Production!M33</f>
        <v>#DIV/0!</v>
      </c>
      <c r="N75" s="149" t="e">
        <f>N35/Production!N33</f>
        <v>#DIV/0!</v>
      </c>
      <c r="O75" s="149" t="e">
        <f>O35/Production!O33</f>
        <v>#DIV/0!</v>
      </c>
      <c r="P75" s="149" t="e">
        <f>P35/Production!P33</f>
        <v>#DIV/0!</v>
      </c>
      <c r="Q75" s="149">
        <f>Q35/Production!Q33</f>
        <v>13.342578400496004</v>
      </c>
      <c r="R75" s="149">
        <f>R35/Production!R33</f>
        <v>12.476891394337761</v>
      </c>
      <c r="S75" s="149">
        <f>S35/Production!S33</f>
        <v>16.422969353957999</v>
      </c>
      <c r="T75" s="149" t="e">
        <f>T35/Production!T33</f>
        <v>#DIV/0!</v>
      </c>
      <c r="U75" s="149" t="e">
        <f>U35/Production!U33</f>
        <v>#DIV/0!</v>
      </c>
      <c r="V75" s="149">
        <f>V35/Production!V33</f>
        <v>13.342578400496004</v>
      </c>
      <c r="W75" s="149" t="e">
        <f>W35/Production!W33</f>
        <v>#DIV/0!</v>
      </c>
    </row>
    <row r="76" spans="1:23">
      <c r="Q76" s="58"/>
    </row>
    <row r="77" spans="1:23" ht="18.5">
      <c r="A77" s="441" t="s">
        <v>46</v>
      </c>
      <c r="B77" s="441"/>
      <c r="C77" s="340" t="s">
        <v>129</v>
      </c>
      <c r="D77" s="355">
        <v>1.5732775565550901</v>
      </c>
      <c r="E77" s="337">
        <f>E37/Production!E36</f>
        <v>4.0055029026288347</v>
      </c>
      <c r="F77" s="337">
        <f>F37/Production!F36</f>
        <v>2.4557741502399368</v>
      </c>
      <c r="G77" s="337">
        <f>G37/Production!G36</f>
        <v>1.0017466594073849</v>
      </c>
      <c r="H77" s="337">
        <f>H37/Production!H36</f>
        <v>8.6219890852109071E-2</v>
      </c>
      <c r="I77" s="337" t="e">
        <f>I37/Production!I36</f>
        <v>#DIV/0!</v>
      </c>
      <c r="J77" s="337" t="e">
        <f>J37/Production!J36</f>
        <v>#DIV/0!</v>
      </c>
      <c r="K77" s="337" t="e">
        <f>K37/Production!K36</f>
        <v>#DIV/0!</v>
      </c>
      <c r="L77" s="337" t="e">
        <f>L37/Production!L36</f>
        <v>#DIV/0!</v>
      </c>
      <c r="M77" s="337" t="e">
        <f>M37/Production!M36</f>
        <v>#DIV/0!</v>
      </c>
      <c r="N77" s="337" t="e">
        <f>N37/Production!N36</f>
        <v>#DIV/0!</v>
      </c>
      <c r="O77" s="337" t="e">
        <f>O37/Production!O36</f>
        <v>#DIV/0!</v>
      </c>
      <c r="P77" s="337" t="e">
        <f>P37/Production!P36</f>
        <v>#DIV/0!</v>
      </c>
      <c r="Q77" s="337">
        <f>Q37/Production!Q36</f>
        <v>2.1006471900603754</v>
      </c>
    </row>
    <row r="78" spans="1:23" ht="18.5">
      <c r="A78" s="441" t="s">
        <v>47</v>
      </c>
      <c r="B78" s="441"/>
      <c r="C78" s="340" t="s">
        <v>129</v>
      </c>
      <c r="D78" s="355">
        <v>42.335293190048382</v>
      </c>
      <c r="E78" s="337">
        <f>E38/Production!E37</f>
        <v>25.863402205666723</v>
      </c>
      <c r="F78" s="337">
        <f>F38/Production!F37</f>
        <v>45.942692040021953</v>
      </c>
      <c r="G78" s="337">
        <f>G38/Production!G37</f>
        <v>25.473983859714043</v>
      </c>
      <c r="H78" s="337">
        <f>H38/Production!H37</f>
        <v>39.316118765760805</v>
      </c>
      <c r="I78" s="337" t="e">
        <f>I38/Production!I37</f>
        <v>#DIV/0!</v>
      </c>
      <c r="J78" s="337" t="e">
        <f>J38/Production!J37</f>
        <v>#DIV/0!</v>
      </c>
      <c r="K78" s="337" t="e">
        <f>K38/Production!K37</f>
        <v>#DIV/0!</v>
      </c>
      <c r="L78" s="337" t="e">
        <f>L38/Production!L37</f>
        <v>#DIV/0!</v>
      </c>
      <c r="M78" s="337" t="e">
        <f>M38/Production!M37</f>
        <v>#DIV/0!</v>
      </c>
      <c r="N78" s="337" t="e">
        <f>N38/Production!N37</f>
        <v>#DIV/0!</v>
      </c>
      <c r="O78" s="337" t="e">
        <f>O38/Production!O37</f>
        <v>#DIV/0!</v>
      </c>
      <c r="P78" s="337" t="e">
        <f>P38/Production!P37</f>
        <v>#DIV/0!</v>
      </c>
      <c r="Q78" s="337">
        <f>Q38/Production!Q37</f>
        <v>33.504993254670801</v>
      </c>
    </row>
    <row r="79" spans="1:23">
      <c r="Q79" s="58"/>
    </row>
    <row r="80" spans="1:23">
      <c r="Q80" s="58"/>
    </row>
    <row r="82" spans="1:18">
      <c r="A82" s="36"/>
      <c r="B82" s="40">
        <f>NOx!B83</f>
        <v>2020</v>
      </c>
      <c r="C82" s="40">
        <f>NOx!C83</f>
        <v>2021</v>
      </c>
      <c r="D82" s="40">
        <f>NOx!D83</f>
        <v>2022</v>
      </c>
      <c r="E82" s="40">
        <f>NOx!E83</f>
        <v>2023</v>
      </c>
      <c r="F82" s="59">
        <f>NOx!F83</f>
        <v>46023</v>
      </c>
      <c r="G82" s="59">
        <f>NOx!G83</f>
        <v>46054</v>
      </c>
      <c r="H82" s="59">
        <f>NOx!H83</f>
        <v>46082</v>
      </c>
      <c r="I82" s="59">
        <f>NOx!I83</f>
        <v>46113</v>
      </c>
      <c r="J82" s="59">
        <f>NOx!J83</f>
        <v>46143</v>
      </c>
      <c r="K82" s="59">
        <f>NOx!K83</f>
        <v>46174</v>
      </c>
      <c r="L82" s="59">
        <f>NOx!L83</f>
        <v>46204</v>
      </c>
      <c r="M82" s="59">
        <f>NOx!M83</f>
        <v>46235</v>
      </c>
      <c r="N82" s="59">
        <f>NOx!N83</f>
        <v>46266</v>
      </c>
      <c r="O82" s="59">
        <f>NOx!O83</f>
        <v>46296</v>
      </c>
      <c r="P82" s="59">
        <f>NOx!P83</f>
        <v>46327</v>
      </c>
      <c r="Q82" s="59">
        <f>NOx!Q83</f>
        <v>46357</v>
      </c>
      <c r="R82" s="59" t="str">
        <f>NOx!R83</f>
        <v>YTD 2026</v>
      </c>
    </row>
    <row r="83" spans="1:18">
      <c r="A83" s="37" t="s">
        <v>4</v>
      </c>
      <c r="B83" s="1"/>
      <c r="C83" s="1"/>
      <c r="D83" s="7"/>
      <c r="E83" s="1"/>
      <c r="F83" s="38">
        <f>$D$74</f>
        <v>0</v>
      </c>
      <c r="G83" s="38">
        <f t="shared" ref="G83:R83" si="28">$D$74</f>
        <v>0</v>
      </c>
      <c r="H83" s="38">
        <f t="shared" si="28"/>
        <v>0</v>
      </c>
      <c r="I83" s="38">
        <f t="shared" si="28"/>
        <v>0</v>
      </c>
      <c r="J83" s="38">
        <f t="shared" si="28"/>
        <v>0</v>
      </c>
      <c r="K83" s="38">
        <f t="shared" si="28"/>
        <v>0</v>
      </c>
      <c r="L83" s="38">
        <f t="shared" si="28"/>
        <v>0</v>
      </c>
      <c r="M83" s="38">
        <f t="shared" si="28"/>
        <v>0</v>
      </c>
      <c r="N83" s="38">
        <f t="shared" si="28"/>
        <v>0</v>
      </c>
      <c r="O83" s="38">
        <f t="shared" si="28"/>
        <v>0</v>
      </c>
      <c r="P83" s="38">
        <f t="shared" si="28"/>
        <v>0</v>
      </c>
      <c r="Q83" s="38">
        <f t="shared" si="28"/>
        <v>0</v>
      </c>
      <c r="R83" s="38">
        <f t="shared" si="28"/>
        <v>0</v>
      </c>
    </row>
    <row r="84" spans="1:18">
      <c r="A84" s="37" t="s">
        <v>66</v>
      </c>
      <c r="B84" s="26">
        <f t="shared" ref="B84:D84" si="29">E144</f>
        <v>3.0121366605058597</v>
      </c>
      <c r="C84" s="26">
        <f t="shared" si="29"/>
        <v>2.7129934895566494</v>
      </c>
      <c r="D84" s="60">
        <f t="shared" si="29"/>
        <v>3.2481650720010817</v>
      </c>
      <c r="E84" s="1">
        <v>1.79</v>
      </c>
      <c r="F84" s="38">
        <f t="shared" ref="F84:R84" si="30">E74</f>
        <v>10.616016481655793</v>
      </c>
      <c r="G84" s="38">
        <f t="shared" si="30"/>
        <v>15.010665441157538</v>
      </c>
      <c r="H84" s="38">
        <f t="shared" si="30"/>
        <v>10.341068539373808</v>
      </c>
      <c r="I84" s="38">
        <f t="shared" si="30"/>
        <v>15.659926183426297</v>
      </c>
      <c r="J84" s="38" t="e">
        <f t="shared" si="30"/>
        <v>#DIV/0!</v>
      </c>
      <c r="K84" s="38" t="e">
        <f t="shared" si="30"/>
        <v>#DIV/0!</v>
      </c>
      <c r="L84" s="38" t="e">
        <f t="shared" si="30"/>
        <v>#DIV/0!</v>
      </c>
      <c r="M84" s="38" t="e">
        <f t="shared" si="30"/>
        <v>#DIV/0!</v>
      </c>
      <c r="N84" s="38" t="e">
        <f t="shared" si="30"/>
        <v>#DIV/0!</v>
      </c>
      <c r="O84" s="38" t="e">
        <f t="shared" si="30"/>
        <v>#DIV/0!</v>
      </c>
      <c r="P84" s="38" t="e">
        <f t="shared" si="30"/>
        <v>#DIV/0!</v>
      </c>
      <c r="Q84" s="38" t="e">
        <f t="shared" si="30"/>
        <v>#DIV/0!</v>
      </c>
      <c r="R84" s="38">
        <f t="shared" si="30"/>
        <v>12.769535507639288</v>
      </c>
    </row>
    <row r="85" spans="1:18">
      <c r="A85" s="37" t="s">
        <v>90</v>
      </c>
      <c r="B85" s="26"/>
      <c r="C85" s="26"/>
      <c r="D85" s="60"/>
      <c r="E85" s="1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</row>
    <row r="86" spans="1:18">
      <c r="A86" s="37" t="s">
        <v>67</v>
      </c>
      <c r="B86" s="26">
        <f>'Water withdrawal'!C87</f>
        <v>9.0561442384612807</v>
      </c>
      <c r="C86" s="26">
        <f>'Water withdrawal'!D87</f>
        <v>10.3315058334617</v>
      </c>
      <c r="D86" s="60">
        <f>'Water withdrawal'!E87</f>
        <v>8.0495006936000006</v>
      </c>
      <c r="E86" s="26">
        <f>'Water withdrawal'!F87</f>
        <v>8.2806149300000023</v>
      </c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</row>
    <row r="143" spans="2:16">
      <c r="C143" s="36"/>
      <c r="D143" s="36"/>
      <c r="E143" s="40">
        <v>2020</v>
      </c>
      <c r="F143" s="40">
        <v>2021</v>
      </c>
      <c r="G143" s="40">
        <v>2022</v>
      </c>
      <c r="H143" s="40" t="s">
        <v>75</v>
      </c>
      <c r="I143" s="40" t="s">
        <v>75</v>
      </c>
      <c r="J143" s="40" t="s">
        <v>100</v>
      </c>
      <c r="K143" s="40" t="s">
        <v>101</v>
      </c>
      <c r="M143">
        <v>2021</v>
      </c>
      <c r="O143">
        <v>2023</v>
      </c>
      <c r="P143" t="s">
        <v>130</v>
      </c>
    </row>
    <row r="144" spans="2:16">
      <c r="B144" s="417" t="s">
        <v>77</v>
      </c>
      <c r="C144" s="37" t="s">
        <v>66</v>
      </c>
      <c r="D144" s="37" t="s">
        <v>129</v>
      </c>
      <c r="E144" s="41">
        <v>3.0121366605058597</v>
      </c>
      <c r="F144" s="41">
        <v>2.7129934895566494</v>
      </c>
      <c r="G144" s="41">
        <v>3.2481650720010817</v>
      </c>
      <c r="H144" s="41">
        <f>$D$74</f>
        <v>0</v>
      </c>
      <c r="I144" s="42">
        <f>$Q$74</f>
        <v>12.769535507639288</v>
      </c>
      <c r="J144" s="39">
        <f>$P$146</f>
        <v>1.6446132476581408</v>
      </c>
      <c r="K144" s="1">
        <v>2.62</v>
      </c>
      <c r="L144" s="101" t="s">
        <v>136</v>
      </c>
      <c r="M144" s="50">
        <f>[2]SO2!$D$12*10^6</f>
        <v>28029308.063498151</v>
      </c>
      <c r="N144" s="58">
        <f>(M144-O144)/M144</f>
        <v>-0.64590284168229239</v>
      </c>
      <c r="O144" s="50">
        <f>$Q$34</f>
        <v>46133517.792099997</v>
      </c>
      <c r="P144" s="50">
        <f>O144+(N144*O144)</f>
        <v>16335747.553382013</v>
      </c>
    </row>
    <row r="145" spans="2:16" ht="15" customHeight="1">
      <c r="B145" s="418"/>
      <c r="C145" s="37" t="s">
        <v>67</v>
      </c>
      <c r="D145" s="37" t="s">
        <v>68</v>
      </c>
      <c r="E145" s="38">
        <f>'[3]Water withdrawal'!E101</f>
        <v>9.0561442384612842</v>
      </c>
      <c r="F145" s="38">
        <f>'[3]Water withdrawal'!F101</f>
        <v>10.344745617753649</v>
      </c>
      <c r="G145" s="38">
        <f>'[3]Water withdrawal'!G101</f>
        <v>8.5988598636000013</v>
      </c>
      <c r="H145" s="38">
        <f>'[3]Water withdrawal'!H101</f>
        <v>9.1984955120831806</v>
      </c>
      <c r="I145" s="39">
        <f>'[3]Water withdrawal'!I101</f>
        <v>8280614.9300000016</v>
      </c>
      <c r="J145" s="39"/>
      <c r="K145" s="26">
        <f>'[3]Hz waste gen'!$K$103</f>
        <v>8.5300867756288596</v>
      </c>
      <c r="L145" t="str">
        <f>[3]NOx!M99</f>
        <v>ton product</v>
      </c>
      <c r="M145">
        <f>[3]NOx!N99</f>
        <v>10344745.617753649</v>
      </c>
      <c r="N145" s="58">
        <f>(M145-O145)/M145</f>
        <v>0.19953421418224021</v>
      </c>
      <c r="O145" s="50">
        <f>[3]NOx!$P$99</f>
        <v>8280614.9300000016</v>
      </c>
      <c r="P145" s="50">
        <f>O145+(N145*O145)</f>
        <v>9932880.9230032787</v>
      </c>
    </row>
    <row r="146" spans="2:16">
      <c r="B146" s="419" t="s">
        <v>78</v>
      </c>
      <c r="C146" s="37" t="s">
        <v>66</v>
      </c>
      <c r="D146" s="37" t="s">
        <v>129</v>
      </c>
      <c r="E146" s="38">
        <v>3.1844209507102832</v>
      </c>
      <c r="F146" s="38">
        <v>2.8820065510948911</v>
      </c>
      <c r="G146" s="38">
        <v>3.4715997551156614</v>
      </c>
      <c r="H146" s="43">
        <v>3.04</v>
      </c>
      <c r="I146" s="38">
        <f>$Q$75</f>
        <v>13.342578400496004</v>
      </c>
      <c r="J146" s="39"/>
      <c r="K146" s="39">
        <v>2.8</v>
      </c>
      <c r="P146" s="35">
        <f>P144/P145</f>
        <v>1.6446132476581408</v>
      </c>
    </row>
    <row r="147" spans="2:16">
      <c r="B147" s="420"/>
      <c r="C147" s="37" t="s">
        <v>67</v>
      </c>
      <c r="D147" s="37" t="s">
        <v>68</v>
      </c>
      <c r="E147" s="39">
        <f>'[3]Water withdrawal'!E103</f>
        <v>8.5473448657681743</v>
      </c>
      <c r="F147" s="39">
        <f>'[3]Water withdrawal'!F103</f>
        <v>9.7048037773794942</v>
      </c>
      <c r="G147" s="39">
        <f>'[3]Water withdrawal'!G103</f>
        <v>7.5174074896</v>
      </c>
      <c r="H147" s="39">
        <f>'[3]Water withdrawal'!H103</f>
        <v>8.6185785120831842</v>
      </c>
      <c r="I147" s="39">
        <f>'[3]Water withdrawal'!I103</f>
        <v>7.7716394509999995</v>
      </c>
      <c r="J147" s="39"/>
      <c r="K147" s="26">
        <f>'[3]Hz waste gen'!$K$107</f>
        <v>8.0037267756288593</v>
      </c>
      <c r="P147" s="35"/>
    </row>
    <row r="148" spans="2:16">
      <c r="E148" s="102">
        <v>3.04</v>
      </c>
      <c r="J148" s="44">
        <f>(E148-J144)/E148</f>
        <v>0.45900880011245371</v>
      </c>
    </row>
    <row r="213" spans="4:13">
      <c r="F213" s="40">
        <v>2020</v>
      </c>
      <c r="G213" s="40">
        <v>2021</v>
      </c>
      <c r="H213" s="40">
        <v>2022</v>
      </c>
      <c r="I213" s="40">
        <v>2023</v>
      </c>
      <c r="J213" s="40" t="s">
        <v>101</v>
      </c>
    </row>
    <row r="214" spans="4:13">
      <c r="D214" s="2" t="s">
        <v>66</v>
      </c>
      <c r="E214" s="37" t="s">
        <v>63</v>
      </c>
      <c r="F214" s="26">
        <f t="shared" ref="F214:H214" si="31">E144</f>
        <v>3.0121366605058597</v>
      </c>
      <c r="G214" s="26">
        <f t="shared" si="31"/>
        <v>2.7129934895566494</v>
      </c>
      <c r="H214" s="26">
        <f t="shared" si="31"/>
        <v>3.2481650720010817</v>
      </c>
      <c r="I214" s="50">
        <f>$I$144</f>
        <v>12.769535507639288</v>
      </c>
      <c r="J214" s="50">
        <f>J216-J215</f>
        <v>0.45178941621952973</v>
      </c>
      <c r="L214" s="50">
        <f>[2]SO2!$G$12*10^6</f>
        <v>22429586.934930101</v>
      </c>
      <c r="M214" s="50">
        <f>L214+(L214*N144)</f>
        <v>7942252.9958987292</v>
      </c>
    </row>
    <row r="215" spans="4:13">
      <c r="D215" s="2" t="s">
        <v>90</v>
      </c>
      <c r="E215" s="37" t="s">
        <v>63</v>
      </c>
      <c r="F215" s="16"/>
      <c r="G215" s="16"/>
      <c r="H215" s="16"/>
      <c r="I215" s="26"/>
      <c r="J215" s="26">
        <f>$L$216</f>
        <v>2.1682105837804704</v>
      </c>
      <c r="L215">
        <f>[3]NOx!$L$170</f>
        <v>10344745.617753649</v>
      </c>
    </row>
    <row r="216" spans="4:13">
      <c r="J216" s="26">
        <f>$K$144</f>
        <v>2.62</v>
      </c>
      <c r="L216" s="50">
        <f>L214/L215</f>
        <v>2.1682105837804704</v>
      </c>
      <c r="M216" s="50">
        <f>M214/L215</f>
        <v>0.76775720635104228</v>
      </c>
    </row>
  </sheetData>
  <mergeCells count="16">
    <mergeCell ref="B144:B145"/>
    <mergeCell ref="B146:B147"/>
    <mergeCell ref="A34:B34"/>
    <mergeCell ref="A35:B35"/>
    <mergeCell ref="A74:B74"/>
    <mergeCell ref="A75:B75"/>
    <mergeCell ref="A57:A69"/>
    <mergeCell ref="A37:B37"/>
    <mergeCell ref="A38:B38"/>
    <mergeCell ref="A77:B77"/>
    <mergeCell ref="A78:B78"/>
    <mergeCell ref="A1:W1"/>
    <mergeCell ref="A3:A18"/>
    <mergeCell ref="A41:W41"/>
    <mergeCell ref="A43:A56"/>
    <mergeCell ref="A19:A31"/>
  </mergeCells>
  <conditionalFormatting sqref="E43">
    <cfRule type="cellIs" dxfId="292" priority="245" operator="greaterThan">
      <formula>$D43</formula>
    </cfRule>
    <cfRule type="cellIs" dxfId="291" priority="246" operator="lessThanOrEqual">
      <formula>$D43</formula>
    </cfRule>
  </conditionalFormatting>
  <conditionalFormatting sqref="E44">
    <cfRule type="cellIs" dxfId="290" priority="243" operator="greaterThan">
      <formula>$D44</formula>
    </cfRule>
    <cfRule type="cellIs" dxfId="289" priority="244" operator="lessThanOrEqual">
      <formula>$D44</formula>
    </cfRule>
  </conditionalFormatting>
  <conditionalFormatting sqref="E45">
    <cfRule type="cellIs" dxfId="288" priority="241" operator="greaterThan">
      <formula>$D45</formula>
    </cfRule>
    <cfRule type="cellIs" dxfId="287" priority="242" operator="lessThanOrEqual">
      <formula>$D45</formula>
    </cfRule>
  </conditionalFormatting>
  <conditionalFormatting sqref="E58">
    <cfRule type="cellIs" dxfId="286" priority="239" operator="greaterThan">
      <formula>$D58</formula>
    </cfRule>
    <cfRule type="cellIs" dxfId="285" priority="240" operator="lessThanOrEqual">
      <formula>$D58</formula>
    </cfRule>
  </conditionalFormatting>
  <conditionalFormatting sqref="E59">
    <cfRule type="cellIs" dxfId="284" priority="237" operator="greaterThan">
      <formula>$D59</formula>
    </cfRule>
    <cfRule type="cellIs" dxfId="283" priority="238" operator="lessThanOrEqual">
      <formula>$D59</formula>
    </cfRule>
  </conditionalFormatting>
  <conditionalFormatting sqref="E75">
    <cfRule type="cellIs" dxfId="282" priority="235" operator="greaterThan">
      <formula>$D75</formula>
    </cfRule>
    <cfRule type="cellIs" dxfId="281" priority="236" operator="lessThanOrEqual">
      <formula>$D75</formula>
    </cfRule>
  </conditionalFormatting>
  <conditionalFormatting sqref="F75">
    <cfRule type="cellIs" dxfId="280" priority="233" operator="greaterThan">
      <formula>$D75</formula>
    </cfRule>
    <cfRule type="cellIs" dxfId="279" priority="234" operator="lessThanOrEqual">
      <formula>$D75</formula>
    </cfRule>
  </conditionalFormatting>
  <conditionalFormatting sqref="G75">
    <cfRule type="cellIs" dxfId="278" priority="231" operator="greaterThan">
      <formula>$D75</formula>
    </cfRule>
    <cfRule type="cellIs" dxfId="277" priority="232" operator="lessThanOrEqual">
      <formula>$D75</formula>
    </cfRule>
  </conditionalFormatting>
  <conditionalFormatting sqref="H75">
    <cfRule type="cellIs" dxfId="276" priority="229" operator="greaterThan">
      <formula>$D75</formula>
    </cfRule>
    <cfRule type="cellIs" dxfId="275" priority="230" operator="lessThanOrEqual">
      <formula>$D75</formula>
    </cfRule>
  </conditionalFormatting>
  <conditionalFormatting sqref="I75">
    <cfRule type="cellIs" dxfId="274" priority="227" operator="greaterThan">
      <formula>$D75</formula>
    </cfRule>
    <cfRule type="cellIs" dxfId="273" priority="228" operator="lessThanOrEqual">
      <formula>$D75</formula>
    </cfRule>
  </conditionalFormatting>
  <conditionalFormatting sqref="J75">
    <cfRule type="cellIs" dxfId="272" priority="225" operator="greaterThan">
      <formula>$D75</formula>
    </cfRule>
    <cfRule type="cellIs" dxfId="271" priority="226" operator="lessThanOrEqual">
      <formula>$D75</formula>
    </cfRule>
  </conditionalFormatting>
  <conditionalFormatting sqref="K75">
    <cfRule type="cellIs" dxfId="270" priority="223" operator="greaterThan">
      <formula>$D75</formula>
    </cfRule>
    <cfRule type="cellIs" dxfId="269" priority="224" operator="lessThanOrEqual">
      <formula>$D75</formula>
    </cfRule>
  </conditionalFormatting>
  <conditionalFormatting sqref="L75">
    <cfRule type="cellIs" dxfId="268" priority="221" operator="greaterThan">
      <formula>$D75</formula>
    </cfRule>
    <cfRule type="cellIs" dxfId="267" priority="222" operator="lessThanOrEqual">
      <formula>$D75</formula>
    </cfRule>
  </conditionalFormatting>
  <conditionalFormatting sqref="M75">
    <cfRule type="cellIs" dxfId="266" priority="219" operator="greaterThan">
      <formula>$D75</formula>
    </cfRule>
    <cfRule type="cellIs" dxfId="265" priority="220" operator="lessThanOrEqual">
      <formula>$D75</formula>
    </cfRule>
  </conditionalFormatting>
  <conditionalFormatting sqref="N75">
    <cfRule type="cellIs" dxfId="264" priority="217" operator="greaterThan">
      <formula>$D75</formula>
    </cfRule>
    <cfRule type="cellIs" dxfId="263" priority="218" operator="lessThanOrEqual">
      <formula>$D75</formula>
    </cfRule>
  </conditionalFormatting>
  <conditionalFormatting sqref="O75">
    <cfRule type="cellIs" dxfId="262" priority="215" operator="greaterThan">
      <formula>$D75</formula>
    </cfRule>
    <cfRule type="cellIs" dxfId="261" priority="216" operator="lessThanOrEqual">
      <formula>$D75</formula>
    </cfRule>
  </conditionalFormatting>
  <conditionalFormatting sqref="P75">
    <cfRule type="cellIs" dxfId="260" priority="213" operator="greaterThan">
      <formula>$D75</formula>
    </cfRule>
    <cfRule type="cellIs" dxfId="259" priority="214" operator="lessThanOrEqual">
      <formula>$D75</formula>
    </cfRule>
  </conditionalFormatting>
  <conditionalFormatting sqref="Q75">
    <cfRule type="cellIs" dxfId="258" priority="211" operator="greaterThan">
      <formula>$D75</formula>
    </cfRule>
    <cfRule type="cellIs" dxfId="257" priority="212" operator="lessThanOrEqual">
      <formula>$D75</formula>
    </cfRule>
  </conditionalFormatting>
  <conditionalFormatting sqref="R75">
    <cfRule type="cellIs" dxfId="256" priority="209" operator="greaterThan">
      <formula>$D75</formula>
    </cfRule>
    <cfRule type="cellIs" dxfId="255" priority="210" operator="lessThanOrEqual">
      <formula>$D75</formula>
    </cfRule>
  </conditionalFormatting>
  <conditionalFormatting sqref="S75">
    <cfRule type="cellIs" dxfId="254" priority="207" operator="greaterThan">
      <formula>$D75</formula>
    </cfRule>
    <cfRule type="cellIs" dxfId="253" priority="208" operator="lessThanOrEqual">
      <formula>$D75</formula>
    </cfRule>
  </conditionalFormatting>
  <conditionalFormatting sqref="T75">
    <cfRule type="cellIs" dxfId="252" priority="205" operator="greaterThan">
      <formula>$D75</formula>
    </cfRule>
    <cfRule type="cellIs" dxfId="251" priority="206" operator="lessThanOrEqual">
      <formula>$D75</formula>
    </cfRule>
  </conditionalFormatting>
  <conditionalFormatting sqref="U75">
    <cfRule type="cellIs" dxfId="250" priority="203" operator="greaterThan">
      <formula>$D75</formula>
    </cfRule>
    <cfRule type="cellIs" dxfId="249" priority="204" operator="lessThanOrEqual">
      <formula>$D75</formula>
    </cfRule>
  </conditionalFormatting>
  <conditionalFormatting sqref="V75">
    <cfRule type="cellIs" dxfId="248" priority="201" operator="greaterThan">
      <formula>$D75</formula>
    </cfRule>
    <cfRule type="cellIs" dxfId="247" priority="202" operator="lessThanOrEqual">
      <formula>$D75</formula>
    </cfRule>
  </conditionalFormatting>
  <conditionalFormatting sqref="W75">
    <cfRule type="cellIs" dxfId="246" priority="199" operator="greaterThan">
      <formula>$D75</formula>
    </cfRule>
    <cfRule type="cellIs" dxfId="245" priority="200" operator="lessThanOrEqual">
      <formula>$D75</formula>
    </cfRule>
  </conditionalFormatting>
  <conditionalFormatting sqref="F43">
    <cfRule type="cellIs" dxfId="244" priority="197" operator="greaterThan">
      <formula>$D43</formula>
    </cfRule>
    <cfRule type="cellIs" dxfId="243" priority="198" operator="lessThanOrEqual">
      <formula>$D43</formula>
    </cfRule>
  </conditionalFormatting>
  <conditionalFormatting sqref="F44">
    <cfRule type="cellIs" dxfId="242" priority="195" operator="greaterThan">
      <formula>$D44</formula>
    </cfRule>
    <cfRule type="cellIs" dxfId="241" priority="196" operator="lessThanOrEqual">
      <formula>$D44</formula>
    </cfRule>
  </conditionalFormatting>
  <conditionalFormatting sqref="F45">
    <cfRule type="cellIs" dxfId="240" priority="193" operator="greaterThan">
      <formula>$D45</formula>
    </cfRule>
    <cfRule type="cellIs" dxfId="239" priority="194" operator="lessThanOrEqual">
      <formula>$D45</formula>
    </cfRule>
  </conditionalFormatting>
  <conditionalFormatting sqref="F58">
    <cfRule type="cellIs" dxfId="238" priority="191" operator="greaterThan">
      <formula>$D58</formula>
    </cfRule>
    <cfRule type="cellIs" dxfId="237" priority="192" operator="lessThanOrEqual">
      <formula>$D58</formula>
    </cfRule>
  </conditionalFormatting>
  <conditionalFormatting sqref="F59">
    <cfRule type="cellIs" dxfId="236" priority="189" operator="greaterThan">
      <formula>$D59</formula>
    </cfRule>
    <cfRule type="cellIs" dxfId="235" priority="190" operator="lessThanOrEqual">
      <formula>$D59</formula>
    </cfRule>
  </conditionalFormatting>
  <conditionalFormatting sqref="G43">
    <cfRule type="cellIs" dxfId="234" priority="187" operator="greaterThan">
      <formula>$D43</formula>
    </cfRule>
    <cfRule type="cellIs" dxfId="233" priority="188" operator="lessThanOrEqual">
      <formula>$D43</formula>
    </cfRule>
  </conditionalFormatting>
  <conditionalFormatting sqref="G44">
    <cfRule type="cellIs" dxfId="232" priority="185" operator="greaterThan">
      <formula>$D44</formula>
    </cfRule>
    <cfRule type="cellIs" dxfId="231" priority="186" operator="lessThanOrEqual">
      <formula>$D44</formula>
    </cfRule>
  </conditionalFormatting>
  <conditionalFormatting sqref="G45">
    <cfRule type="cellIs" dxfId="230" priority="183" operator="greaterThan">
      <formula>$D45</formula>
    </cfRule>
    <cfRule type="cellIs" dxfId="229" priority="184" operator="lessThanOrEqual">
      <formula>$D45</formula>
    </cfRule>
  </conditionalFormatting>
  <conditionalFormatting sqref="G58">
    <cfRule type="cellIs" dxfId="228" priority="181" operator="greaterThan">
      <formula>$D58</formula>
    </cfRule>
    <cfRule type="cellIs" dxfId="227" priority="182" operator="lessThanOrEqual">
      <formula>$D58</formula>
    </cfRule>
  </conditionalFormatting>
  <conditionalFormatting sqref="G59">
    <cfRule type="cellIs" dxfId="226" priority="179" operator="greaterThan">
      <formula>$D59</formula>
    </cfRule>
    <cfRule type="cellIs" dxfId="225" priority="180" operator="lessThanOrEqual">
      <formula>$D59</formula>
    </cfRule>
  </conditionalFormatting>
  <conditionalFormatting sqref="H43">
    <cfRule type="cellIs" dxfId="224" priority="177" operator="greaterThan">
      <formula>$D43</formula>
    </cfRule>
    <cfRule type="cellIs" dxfId="223" priority="178" operator="lessThanOrEqual">
      <formula>$D43</formula>
    </cfRule>
  </conditionalFormatting>
  <conditionalFormatting sqref="H44">
    <cfRule type="cellIs" dxfId="222" priority="175" operator="greaterThan">
      <formula>$D44</formula>
    </cfRule>
    <cfRule type="cellIs" dxfId="221" priority="176" operator="lessThanOrEqual">
      <formula>$D44</formula>
    </cfRule>
  </conditionalFormatting>
  <conditionalFormatting sqref="H45">
    <cfRule type="cellIs" dxfId="220" priority="173" operator="greaterThan">
      <formula>$D45</formula>
    </cfRule>
    <cfRule type="cellIs" dxfId="219" priority="174" operator="lessThanOrEqual">
      <formula>$D45</formula>
    </cfRule>
  </conditionalFormatting>
  <conditionalFormatting sqref="H58">
    <cfRule type="cellIs" dxfId="218" priority="171" operator="greaterThan">
      <formula>$D58</formula>
    </cfRule>
    <cfRule type="cellIs" dxfId="217" priority="172" operator="lessThanOrEqual">
      <formula>$D58</formula>
    </cfRule>
  </conditionalFormatting>
  <conditionalFormatting sqref="H59">
    <cfRule type="cellIs" dxfId="216" priority="169" operator="greaterThan">
      <formula>$D59</formula>
    </cfRule>
    <cfRule type="cellIs" dxfId="215" priority="170" operator="lessThanOrEqual">
      <formula>$D59</formula>
    </cfRule>
  </conditionalFormatting>
  <conditionalFormatting sqref="I43">
    <cfRule type="cellIs" dxfId="214" priority="167" operator="greaterThan">
      <formula>$D43</formula>
    </cfRule>
    <cfRule type="cellIs" dxfId="213" priority="168" operator="lessThanOrEqual">
      <formula>$D43</formula>
    </cfRule>
  </conditionalFormatting>
  <conditionalFormatting sqref="I44">
    <cfRule type="cellIs" dxfId="212" priority="165" operator="greaterThan">
      <formula>$D44</formula>
    </cfRule>
    <cfRule type="cellIs" dxfId="211" priority="166" operator="lessThanOrEqual">
      <formula>$D44</formula>
    </cfRule>
  </conditionalFormatting>
  <conditionalFormatting sqref="I45">
    <cfRule type="cellIs" dxfId="210" priority="163" operator="greaterThan">
      <formula>$D45</formula>
    </cfRule>
    <cfRule type="cellIs" dxfId="209" priority="164" operator="lessThanOrEqual">
      <formula>$D45</formula>
    </cfRule>
  </conditionalFormatting>
  <conditionalFormatting sqref="I58">
    <cfRule type="cellIs" dxfId="208" priority="161" operator="greaterThan">
      <formula>$D58</formula>
    </cfRule>
    <cfRule type="cellIs" dxfId="207" priority="162" operator="lessThanOrEqual">
      <formula>$D58</formula>
    </cfRule>
  </conditionalFormatting>
  <conditionalFormatting sqref="I59">
    <cfRule type="cellIs" dxfId="206" priority="159" operator="greaterThan">
      <formula>$D59</formula>
    </cfRule>
    <cfRule type="cellIs" dxfId="205" priority="160" operator="lessThanOrEqual">
      <formula>$D59</formula>
    </cfRule>
  </conditionalFormatting>
  <conditionalFormatting sqref="J43">
    <cfRule type="cellIs" dxfId="204" priority="157" operator="greaterThan">
      <formula>$D43</formula>
    </cfRule>
    <cfRule type="cellIs" dxfId="203" priority="158" operator="lessThanOrEqual">
      <formula>$D43</formula>
    </cfRule>
  </conditionalFormatting>
  <conditionalFormatting sqref="J44">
    <cfRule type="cellIs" dxfId="202" priority="155" operator="greaterThan">
      <formula>$D44</formula>
    </cfRule>
    <cfRule type="cellIs" dxfId="201" priority="156" operator="lessThanOrEqual">
      <formula>$D44</formula>
    </cfRule>
  </conditionalFormatting>
  <conditionalFormatting sqref="J45">
    <cfRule type="cellIs" dxfId="200" priority="153" operator="greaterThan">
      <formula>$D45</formula>
    </cfRule>
    <cfRule type="cellIs" dxfId="199" priority="154" operator="lessThanOrEqual">
      <formula>$D45</formula>
    </cfRule>
  </conditionalFormatting>
  <conditionalFormatting sqref="J58">
    <cfRule type="cellIs" dxfId="198" priority="151" operator="greaterThan">
      <formula>$D58</formula>
    </cfRule>
    <cfRule type="cellIs" dxfId="197" priority="152" operator="lessThanOrEqual">
      <formula>$D58</formula>
    </cfRule>
  </conditionalFormatting>
  <conditionalFormatting sqref="J59">
    <cfRule type="cellIs" dxfId="196" priority="149" operator="greaterThan">
      <formula>$D59</formula>
    </cfRule>
    <cfRule type="cellIs" dxfId="195" priority="150" operator="lessThanOrEqual">
      <formula>$D59</formula>
    </cfRule>
  </conditionalFormatting>
  <conditionalFormatting sqref="K43">
    <cfRule type="cellIs" dxfId="194" priority="147" operator="greaterThan">
      <formula>$D43</formula>
    </cfRule>
    <cfRule type="cellIs" dxfId="193" priority="148" operator="lessThanOrEqual">
      <formula>$D43</formula>
    </cfRule>
  </conditionalFormatting>
  <conditionalFormatting sqref="K44">
    <cfRule type="cellIs" dxfId="192" priority="145" operator="greaterThan">
      <formula>$D44</formula>
    </cfRule>
    <cfRule type="cellIs" dxfId="191" priority="146" operator="lessThanOrEqual">
      <formula>$D44</formula>
    </cfRule>
  </conditionalFormatting>
  <conditionalFormatting sqref="K45">
    <cfRule type="cellIs" dxfId="190" priority="143" operator="greaterThan">
      <formula>$D45</formula>
    </cfRule>
    <cfRule type="cellIs" dxfId="189" priority="144" operator="lessThanOrEqual">
      <formula>$D45</formula>
    </cfRule>
  </conditionalFormatting>
  <conditionalFormatting sqref="K58">
    <cfRule type="cellIs" dxfId="188" priority="141" operator="greaterThan">
      <formula>$D58</formula>
    </cfRule>
    <cfRule type="cellIs" dxfId="187" priority="142" operator="lessThanOrEqual">
      <formula>$D58</formula>
    </cfRule>
  </conditionalFormatting>
  <conditionalFormatting sqref="K59">
    <cfRule type="cellIs" dxfId="186" priority="139" operator="greaterThan">
      <formula>$D59</formula>
    </cfRule>
    <cfRule type="cellIs" dxfId="185" priority="140" operator="lessThanOrEqual">
      <formula>$D59</formula>
    </cfRule>
  </conditionalFormatting>
  <conditionalFormatting sqref="L43">
    <cfRule type="cellIs" dxfId="184" priority="137" operator="greaterThan">
      <formula>$D43</formula>
    </cfRule>
    <cfRule type="cellIs" dxfId="183" priority="138" operator="lessThanOrEqual">
      <formula>$D43</formula>
    </cfRule>
  </conditionalFormatting>
  <conditionalFormatting sqref="L44">
    <cfRule type="cellIs" dxfId="182" priority="135" operator="greaterThan">
      <formula>$D44</formula>
    </cfRule>
    <cfRule type="cellIs" dxfId="181" priority="136" operator="lessThanOrEqual">
      <formula>$D44</formula>
    </cfRule>
  </conditionalFormatting>
  <conditionalFormatting sqref="L45">
    <cfRule type="cellIs" dxfId="180" priority="133" operator="greaterThan">
      <formula>$D45</formula>
    </cfRule>
    <cfRule type="cellIs" dxfId="179" priority="134" operator="lessThanOrEqual">
      <formula>$D45</formula>
    </cfRule>
  </conditionalFormatting>
  <conditionalFormatting sqref="L58">
    <cfRule type="cellIs" dxfId="178" priority="131" operator="greaterThan">
      <formula>$D58</formula>
    </cfRule>
    <cfRule type="cellIs" dxfId="177" priority="132" operator="lessThanOrEqual">
      <formula>$D58</formula>
    </cfRule>
  </conditionalFormatting>
  <conditionalFormatting sqref="L59">
    <cfRule type="cellIs" dxfId="176" priority="129" operator="greaterThan">
      <formula>$D59</formula>
    </cfRule>
    <cfRule type="cellIs" dxfId="175" priority="130" operator="lessThanOrEqual">
      <formula>$D59</formula>
    </cfRule>
  </conditionalFormatting>
  <conditionalFormatting sqref="M43">
    <cfRule type="cellIs" dxfId="174" priority="127" operator="greaterThan">
      <formula>$D43</formula>
    </cfRule>
    <cfRule type="cellIs" dxfId="173" priority="128" operator="lessThanOrEqual">
      <formula>$D43</formula>
    </cfRule>
  </conditionalFormatting>
  <conditionalFormatting sqref="M44">
    <cfRule type="cellIs" dxfId="172" priority="125" operator="greaterThan">
      <formula>$D44</formula>
    </cfRule>
    <cfRule type="cellIs" dxfId="171" priority="126" operator="lessThanOrEqual">
      <formula>$D44</formula>
    </cfRule>
  </conditionalFormatting>
  <conditionalFormatting sqref="M45">
    <cfRule type="cellIs" dxfId="170" priority="123" operator="greaterThan">
      <formula>$D45</formula>
    </cfRule>
    <cfRule type="cellIs" dxfId="169" priority="124" operator="lessThanOrEqual">
      <formula>$D45</formula>
    </cfRule>
  </conditionalFormatting>
  <conditionalFormatting sqref="M58">
    <cfRule type="cellIs" dxfId="168" priority="121" operator="greaterThan">
      <formula>$D58</formula>
    </cfRule>
    <cfRule type="cellIs" dxfId="167" priority="122" operator="lessThanOrEqual">
      <formula>$D58</formula>
    </cfRule>
  </conditionalFormatting>
  <conditionalFormatting sqref="M59">
    <cfRule type="cellIs" dxfId="166" priority="119" operator="greaterThan">
      <formula>$D59</formula>
    </cfRule>
    <cfRule type="cellIs" dxfId="165" priority="120" operator="lessThanOrEqual">
      <formula>$D59</formula>
    </cfRule>
  </conditionalFormatting>
  <conditionalFormatting sqref="N43">
    <cfRule type="cellIs" dxfId="164" priority="117" operator="greaterThan">
      <formula>$D43</formula>
    </cfRule>
    <cfRule type="cellIs" dxfId="163" priority="118" operator="lessThanOrEqual">
      <formula>$D43</formula>
    </cfRule>
  </conditionalFormatting>
  <conditionalFormatting sqref="N44">
    <cfRule type="cellIs" dxfId="162" priority="115" operator="greaterThan">
      <formula>$D44</formula>
    </cfRule>
    <cfRule type="cellIs" dxfId="161" priority="116" operator="lessThanOrEqual">
      <formula>$D44</formula>
    </cfRule>
  </conditionalFormatting>
  <conditionalFormatting sqref="N45">
    <cfRule type="cellIs" dxfId="160" priority="113" operator="greaterThan">
      <formula>$D45</formula>
    </cfRule>
    <cfRule type="cellIs" dxfId="159" priority="114" operator="lessThanOrEqual">
      <formula>$D45</formula>
    </cfRule>
  </conditionalFormatting>
  <conditionalFormatting sqref="N58">
    <cfRule type="cellIs" dxfId="158" priority="111" operator="greaterThan">
      <formula>$D58</formula>
    </cfRule>
    <cfRule type="cellIs" dxfId="157" priority="112" operator="lessThanOrEqual">
      <formula>$D58</formula>
    </cfRule>
  </conditionalFormatting>
  <conditionalFormatting sqref="N59">
    <cfRule type="cellIs" dxfId="156" priority="109" operator="greaterThan">
      <formula>$D59</formula>
    </cfRule>
    <cfRule type="cellIs" dxfId="155" priority="110" operator="lessThanOrEqual">
      <formula>$D59</formula>
    </cfRule>
  </conditionalFormatting>
  <conditionalFormatting sqref="O43">
    <cfRule type="cellIs" dxfId="154" priority="107" operator="greaterThan">
      <formula>$D43</formula>
    </cfRule>
    <cfRule type="cellIs" dxfId="153" priority="108" operator="lessThanOrEqual">
      <formula>$D43</formula>
    </cfRule>
  </conditionalFormatting>
  <conditionalFormatting sqref="O44">
    <cfRule type="cellIs" dxfId="152" priority="105" operator="greaterThan">
      <formula>$D44</formula>
    </cfRule>
    <cfRule type="cellIs" dxfId="151" priority="106" operator="lessThanOrEqual">
      <formula>$D44</formula>
    </cfRule>
  </conditionalFormatting>
  <conditionalFormatting sqref="O45">
    <cfRule type="cellIs" dxfId="150" priority="103" operator="greaterThan">
      <formula>$D45</formula>
    </cfRule>
    <cfRule type="cellIs" dxfId="149" priority="104" operator="lessThanOrEqual">
      <formula>$D45</formula>
    </cfRule>
  </conditionalFormatting>
  <conditionalFormatting sqref="O58">
    <cfRule type="cellIs" dxfId="148" priority="101" operator="greaterThan">
      <formula>$D58</formula>
    </cfRule>
    <cfRule type="cellIs" dxfId="147" priority="102" operator="lessThanOrEqual">
      <formula>$D58</formula>
    </cfRule>
  </conditionalFormatting>
  <conditionalFormatting sqref="O59">
    <cfRule type="cellIs" dxfId="146" priority="99" operator="greaterThan">
      <formula>$D59</formula>
    </cfRule>
    <cfRule type="cellIs" dxfId="145" priority="100" operator="lessThanOrEqual">
      <formula>$D59</formula>
    </cfRule>
  </conditionalFormatting>
  <conditionalFormatting sqref="P43">
    <cfRule type="cellIs" dxfId="144" priority="97" operator="greaterThan">
      <formula>$D43</formula>
    </cfRule>
    <cfRule type="cellIs" dxfId="143" priority="98" operator="lessThanOrEqual">
      <formula>$D43</formula>
    </cfRule>
  </conditionalFormatting>
  <conditionalFormatting sqref="P44">
    <cfRule type="cellIs" dxfId="142" priority="95" operator="greaterThan">
      <formula>$D44</formula>
    </cfRule>
    <cfRule type="cellIs" dxfId="141" priority="96" operator="lessThanOrEqual">
      <formula>$D44</formula>
    </cfRule>
  </conditionalFormatting>
  <conditionalFormatting sqref="P45">
    <cfRule type="cellIs" dxfId="140" priority="93" operator="greaterThan">
      <formula>$D45</formula>
    </cfRule>
    <cfRule type="cellIs" dxfId="139" priority="94" operator="lessThanOrEqual">
      <formula>$D45</formula>
    </cfRule>
  </conditionalFormatting>
  <conditionalFormatting sqref="P58">
    <cfRule type="cellIs" dxfId="138" priority="91" operator="greaterThan">
      <formula>$D58</formula>
    </cfRule>
    <cfRule type="cellIs" dxfId="137" priority="92" operator="lessThanOrEqual">
      <formula>$D58</formula>
    </cfRule>
  </conditionalFormatting>
  <conditionalFormatting sqref="P59">
    <cfRule type="cellIs" dxfId="136" priority="89" operator="greaterThan">
      <formula>$D59</formula>
    </cfRule>
    <cfRule type="cellIs" dxfId="135" priority="90" operator="lessThanOrEqual">
      <formula>$D59</formula>
    </cfRule>
  </conditionalFormatting>
  <conditionalFormatting sqref="Q43">
    <cfRule type="cellIs" dxfId="134" priority="87" operator="greaterThan">
      <formula>$D43</formula>
    </cfRule>
    <cfRule type="cellIs" dxfId="133" priority="88" operator="lessThanOrEqual">
      <formula>$D43</formula>
    </cfRule>
  </conditionalFormatting>
  <conditionalFormatting sqref="Q44">
    <cfRule type="cellIs" dxfId="132" priority="85" operator="greaterThan">
      <formula>$D44</formula>
    </cfRule>
    <cfRule type="cellIs" dxfId="131" priority="86" operator="lessThanOrEqual">
      <formula>$D44</formula>
    </cfRule>
  </conditionalFormatting>
  <conditionalFormatting sqref="Q45">
    <cfRule type="cellIs" dxfId="130" priority="83" operator="greaterThan">
      <formula>$D45</formula>
    </cfRule>
    <cfRule type="cellIs" dxfId="129" priority="84" operator="lessThanOrEqual">
      <formula>$D45</formula>
    </cfRule>
  </conditionalFormatting>
  <conditionalFormatting sqref="Q58">
    <cfRule type="cellIs" dxfId="128" priority="81" operator="greaterThan">
      <formula>$D58</formula>
    </cfRule>
    <cfRule type="cellIs" dxfId="127" priority="82" operator="lessThanOrEqual">
      <formula>$D58</formula>
    </cfRule>
  </conditionalFormatting>
  <conditionalFormatting sqref="Q59">
    <cfRule type="cellIs" dxfId="126" priority="79" operator="greaterThan">
      <formula>$D59</formula>
    </cfRule>
    <cfRule type="cellIs" dxfId="125" priority="80" operator="lessThanOrEqual">
      <formula>$D59</formula>
    </cfRule>
  </conditionalFormatting>
  <conditionalFormatting sqref="E66">
    <cfRule type="cellIs" dxfId="124" priority="77" operator="greaterThan">
      <formula>$D66</formula>
    </cfRule>
    <cfRule type="cellIs" dxfId="123" priority="78" operator="lessThanOrEqual">
      <formula>$D66</formula>
    </cfRule>
  </conditionalFormatting>
  <conditionalFormatting sqref="F66">
    <cfRule type="cellIs" dxfId="122" priority="75" operator="greaterThan">
      <formula>$D66</formula>
    </cfRule>
    <cfRule type="cellIs" dxfId="121" priority="76" operator="lessThanOrEqual">
      <formula>$D66</formula>
    </cfRule>
  </conditionalFormatting>
  <conditionalFormatting sqref="G66">
    <cfRule type="cellIs" dxfId="120" priority="73" operator="greaterThan">
      <formula>$D66</formula>
    </cfRule>
    <cfRule type="cellIs" dxfId="119" priority="74" operator="lessThanOrEqual">
      <formula>$D66</formula>
    </cfRule>
  </conditionalFormatting>
  <conditionalFormatting sqref="H66">
    <cfRule type="cellIs" dxfId="118" priority="71" operator="greaterThan">
      <formula>$D66</formula>
    </cfRule>
    <cfRule type="cellIs" dxfId="117" priority="72" operator="lessThanOrEqual">
      <formula>$D66</formula>
    </cfRule>
  </conditionalFormatting>
  <conditionalFormatting sqref="I66">
    <cfRule type="cellIs" dxfId="116" priority="69" operator="greaterThan">
      <formula>$D66</formula>
    </cfRule>
    <cfRule type="cellIs" dxfId="115" priority="70" operator="lessThanOrEqual">
      <formula>$D66</formula>
    </cfRule>
  </conditionalFormatting>
  <conditionalFormatting sqref="J66">
    <cfRule type="cellIs" dxfId="114" priority="67" operator="greaterThan">
      <formula>$D66</formula>
    </cfRule>
    <cfRule type="cellIs" dxfId="113" priority="68" operator="lessThanOrEqual">
      <formula>$D66</formula>
    </cfRule>
  </conditionalFormatting>
  <conditionalFormatting sqref="K66">
    <cfRule type="cellIs" dxfId="112" priority="65" operator="greaterThan">
      <formula>$D66</formula>
    </cfRule>
    <cfRule type="cellIs" dxfId="111" priority="66" operator="lessThanOrEqual">
      <formula>$D66</formula>
    </cfRule>
  </conditionalFormatting>
  <conditionalFormatting sqref="L66">
    <cfRule type="cellIs" dxfId="110" priority="63" operator="greaterThan">
      <formula>$D66</formula>
    </cfRule>
    <cfRule type="cellIs" dxfId="109" priority="64" operator="lessThanOrEqual">
      <formula>$D66</formula>
    </cfRule>
  </conditionalFormatting>
  <conditionalFormatting sqref="M66">
    <cfRule type="cellIs" dxfId="108" priority="61" operator="greaterThan">
      <formula>$D66</formula>
    </cfRule>
    <cfRule type="cellIs" dxfId="107" priority="62" operator="lessThanOrEqual">
      <formula>$D66</formula>
    </cfRule>
  </conditionalFormatting>
  <conditionalFormatting sqref="N66">
    <cfRule type="cellIs" dxfId="106" priority="59" operator="greaterThan">
      <formula>$D66</formula>
    </cfRule>
    <cfRule type="cellIs" dxfId="105" priority="60" operator="lessThanOrEqual">
      <formula>$D66</formula>
    </cfRule>
  </conditionalFormatting>
  <conditionalFormatting sqref="O66">
    <cfRule type="cellIs" dxfId="104" priority="57" operator="greaterThan">
      <formula>$D66</formula>
    </cfRule>
    <cfRule type="cellIs" dxfId="103" priority="58" operator="lessThanOrEqual">
      <formula>$D66</formula>
    </cfRule>
  </conditionalFormatting>
  <conditionalFormatting sqref="P66">
    <cfRule type="cellIs" dxfId="102" priority="55" operator="greaterThan">
      <formula>$D66</formula>
    </cfRule>
    <cfRule type="cellIs" dxfId="101" priority="56" operator="lessThanOrEqual">
      <formula>$D66</formula>
    </cfRule>
  </conditionalFormatting>
  <conditionalFormatting sqref="Q66">
    <cfRule type="cellIs" dxfId="100" priority="53" operator="greaterThan">
      <formula>$D66</formula>
    </cfRule>
    <cfRule type="cellIs" dxfId="99" priority="54" operator="lessThanOrEqual">
      <formula>$D66</formula>
    </cfRule>
  </conditionalFormatting>
  <conditionalFormatting sqref="E77">
    <cfRule type="cellIs" dxfId="98" priority="51" operator="greaterThan">
      <formula>$D77</formula>
    </cfRule>
    <cfRule type="cellIs" dxfId="97" priority="52" operator="lessThanOrEqual">
      <formula>$D77</formula>
    </cfRule>
  </conditionalFormatting>
  <conditionalFormatting sqref="F77">
    <cfRule type="cellIs" dxfId="96" priority="49" operator="greaterThan">
      <formula>$D77</formula>
    </cfRule>
    <cfRule type="cellIs" dxfId="95" priority="50" operator="lessThanOrEqual">
      <formula>$D77</formula>
    </cfRule>
  </conditionalFormatting>
  <conditionalFormatting sqref="G77">
    <cfRule type="cellIs" dxfId="94" priority="47" operator="greaterThan">
      <formula>$D77</formula>
    </cfRule>
    <cfRule type="cellIs" dxfId="93" priority="48" operator="lessThanOrEqual">
      <formula>$D77</formula>
    </cfRule>
  </conditionalFormatting>
  <conditionalFormatting sqref="H77">
    <cfRule type="cellIs" dxfId="92" priority="45" operator="greaterThan">
      <formula>$D77</formula>
    </cfRule>
    <cfRule type="cellIs" dxfId="91" priority="46" operator="lessThanOrEqual">
      <formula>$D77</formula>
    </cfRule>
  </conditionalFormatting>
  <conditionalFormatting sqref="I77">
    <cfRule type="cellIs" dxfId="90" priority="43" operator="greaterThan">
      <formula>$D77</formula>
    </cfRule>
    <cfRule type="cellIs" dxfId="89" priority="44" operator="lessThanOrEqual">
      <formula>$D77</formula>
    </cfRule>
  </conditionalFormatting>
  <conditionalFormatting sqref="J77">
    <cfRule type="cellIs" dxfId="88" priority="41" operator="greaterThan">
      <formula>$D77</formula>
    </cfRule>
    <cfRule type="cellIs" dxfId="87" priority="42" operator="lessThanOrEqual">
      <formula>$D77</formula>
    </cfRule>
  </conditionalFormatting>
  <conditionalFormatting sqref="K77">
    <cfRule type="cellIs" dxfId="86" priority="39" operator="greaterThan">
      <formula>$D77</formula>
    </cfRule>
    <cfRule type="cellIs" dxfId="85" priority="40" operator="lessThanOrEqual">
      <formula>$D77</formula>
    </cfRule>
  </conditionalFormatting>
  <conditionalFormatting sqref="L77">
    <cfRule type="cellIs" dxfId="84" priority="37" operator="greaterThan">
      <formula>$D77</formula>
    </cfRule>
    <cfRule type="cellIs" dxfId="83" priority="38" operator="lessThanOrEqual">
      <formula>$D77</formula>
    </cfRule>
  </conditionalFormatting>
  <conditionalFormatting sqref="M77">
    <cfRule type="cellIs" dxfId="82" priority="35" operator="greaterThan">
      <formula>$D77</formula>
    </cfRule>
    <cfRule type="cellIs" dxfId="81" priority="36" operator="lessThanOrEqual">
      <formula>$D77</formula>
    </cfRule>
  </conditionalFormatting>
  <conditionalFormatting sqref="N77">
    <cfRule type="cellIs" dxfId="80" priority="33" operator="greaterThan">
      <formula>$D77</formula>
    </cfRule>
    <cfRule type="cellIs" dxfId="79" priority="34" operator="lessThanOrEqual">
      <formula>$D77</formula>
    </cfRule>
  </conditionalFormatting>
  <conditionalFormatting sqref="O77">
    <cfRule type="cellIs" dxfId="78" priority="31" operator="greaterThan">
      <formula>$D77</formula>
    </cfRule>
    <cfRule type="cellIs" dxfId="77" priority="32" operator="lessThanOrEqual">
      <formula>$D77</formula>
    </cfRule>
  </conditionalFormatting>
  <conditionalFormatting sqref="P77">
    <cfRule type="cellIs" dxfId="76" priority="29" operator="greaterThan">
      <formula>$D77</formula>
    </cfRule>
    <cfRule type="cellIs" dxfId="75" priority="30" operator="lessThanOrEqual">
      <formula>$D77</formula>
    </cfRule>
  </conditionalFormatting>
  <conditionalFormatting sqref="Q77">
    <cfRule type="cellIs" dxfId="74" priority="27" operator="greaterThan">
      <formula>$D77</formula>
    </cfRule>
    <cfRule type="cellIs" dxfId="73" priority="28" operator="lessThanOrEqual">
      <formula>$D77</formula>
    </cfRule>
  </conditionalFormatting>
  <conditionalFormatting sqref="E78">
    <cfRule type="cellIs" dxfId="72" priority="25" operator="greaterThan">
      <formula>$D78</formula>
    </cfRule>
    <cfRule type="cellIs" dxfId="71" priority="26" operator="lessThanOrEqual">
      <formula>$D78</formula>
    </cfRule>
  </conditionalFormatting>
  <conditionalFormatting sqref="F78">
    <cfRule type="cellIs" dxfId="70" priority="23" operator="greaterThan">
      <formula>$D78</formula>
    </cfRule>
    <cfRule type="cellIs" dxfId="69" priority="24" operator="lessThanOrEqual">
      <formula>$D78</formula>
    </cfRule>
  </conditionalFormatting>
  <conditionalFormatting sqref="G78">
    <cfRule type="cellIs" dxfId="68" priority="21" operator="greaterThan">
      <formula>$D78</formula>
    </cfRule>
    <cfRule type="cellIs" dxfId="67" priority="22" operator="lessThanOrEqual">
      <formula>$D78</formula>
    </cfRule>
  </conditionalFormatting>
  <conditionalFormatting sqref="H78">
    <cfRule type="cellIs" dxfId="66" priority="19" operator="greaterThan">
      <formula>$D78</formula>
    </cfRule>
    <cfRule type="cellIs" dxfId="65" priority="20" operator="lessThanOrEqual">
      <formula>$D78</formula>
    </cfRule>
  </conditionalFormatting>
  <conditionalFormatting sqref="I78">
    <cfRule type="cellIs" dxfId="64" priority="17" operator="greaterThan">
      <formula>$D78</formula>
    </cfRule>
    <cfRule type="cellIs" dxfId="63" priority="18" operator="lessThanOrEqual">
      <formula>$D78</formula>
    </cfRule>
  </conditionalFormatting>
  <conditionalFormatting sqref="J78">
    <cfRule type="cellIs" dxfId="62" priority="15" operator="greaterThan">
      <formula>$D78</formula>
    </cfRule>
    <cfRule type="cellIs" dxfId="61" priority="16" operator="lessThanOrEqual">
      <formula>$D78</formula>
    </cfRule>
  </conditionalFormatting>
  <conditionalFormatting sqref="K78">
    <cfRule type="cellIs" dxfId="60" priority="13" operator="greaterThan">
      <formula>$D78</formula>
    </cfRule>
    <cfRule type="cellIs" dxfId="59" priority="14" operator="lessThanOrEqual">
      <formula>$D78</formula>
    </cfRule>
  </conditionalFormatting>
  <conditionalFormatting sqref="L78">
    <cfRule type="cellIs" dxfId="58" priority="11" operator="greaterThan">
      <formula>$D78</formula>
    </cfRule>
    <cfRule type="cellIs" dxfId="57" priority="12" operator="lessThanOrEqual">
      <formula>$D78</formula>
    </cfRule>
  </conditionalFormatting>
  <conditionalFormatting sqref="M78">
    <cfRule type="cellIs" dxfId="56" priority="9" operator="greaterThan">
      <formula>$D78</formula>
    </cfRule>
    <cfRule type="cellIs" dxfId="55" priority="10" operator="lessThanOrEqual">
      <formula>$D78</formula>
    </cfRule>
  </conditionalFormatting>
  <conditionalFormatting sqref="N78">
    <cfRule type="cellIs" dxfId="54" priority="7" operator="greaterThan">
      <formula>$D78</formula>
    </cfRule>
    <cfRule type="cellIs" dxfId="53" priority="8" operator="lessThanOrEqual">
      <formula>$D78</formula>
    </cfRule>
  </conditionalFormatting>
  <conditionalFormatting sqref="O78">
    <cfRule type="cellIs" dxfId="52" priority="5" operator="greaterThan">
      <formula>$D78</formula>
    </cfRule>
    <cfRule type="cellIs" dxfId="51" priority="6" operator="lessThanOrEqual">
      <formula>$D78</formula>
    </cfRule>
  </conditionalFormatting>
  <conditionalFormatting sqref="P78">
    <cfRule type="cellIs" dxfId="50" priority="3" operator="greaterThan">
      <formula>$D78</formula>
    </cfRule>
    <cfRule type="cellIs" dxfId="49" priority="4" operator="lessThanOrEqual">
      <formula>$D78</formula>
    </cfRule>
  </conditionalFormatting>
  <conditionalFormatting sqref="Q78">
    <cfRule type="cellIs" dxfId="48" priority="1" operator="greaterThan">
      <formula>$D78</formula>
    </cfRule>
    <cfRule type="cellIs" dxfId="47" priority="2" operator="lessThanOrEqual">
      <formula>$D78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0E552-0526-419E-B653-CCD97F786C14}">
  <dimension ref="B2:P49"/>
  <sheetViews>
    <sheetView topLeftCell="A7" zoomScaleNormal="100" workbookViewId="0">
      <selection activeCell="G23" sqref="G23"/>
    </sheetView>
  </sheetViews>
  <sheetFormatPr defaultRowHeight="14.5"/>
  <cols>
    <col min="2" max="2" width="18.90625" bestFit="1" customWidth="1"/>
    <col min="3" max="3" width="14.36328125" bestFit="1" customWidth="1"/>
    <col min="4" max="11" width="11.6328125" bestFit="1" customWidth="1"/>
    <col min="12" max="14" width="9.26953125" bestFit="1" customWidth="1"/>
    <col min="15" max="15" width="12.6328125" bestFit="1" customWidth="1"/>
  </cols>
  <sheetData>
    <row r="2" spans="2:16">
      <c r="B2" s="143" t="s">
        <v>137</v>
      </c>
    </row>
    <row r="3" spans="2:16">
      <c r="B3" s="2" t="s">
        <v>2</v>
      </c>
      <c r="C3" s="169">
        <v>46023</v>
      </c>
      <c r="D3" s="3">
        <v>46054</v>
      </c>
      <c r="E3" s="3">
        <v>46082</v>
      </c>
      <c r="F3" s="3">
        <v>46113</v>
      </c>
      <c r="G3" s="3">
        <v>46143</v>
      </c>
      <c r="H3" s="3">
        <v>46174</v>
      </c>
      <c r="I3" s="3">
        <v>46204</v>
      </c>
      <c r="J3" s="3">
        <v>46235</v>
      </c>
      <c r="K3" s="3">
        <v>46266</v>
      </c>
      <c r="L3" s="3">
        <v>46296</v>
      </c>
      <c r="M3" s="3">
        <v>46327</v>
      </c>
      <c r="N3" s="3">
        <v>46357</v>
      </c>
      <c r="O3" s="4" t="s">
        <v>55</v>
      </c>
    </row>
    <row r="4" spans="2:16">
      <c r="B4" s="182" t="s">
        <v>13</v>
      </c>
      <c r="C4" s="180"/>
      <c r="D4" s="180"/>
      <c r="E4" s="180"/>
      <c r="F4" s="180"/>
      <c r="G4" s="180"/>
      <c r="H4" s="180"/>
      <c r="I4" s="180"/>
      <c r="J4" s="180"/>
      <c r="K4" s="180"/>
      <c r="L4" s="1"/>
      <c r="M4" s="1"/>
      <c r="N4" s="1"/>
      <c r="O4" s="124">
        <f>SUM(C4:N4)</f>
        <v>0</v>
      </c>
      <c r="P4" s="58" t="e">
        <f t="shared" ref="P4:P13" si="0">O4/$O$16</f>
        <v>#DIV/0!</v>
      </c>
    </row>
    <row r="5" spans="2:16">
      <c r="B5" s="182" t="s">
        <v>15</v>
      </c>
      <c r="C5" s="180"/>
      <c r="D5" s="180"/>
      <c r="E5" s="180"/>
      <c r="F5" s="180"/>
      <c r="G5" s="180"/>
      <c r="H5" s="180"/>
      <c r="I5" s="180"/>
      <c r="J5" s="180"/>
      <c r="K5" s="180"/>
      <c r="L5" s="1"/>
      <c r="M5" s="1"/>
      <c r="N5" s="1"/>
      <c r="O5" s="124">
        <f>SUM(C5:N5)</f>
        <v>0</v>
      </c>
      <c r="P5" s="58" t="e">
        <f t="shared" si="0"/>
        <v>#DIV/0!</v>
      </c>
    </row>
    <row r="6" spans="2:16">
      <c r="B6" s="178" t="s">
        <v>16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8">
        <f t="shared" ref="O6" si="1">SUM(O4:O5)</f>
        <v>0</v>
      </c>
      <c r="P6" s="58" t="e">
        <f t="shared" si="0"/>
        <v>#DIV/0!</v>
      </c>
    </row>
    <row r="7" spans="2:16">
      <c r="B7" s="182" t="s">
        <v>17</v>
      </c>
      <c r="C7" s="180"/>
      <c r="D7" s="180"/>
      <c r="E7" s="180"/>
      <c r="F7" s="180"/>
      <c r="G7" s="180"/>
      <c r="H7" s="180"/>
      <c r="I7" s="180"/>
      <c r="J7" s="180"/>
      <c r="K7" s="180"/>
      <c r="L7" s="1"/>
      <c r="M7" s="1"/>
      <c r="N7" s="1"/>
      <c r="O7" s="124">
        <f t="shared" ref="O7:O13" si="2">SUM(C7:N7)</f>
        <v>0</v>
      </c>
      <c r="P7" s="58" t="e">
        <f t="shared" si="0"/>
        <v>#DIV/0!</v>
      </c>
    </row>
    <row r="8" spans="2:16">
      <c r="B8" s="182" t="s">
        <v>18</v>
      </c>
      <c r="C8" s="180"/>
      <c r="D8" s="180"/>
      <c r="E8" s="180"/>
      <c r="F8" s="180"/>
      <c r="G8" s="180"/>
      <c r="H8" s="180"/>
      <c r="I8" s="180"/>
      <c r="J8" s="180"/>
      <c r="K8" s="180"/>
      <c r="L8" s="1"/>
      <c r="M8" s="1"/>
      <c r="N8" s="1"/>
      <c r="O8" s="124">
        <f t="shared" si="2"/>
        <v>0</v>
      </c>
      <c r="P8" s="58" t="e">
        <f t="shared" si="0"/>
        <v>#DIV/0!</v>
      </c>
    </row>
    <row r="9" spans="2:16">
      <c r="B9" s="182" t="s">
        <v>22</v>
      </c>
      <c r="C9" s="180"/>
      <c r="D9" s="180"/>
      <c r="E9" s="180"/>
      <c r="F9" s="180"/>
      <c r="G9" s="180"/>
      <c r="H9" s="180"/>
      <c r="I9" s="180"/>
      <c r="J9" s="180"/>
      <c r="K9" s="180"/>
      <c r="L9" s="1"/>
      <c r="M9" s="1"/>
      <c r="N9" s="1"/>
      <c r="O9" s="124">
        <f t="shared" si="2"/>
        <v>0</v>
      </c>
      <c r="P9" s="196" t="e">
        <f t="shared" si="0"/>
        <v>#DIV/0!</v>
      </c>
    </row>
    <row r="10" spans="2:16">
      <c r="B10" s="64" t="s">
        <v>58</v>
      </c>
      <c r="C10" s="180"/>
      <c r="D10" s="180"/>
      <c r="E10" s="180"/>
      <c r="F10" s="180"/>
      <c r="G10" s="180"/>
      <c r="H10" s="180"/>
      <c r="I10" s="180"/>
      <c r="J10" s="180"/>
      <c r="K10" s="180"/>
      <c r="L10" s="1"/>
      <c r="M10" s="1"/>
      <c r="N10" s="1"/>
      <c r="O10" s="180">
        <f t="shared" si="2"/>
        <v>0</v>
      </c>
      <c r="P10" s="58" t="e">
        <f t="shared" si="0"/>
        <v>#DIV/0!</v>
      </c>
    </row>
    <row r="11" spans="2:16">
      <c r="B11" s="7" t="s">
        <v>24</v>
      </c>
      <c r="C11" s="180"/>
      <c r="D11" s="180"/>
      <c r="E11" s="180"/>
      <c r="F11" s="180"/>
      <c r="G11" s="180"/>
      <c r="H11" s="180"/>
      <c r="I11" s="180"/>
      <c r="J11" s="180"/>
      <c r="K11" s="180"/>
      <c r="L11" s="1"/>
      <c r="M11" s="1"/>
      <c r="N11" s="1"/>
      <c r="O11" s="180">
        <f t="shared" si="2"/>
        <v>0</v>
      </c>
      <c r="P11" s="58" t="e">
        <f t="shared" si="0"/>
        <v>#DIV/0!</v>
      </c>
    </row>
    <row r="12" spans="2:16">
      <c r="B12" s="7" t="s">
        <v>27</v>
      </c>
      <c r="C12" s="180"/>
      <c r="D12" s="180"/>
      <c r="E12" s="180"/>
      <c r="F12" s="180"/>
      <c r="G12" s="180"/>
      <c r="H12" s="180"/>
      <c r="I12" s="180"/>
      <c r="J12" s="180"/>
      <c r="K12" s="180"/>
      <c r="L12" s="1"/>
      <c r="M12" s="1"/>
      <c r="N12" s="1"/>
      <c r="O12" s="180">
        <f t="shared" si="2"/>
        <v>0</v>
      </c>
      <c r="P12" s="44" t="e">
        <f t="shared" si="0"/>
        <v>#DIV/0!</v>
      </c>
    </row>
    <row r="13" spans="2:16">
      <c r="B13" s="7" t="s">
        <v>59</v>
      </c>
      <c r="C13" s="180"/>
      <c r="D13" s="180"/>
      <c r="E13" s="180"/>
      <c r="F13" s="180"/>
      <c r="G13" s="180"/>
      <c r="H13" s="180"/>
      <c r="I13" s="180"/>
      <c r="J13" s="180"/>
      <c r="K13" s="180"/>
      <c r="L13" s="1"/>
      <c r="M13" s="1"/>
      <c r="N13" s="1"/>
      <c r="O13" s="180">
        <f t="shared" si="2"/>
        <v>0</v>
      </c>
      <c r="P13" s="196" t="e">
        <f t="shared" si="0"/>
        <v>#DIV/0!</v>
      </c>
    </row>
    <row r="14" spans="2:16">
      <c r="B14" s="7" t="s">
        <v>116</v>
      </c>
      <c r="C14" s="180"/>
      <c r="D14" s="180"/>
      <c r="E14" s="180"/>
      <c r="F14" s="180"/>
      <c r="G14" s="180"/>
      <c r="H14" s="180"/>
      <c r="I14" s="180"/>
      <c r="J14" s="180"/>
      <c r="K14" s="180"/>
      <c r="L14" s="1"/>
      <c r="M14" s="1"/>
      <c r="N14" s="1"/>
      <c r="O14" s="180"/>
      <c r="P14" s="196"/>
    </row>
    <row r="15" spans="2:16">
      <c r="B15" s="179" t="s">
        <v>138</v>
      </c>
      <c r="C15" s="183">
        <f>SUM(C6:C10,C14)</f>
        <v>0</v>
      </c>
      <c r="D15" s="183">
        <f t="shared" ref="D15:O15" si="3">SUM(D6:D10,D14)</f>
        <v>0</v>
      </c>
      <c r="E15" s="183">
        <f t="shared" si="3"/>
        <v>0</v>
      </c>
      <c r="F15" s="183">
        <f t="shared" si="3"/>
        <v>0</v>
      </c>
      <c r="G15" s="183">
        <f t="shared" si="3"/>
        <v>0</v>
      </c>
      <c r="H15" s="183">
        <f t="shared" si="3"/>
        <v>0</v>
      </c>
      <c r="I15" s="183">
        <f t="shared" si="3"/>
        <v>0</v>
      </c>
      <c r="J15" s="183">
        <f t="shared" si="3"/>
        <v>0</v>
      </c>
      <c r="K15" s="183">
        <f t="shared" si="3"/>
        <v>0</v>
      </c>
      <c r="L15" s="183">
        <f t="shared" si="3"/>
        <v>0</v>
      </c>
      <c r="M15" s="183">
        <f t="shared" si="3"/>
        <v>0</v>
      </c>
      <c r="N15" s="183">
        <f t="shared" si="3"/>
        <v>0</v>
      </c>
      <c r="O15" s="183">
        <f t="shared" si="3"/>
        <v>0</v>
      </c>
      <c r="P15" s="58"/>
    </row>
    <row r="16" spans="2:16">
      <c r="B16" s="2" t="s">
        <v>77</v>
      </c>
      <c r="C16" s="180">
        <f>SUM(C6:C14)</f>
        <v>0</v>
      </c>
      <c r="D16" s="180">
        <f t="shared" ref="D16:O16" si="4">SUM(D6:D14)</f>
        <v>0</v>
      </c>
      <c r="E16" s="180">
        <f t="shared" si="4"/>
        <v>0</v>
      </c>
      <c r="F16" s="180">
        <f t="shared" si="4"/>
        <v>0</v>
      </c>
      <c r="G16" s="180">
        <f t="shared" si="4"/>
        <v>0</v>
      </c>
      <c r="H16" s="180">
        <f t="shared" si="4"/>
        <v>0</v>
      </c>
      <c r="I16" s="180">
        <f t="shared" si="4"/>
        <v>0</v>
      </c>
      <c r="J16" s="180">
        <f t="shared" si="4"/>
        <v>0</v>
      </c>
      <c r="K16" s="180">
        <f t="shared" si="4"/>
        <v>0</v>
      </c>
      <c r="L16" s="180">
        <f t="shared" si="4"/>
        <v>0</v>
      </c>
      <c r="M16" s="180">
        <f t="shared" si="4"/>
        <v>0</v>
      </c>
      <c r="N16" s="180">
        <f t="shared" si="4"/>
        <v>0</v>
      </c>
      <c r="O16" s="180">
        <f t="shared" si="4"/>
        <v>0</v>
      </c>
    </row>
    <row r="18" spans="2:15">
      <c r="B18" s="143" t="s">
        <v>139</v>
      </c>
    </row>
    <row r="19" spans="2:15">
      <c r="B19" s="2" t="s">
        <v>2</v>
      </c>
      <c r="C19" s="169">
        <v>46023</v>
      </c>
      <c r="D19" s="3">
        <v>46054</v>
      </c>
      <c r="E19" s="3">
        <v>46082</v>
      </c>
      <c r="F19" s="3">
        <v>46113</v>
      </c>
      <c r="G19" s="3">
        <v>46143</v>
      </c>
      <c r="H19" s="3">
        <v>46174</v>
      </c>
      <c r="I19" s="3">
        <v>46204</v>
      </c>
      <c r="J19" s="3">
        <v>46235</v>
      </c>
      <c r="K19" s="3">
        <v>46266</v>
      </c>
      <c r="L19" s="3">
        <v>46296</v>
      </c>
      <c r="M19" s="3">
        <v>46327</v>
      </c>
      <c r="N19" s="3">
        <v>46357</v>
      </c>
      <c r="O19" s="4" t="s">
        <v>55</v>
      </c>
    </row>
    <row r="20" spans="2:15">
      <c r="B20" s="182" t="s">
        <v>13</v>
      </c>
      <c r="C20" s="185">
        <f t="shared" ref="C20:O20" si="5">C4*1000</f>
        <v>0</v>
      </c>
      <c r="D20" s="185">
        <f t="shared" si="5"/>
        <v>0</v>
      </c>
      <c r="E20" s="185">
        <f t="shared" si="5"/>
        <v>0</v>
      </c>
      <c r="F20" s="185">
        <f t="shared" si="5"/>
        <v>0</v>
      </c>
      <c r="G20" s="185">
        <f t="shared" si="5"/>
        <v>0</v>
      </c>
      <c r="H20" s="185">
        <f t="shared" si="5"/>
        <v>0</v>
      </c>
      <c r="I20" s="185">
        <f t="shared" si="5"/>
        <v>0</v>
      </c>
      <c r="J20" s="185">
        <f t="shared" si="5"/>
        <v>0</v>
      </c>
      <c r="K20" s="185">
        <f t="shared" si="5"/>
        <v>0</v>
      </c>
      <c r="L20" s="185">
        <f t="shared" si="5"/>
        <v>0</v>
      </c>
      <c r="M20" s="185">
        <f t="shared" si="5"/>
        <v>0</v>
      </c>
      <c r="N20" s="185">
        <f t="shared" si="5"/>
        <v>0</v>
      </c>
      <c r="O20" s="185">
        <f t="shared" si="5"/>
        <v>0</v>
      </c>
    </row>
    <row r="21" spans="2:15">
      <c r="B21" s="182" t="s">
        <v>15</v>
      </c>
      <c r="C21" s="185">
        <f>C5*1000</f>
        <v>0</v>
      </c>
      <c r="D21" s="185">
        <f t="shared" ref="D21:O21" si="6">D5*1000</f>
        <v>0</v>
      </c>
      <c r="E21" s="185">
        <f t="shared" si="6"/>
        <v>0</v>
      </c>
      <c r="F21" s="185">
        <f t="shared" si="6"/>
        <v>0</v>
      </c>
      <c r="G21" s="185">
        <f t="shared" si="6"/>
        <v>0</v>
      </c>
      <c r="H21" s="185">
        <f t="shared" si="6"/>
        <v>0</v>
      </c>
      <c r="I21" s="185">
        <f t="shared" si="6"/>
        <v>0</v>
      </c>
      <c r="J21" s="185">
        <f t="shared" si="6"/>
        <v>0</v>
      </c>
      <c r="K21" s="185">
        <f t="shared" si="6"/>
        <v>0</v>
      </c>
      <c r="L21" s="185">
        <f t="shared" si="6"/>
        <v>0</v>
      </c>
      <c r="M21" s="185">
        <f t="shared" si="6"/>
        <v>0</v>
      </c>
      <c r="N21" s="185">
        <f t="shared" si="6"/>
        <v>0</v>
      </c>
      <c r="O21" s="185">
        <f t="shared" si="6"/>
        <v>0</v>
      </c>
    </row>
    <row r="22" spans="2:15">
      <c r="B22" s="178" t="s">
        <v>16</v>
      </c>
      <c r="C22" s="186">
        <f t="shared" ref="C22:O22" si="7">C6*1000</f>
        <v>0</v>
      </c>
      <c r="D22" s="186">
        <f t="shared" si="7"/>
        <v>0</v>
      </c>
      <c r="E22" s="186">
        <f t="shared" si="7"/>
        <v>0</v>
      </c>
      <c r="F22" s="186">
        <f t="shared" si="7"/>
        <v>0</v>
      </c>
      <c r="G22" s="186">
        <f t="shared" si="7"/>
        <v>0</v>
      </c>
      <c r="H22" s="186">
        <f t="shared" si="7"/>
        <v>0</v>
      </c>
      <c r="I22" s="186">
        <f t="shared" si="7"/>
        <v>0</v>
      </c>
      <c r="J22" s="186">
        <f t="shared" si="7"/>
        <v>0</v>
      </c>
      <c r="K22" s="186">
        <f t="shared" si="7"/>
        <v>0</v>
      </c>
      <c r="L22" s="186">
        <f t="shared" si="7"/>
        <v>0</v>
      </c>
      <c r="M22" s="186">
        <f t="shared" si="7"/>
        <v>0</v>
      </c>
      <c r="N22" s="186">
        <f t="shared" si="7"/>
        <v>0</v>
      </c>
      <c r="O22" s="186">
        <f t="shared" si="7"/>
        <v>0</v>
      </c>
    </row>
    <row r="23" spans="2:15">
      <c r="B23" s="182" t="s">
        <v>17</v>
      </c>
      <c r="C23" s="185">
        <f t="shared" ref="C23:O23" si="8">C7*1000</f>
        <v>0</v>
      </c>
      <c r="D23" s="185">
        <f t="shared" si="8"/>
        <v>0</v>
      </c>
      <c r="E23" s="185">
        <f t="shared" si="8"/>
        <v>0</v>
      </c>
      <c r="F23" s="185">
        <f t="shared" si="8"/>
        <v>0</v>
      </c>
      <c r="G23" s="185">
        <f t="shared" si="8"/>
        <v>0</v>
      </c>
      <c r="H23" s="185">
        <f t="shared" si="8"/>
        <v>0</v>
      </c>
      <c r="I23" s="185">
        <f t="shared" si="8"/>
        <v>0</v>
      </c>
      <c r="J23" s="185">
        <f t="shared" si="8"/>
        <v>0</v>
      </c>
      <c r="K23" s="185">
        <f t="shared" si="8"/>
        <v>0</v>
      </c>
      <c r="L23" s="185">
        <f t="shared" si="8"/>
        <v>0</v>
      </c>
      <c r="M23" s="185">
        <f t="shared" si="8"/>
        <v>0</v>
      </c>
      <c r="N23" s="185">
        <f t="shared" si="8"/>
        <v>0</v>
      </c>
      <c r="O23" s="185">
        <f t="shared" si="8"/>
        <v>0</v>
      </c>
    </row>
    <row r="24" spans="2:15">
      <c r="B24" s="182" t="s">
        <v>18</v>
      </c>
      <c r="C24" s="185">
        <f t="shared" ref="C24:O24" si="9">C8*1000</f>
        <v>0</v>
      </c>
      <c r="D24" s="185">
        <f t="shared" si="9"/>
        <v>0</v>
      </c>
      <c r="E24" s="185">
        <f t="shared" si="9"/>
        <v>0</v>
      </c>
      <c r="F24" s="185">
        <f t="shared" si="9"/>
        <v>0</v>
      </c>
      <c r="G24" s="185">
        <f t="shared" si="9"/>
        <v>0</v>
      </c>
      <c r="H24" s="185">
        <f t="shared" si="9"/>
        <v>0</v>
      </c>
      <c r="I24" s="185">
        <f t="shared" si="9"/>
        <v>0</v>
      </c>
      <c r="J24" s="185">
        <f t="shared" si="9"/>
        <v>0</v>
      </c>
      <c r="K24" s="185">
        <f t="shared" si="9"/>
        <v>0</v>
      </c>
      <c r="L24" s="185">
        <f t="shared" si="9"/>
        <v>0</v>
      </c>
      <c r="M24" s="185">
        <f t="shared" si="9"/>
        <v>0</v>
      </c>
      <c r="N24" s="185">
        <f t="shared" si="9"/>
        <v>0</v>
      </c>
      <c r="O24" s="185">
        <f t="shared" si="9"/>
        <v>0</v>
      </c>
    </row>
    <row r="25" spans="2:15">
      <c r="B25" s="182" t="s">
        <v>22</v>
      </c>
      <c r="C25" s="185">
        <f t="shared" ref="C25:O25" si="10">C9*1000</f>
        <v>0</v>
      </c>
      <c r="D25" s="185">
        <f t="shared" si="10"/>
        <v>0</v>
      </c>
      <c r="E25" s="185">
        <f t="shared" si="10"/>
        <v>0</v>
      </c>
      <c r="F25" s="185">
        <f t="shared" si="10"/>
        <v>0</v>
      </c>
      <c r="G25" s="185">
        <f t="shared" si="10"/>
        <v>0</v>
      </c>
      <c r="H25" s="185">
        <f t="shared" si="10"/>
        <v>0</v>
      </c>
      <c r="I25" s="185">
        <f t="shared" si="10"/>
        <v>0</v>
      </c>
      <c r="J25" s="185">
        <f t="shared" si="10"/>
        <v>0</v>
      </c>
      <c r="K25" s="185">
        <f t="shared" si="10"/>
        <v>0</v>
      </c>
      <c r="L25" s="185">
        <f t="shared" si="10"/>
        <v>0</v>
      </c>
      <c r="M25" s="185">
        <f t="shared" si="10"/>
        <v>0</v>
      </c>
      <c r="N25" s="185">
        <f t="shared" si="10"/>
        <v>0</v>
      </c>
      <c r="O25" s="185">
        <f t="shared" si="10"/>
        <v>0</v>
      </c>
    </row>
    <row r="26" spans="2:15">
      <c r="B26" s="64" t="s">
        <v>58</v>
      </c>
      <c r="C26" s="185">
        <f t="shared" ref="C26:O26" si="11">C10*1000</f>
        <v>0</v>
      </c>
      <c r="D26" s="185">
        <f t="shared" si="11"/>
        <v>0</v>
      </c>
      <c r="E26" s="185">
        <f t="shared" si="11"/>
        <v>0</v>
      </c>
      <c r="F26" s="185">
        <f t="shared" si="11"/>
        <v>0</v>
      </c>
      <c r="G26" s="185">
        <f t="shared" si="11"/>
        <v>0</v>
      </c>
      <c r="H26" s="185">
        <f t="shared" si="11"/>
        <v>0</v>
      </c>
      <c r="I26" s="185">
        <f t="shared" si="11"/>
        <v>0</v>
      </c>
      <c r="J26" s="185">
        <f t="shared" si="11"/>
        <v>0</v>
      </c>
      <c r="K26" s="185">
        <f t="shared" si="11"/>
        <v>0</v>
      </c>
      <c r="L26" s="185">
        <f t="shared" si="11"/>
        <v>0</v>
      </c>
      <c r="M26" s="185">
        <f t="shared" si="11"/>
        <v>0</v>
      </c>
      <c r="N26" s="185">
        <f t="shared" si="11"/>
        <v>0</v>
      </c>
      <c r="O26" s="185">
        <f t="shared" si="11"/>
        <v>0</v>
      </c>
    </row>
    <row r="27" spans="2:15">
      <c r="B27" s="7" t="s">
        <v>24</v>
      </c>
      <c r="C27" s="185">
        <f t="shared" ref="C27:O27" si="12">C11*1000</f>
        <v>0</v>
      </c>
      <c r="D27" s="185">
        <f t="shared" si="12"/>
        <v>0</v>
      </c>
      <c r="E27" s="185">
        <f t="shared" si="12"/>
        <v>0</v>
      </c>
      <c r="F27" s="185">
        <f t="shared" si="12"/>
        <v>0</v>
      </c>
      <c r="G27" s="185">
        <f t="shared" si="12"/>
        <v>0</v>
      </c>
      <c r="H27" s="185">
        <f t="shared" si="12"/>
        <v>0</v>
      </c>
      <c r="I27" s="185">
        <f t="shared" si="12"/>
        <v>0</v>
      </c>
      <c r="J27" s="185">
        <f t="shared" si="12"/>
        <v>0</v>
      </c>
      <c r="K27" s="185">
        <f t="shared" si="12"/>
        <v>0</v>
      </c>
      <c r="L27" s="185">
        <f t="shared" si="12"/>
        <v>0</v>
      </c>
      <c r="M27" s="185">
        <f t="shared" si="12"/>
        <v>0</v>
      </c>
      <c r="N27" s="185">
        <f t="shared" si="12"/>
        <v>0</v>
      </c>
      <c r="O27" s="185">
        <f t="shared" si="12"/>
        <v>0</v>
      </c>
    </row>
    <row r="28" spans="2:15">
      <c r="B28" s="7" t="s">
        <v>27</v>
      </c>
      <c r="C28" s="185">
        <f t="shared" ref="C28:O28" si="13">C12*1000</f>
        <v>0</v>
      </c>
      <c r="D28" s="185">
        <f t="shared" si="13"/>
        <v>0</v>
      </c>
      <c r="E28" s="185">
        <f t="shared" si="13"/>
        <v>0</v>
      </c>
      <c r="F28" s="185">
        <f t="shared" si="13"/>
        <v>0</v>
      </c>
      <c r="G28" s="185">
        <f t="shared" si="13"/>
        <v>0</v>
      </c>
      <c r="H28" s="185">
        <f t="shared" si="13"/>
        <v>0</v>
      </c>
      <c r="I28" s="185">
        <f t="shared" si="13"/>
        <v>0</v>
      </c>
      <c r="J28" s="185">
        <f t="shared" si="13"/>
        <v>0</v>
      </c>
      <c r="K28" s="185">
        <f t="shared" si="13"/>
        <v>0</v>
      </c>
      <c r="L28" s="185">
        <f t="shared" si="13"/>
        <v>0</v>
      </c>
      <c r="M28" s="185">
        <f t="shared" si="13"/>
        <v>0</v>
      </c>
      <c r="N28" s="185">
        <f t="shared" si="13"/>
        <v>0</v>
      </c>
      <c r="O28" s="185">
        <f t="shared" si="13"/>
        <v>0</v>
      </c>
    </row>
    <row r="29" spans="2:15">
      <c r="B29" s="7" t="s">
        <v>59</v>
      </c>
      <c r="C29" s="185">
        <f>C13*1000</f>
        <v>0</v>
      </c>
      <c r="D29" s="185">
        <f t="shared" ref="D29:O29" si="14">D13*1000</f>
        <v>0</v>
      </c>
      <c r="E29" s="185">
        <f t="shared" si="14"/>
        <v>0</v>
      </c>
      <c r="F29" s="185">
        <f t="shared" si="14"/>
        <v>0</v>
      </c>
      <c r="G29" s="185">
        <f t="shared" si="14"/>
        <v>0</v>
      </c>
      <c r="H29" s="185">
        <f t="shared" si="14"/>
        <v>0</v>
      </c>
      <c r="I29" s="185">
        <f t="shared" si="14"/>
        <v>0</v>
      </c>
      <c r="J29" s="185">
        <f t="shared" si="14"/>
        <v>0</v>
      </c>
      <c r="K29" s="185">
        <f t="shared" si="14"/>
        <v>0</v>
      </c>
      <c r="L29" s="185">
        <f t="shared" si="14"/>
        <v>0</v>
      </c>
      <c r="M29" s="185">
        <f t="shared" si="14"/>
        <v>0</v>
      </c>
      <c r="N29" s="185">
        <f t="shared" si="14"/>
        <v>0</v>
      </c>
      <c r="O29" s="185">
        <f t="shared" si="14"/>
        <v>0</v>
      </c>
    </row>
    <row r="30" spans="2:15">
      <c r="B30" s="7" t="s">
        <v>40</v>
      </c>
      <c r="C30" s="185">
        <f>C14*1000</f>
        <v>0</v>
      </c>
      <c r="D30" s="185">
        <f t="shared" ref="D30:O30" si="15">D14*1000</f>
        <v>0</v>
      </c>
      <c r="E30" s="185">
        <f t="shared" si="15"/>
        <v>0</v>
      </c>
      <c r="F30" s="185">
        <f t="shared" si="15"/>
        <v>0</v>
      </c>
      <c r="G30" s="185">
        <f t="shared" si="15"/>
        <v>0</v>
      </c>
      <c r="H30" s="185">
        <f t="shared" si="15"/>
        <v>0</v>
      </c>
      <c r="I30" s="185">
        <f t="shared" si="15"/>
        <v>0</v>
      </c>
      <c r="J30" s="185">
        <f t="shared" si="15"/>
        <v>0</v>
      </c>
      <c r="K30" s="185">
        <f t="shared" si="15"/>
        <v>0</v>
      </c>
      <c r="L30" s="185">
        <f t="shared" si="15"/>
        <v>0</v>
      </c>
      <c r="M30" s="185">
        <f t="shared" si="15"/>
        <v>0</v>
      </c>
      <c r="N30" s="185">
        <f t="shared" si="15"/>
        <v>0</v>
      </c>
      <c r="O30" s="185">
        <f t="shared" si="15"/>
        <v>0</v>
      </c>
    </row>
    <row r="31" spans="2:15">
      <c r="B31" s="179" t="s">
        <v>138</v>
      </c>
      <c r="C31" s="184">
        <f>C15*1000</f>
        <v>0</v>
      </c>
      <c r="D31" s="184">
        <f t="shared" ref="D31:O32" si="16">D15*1000</f>
        <v>0</v>
      </c>
      <c r="E31" s="184">
        <f t="shared" si="16"/>
        <v>0</v>
      </c>
      <c r="F31" s="184">
        <f t="shared" si="16"/>
        <v>0</v>
      </c>
      <c r="G31" s="184">
        <f t="shared" si="16"/>
        <v>0</v>
      </c>
      <c r="H31" s="184">
        <f t="shared" si="16"/>
        <v>0</v>
      </c>
      <c r="I31" s="184">
        <f t="shared" si="16"/>
        <v>0</v>
      </c>
      <c r="J31" s="184">
        <f t="shared" si="16"/>
        <v>0</v>
      </c>
      <c r="K31" s="184">
        <f t="shared" si="16"/>
        <v>0</v>
      </c>
      <c r="L31" s="184">
        <f t="shared" si="16"/>
        <v>0</v>
      </c>
      <c r="M31" s="184">
        <f t="shared" si="16"/>
        <v>0</v>
      </c>
      <c r="N31" s="184">
        <f t="shared" si="16"/>
        <v>0</v>
      </c>
      <c r="O31" s="184">
        <f t="shared" si="16"/>
        <v>0</v>
      </c>
    </row>
    <row r="32" spans="2:15">
      <c r="B32" s="2" t="s">
        <v>77</v>
      </c>
      <c r="C32" s="185">
        <f>C16*1000</f>
        <v>0</v>
      </c>
      <c r="D32" s="185">
        <f t="shared" si="16"/>
        <v>0</v>
      </c>
      <c r="E32" s="185">
        <f t="shared" si="16"/>
        <v>0</v>
      </c>
      <c r="F32" s="185">
        <f t="shared" si="16"/>
        <v>0</v>
      </c>
      <c r="G32" s="185">
        <f t="shared" si="16"/>
        <v>0</v>
      </c>
      <c r="H32" s="185">
        <f t="shared" si="16"/>
        <v>0</v>
      </c>
      <c r="I32" s="185">
        <f t="shared" si="16"/>
        <v>0</v>
      </c>
      <c r="J32" s="185">
        <f t="shared" si="16"/>
        <v>0</v>
      </c>
      <c r="K32" s="185">
        <f t="shared" si="16"/>
        <v>0</v>
      </c>
      <c r="L32" s="185">
        <f t="shared" si="16"/>
        <v>0</v>
      </c>
      <c r="M32" s="185">
        <f t="shared" si="16"/>
        <v>0</v>
      </c>
      <c r="N32" s="185">
        <f t="shared" si="16"/>
        <v>0</v>
      </c>
      <c r="O32" s="185">
        <f t="shared" si="16"/>
        <v>0</v>
      </c>
    </row>
    <row r="35" spans="2:16">
      <c r="B35" s="143" t="s">
        <v>140</v>
      </c>
    </row>
    <row r="36" spans="2:16">
      <c r="B36" s="2" t="s">
        <v>2</v>
      </c>
      <c r="C36" s="169">
        <v>46023</v>
      </c>
      <c r="D36" s="3">
        <v>46054</v>
      </c>
      <c r="E36" s="3">
        <v>46082</v>
      </c>
      <c r="F36" s="3">
        <v>46113</v>
      </c>
      <c r="G36" s="3">
        <v>46143</v>
      </c>
      <c r="H36" s="3">
        <v>46174</v>
      </c>
      <c r="I36" s="3">
        <v>46204</v>
      </c>
      <c r="J36" s="3">
        <v>46235</v>
      </c>
      <c r="K36" s="3">
        <v>46266</v>
      </c>
      <c r="L36" s="3">
        <v>46296</v>
      </c>
      <c r="M36" s="3">
        <v>46327</v>
      </c>
      <c r="N36" s="3">
        <v>46357</v>
      </c>
      <c r="O36" s="4" t="s">
        <v>55</v>
      </c>
      <c r="P36" s="170" t="s">
        <v>141</v>
      </c>
    </row>
    <row r="37" spans="2:16">
      <c r="B37" s="182" t="s">
        <v>13</v>
      </c>
      <c r="C37" s="168">
        <f>C20/Production!E3</f>
        <v>0</v>
      </c>
      <c r="D37" s="168">
        <f>D20/Production!F3</f>
        <v>0</v>
      </c>
      <c r="E37" s="168">
        <f>E20/Production!G3</f>
        <v>0</v>
      </c>
      <c r="F37" s="168">
        <f>F20/Production!H3</f>
        <v>0</v>
      </c>
      <c r="G37" s="168" t="e">
        <f>G20/Production!I3</f>
        <v>#DIV/0!</v>
      </c>
      <c r="H37" s="168" t="e">
        <f>H20/Production!J3</f>
        <v>#DIV/0!</v>
      </c>
      <c r="I37" s="168" t="e">
        <f>I20/Production!K3</f>
        <v>#DIV/0!</v>
      </c>
      <c r="J37" s="168" t="e">
        <f>J20/Production!L3</f>
        <v>#DIV/0!</v>
      </c>
      <c r="K37" s="168" t="e">
        <f>K20/Production!M3</f>
        <v>#DIV/0!</v>
      </c>
      <c r="L37" s="168" t="e">
        <f>L20/Production!N3</f>
        <v>#DIV/0!</v>
      </c>
      <c r="M37" s="168" t="e">
        <f>M20/Production!O3</f>
        <v>#DIV/0!</v>
      </c>
      <c r="N37" s="168" t="e">
        <f>N20/Production!P3</f>
        <v>#DIV/0!</v>
      </c>
      <c r="O37" s="168">
        <f>O20/Production!Q3</f>
        <v>0</v>
      </c>
    </row>
    <row r="38" spans="2:16">
      <c r="B38" s="182" t="s">
        <v>15</v>
      </c>
      <c r="C38" s="168">
        <f>C21/Production!E4</f>
        <v>0</v>
      </c>
      <c r="D38" s="168">
        <f>D21/Production!F4</f>
        <v>0</v>
      </c>
      <c r="E38" s="168">
        <f>E21/Production!G4</f>
        <v>0</v>
      </c>
      <c r="F38" s="168">
        <f>F21/Production!H4</f>
        <v>0</v>
      </c>
      <c r="G38" s="168" t="e">
        <f>G21/Production!I4</f>
        <v>#DIV/0!</v>
      </c>
      <c r="H38" s="168" t="e">
        <f>H21/Production!J4</f>
        <v>#DIV/0!</v>
      </c>
      <c r="I38" s="168" t="e">
        <f>I21/Production!K4</f>
        <v>#DIV/0!</v>
      </c>
      <c r="J38" s="168" t="e">
        <f>J21/Production!L4</f>
        <v>#DIV/0!</v>
      </c>
      <c r="K38" s="168" t="e">
        <f>K21/Production!M4</f>
        <v>#DIV/0!</v>
      </c>
      <c r="L38" s="168" t="e">
        <f>L21/Production!N4</f>
        <v>#DIV/0!</v>
      </c>
      <c r="M38" s="168" t="e">
        <f>M21/Production!O4</f>
        <v>#DIV/0!</v>
      </c>
      <c r="N38" s="168" t="e">
        <f>N21/Production!P4</f>
        <v>#DIV/0!</v>
      </c>
      <c r="O38" s="168">
        <f>O21/Production!Q4</f>
        <v>0</v>
      </c>
    </row>
    <row r="39" spans="2:16">
      <c r="B39" s="178" t="s">
        <v>16</v>
      </c>
      <c r="C39" s="168">
        <f>C22/Production!E5</f>
        <v>0</v>
      </c>
      <c r="D39" s="168">
        <f>D22/Production!F5</f>
        <v>0</v>
      </c>
      <c r="E39" s="168">
        <f>E22/Production!G5</f>
        <v>0</v>
      </c>
      <c r="F39" s="168">
        <f>F22/Production!H5</f>
        <v>0</v>
      </c>
      <c r="G39" s="168" t="e">
        <f>G22/Production!I5</f>
        <v>#DIV/0!</v>
      </c>
      <c r="H39" s="168" t="e">
        <f>H22/Production!J5</f>
        <v>#DIV/0!</v>
      </c>
      <c r="I39" s="168" t="e">
        <f>I22/Production!K5</f>
        <v>#DIV/0!</v>
      </c>
      <c r="J39" s="168" t="e">
        <f>J22/Production!L5</f>
        <v>#DIV/0!</v>
      </c>
      <c r="K39" s="168" t="e">
        <f>K22/Production!M5</f>
        <v>#DIV/0!</v>
      </c>
      <c r="L39" s="168" t="e">
        <f>L22/Production!N5</f>
        <v>#DIV/0!</v>
      </c>
      <c r="M39" s="168" t="e">
        <f>M22/Production!O5</f>
        <v>#DIV/0!</v>
      </c>
      <c r="N39" s="168" t="e">
        <f>N22/Production!P5</f>
        <v>#DIV/0!</v>
      </c>
      <c r="O39" s="168">
        <f>O22/Production!Q5</f>
        <v>0</v>
      </c>
      <c r="P39" s="120">
        <v>52</v>
      </c>
    </row>
    <row r="40" spans="2:16">
      <c r="B40" s="182" t="s">
        <v>17</v>
      </c>
      <c r="C40" s="168">
        <f>C23/Production!E6</f>
        <v>0</v>
      </c>
      <c r="D40" s="168">
        <f>D23/Production!F6</f>
        <v>0</v>
      </c>
      <c r="E40" s="168">
        <f>E23/Production!G6</f>
        <v>0</v>
      </c>
      <c r="F40" s="168">
        <f>F23/Production!H6</f>
        <v>0</v>
      </c>
      <c r="G40" s="168" t="e">
        <f>G23/Production!I6</f>
        <v>#DIV/0!</v>
      </c>
      <c r="H40" s="168" t="e">
        <f>H23/Production!J6</f>
        <v>#DIV/0!</v>
      </c>
      <c r="I40" s="168" t="e">
        <f>I23/Production!K6</f>
        <v>#DIV/0!</v>
      </c>
      <c r="J40" s="168" t="e">
        <f>J23/Production!L6</f>
        <v>#DIV/0!</v>
      </c>
      <c r="K40" s="168" t="e">
        <f>K23/Production!M6</f>
        <v>#DIV/0!</v>
      </c>
      <c r="L40" s="168" t="e">
        <f>L23/Production!N6</f>
        <v>#DIV/0!</v>
      </c>
      <c r="M40" s="168" t="e">
        <f>M23/Production!O6</f>
        <v>#DIV/0!</v>
      </c>
      <c r="N40" s="168" t="e">
        <f>N23/Production!P6</f>
        <v>#DIV/0!</v>
      </c>
      <c r="O40" s="168">
        <f>O23/Production!Q6</f>
        <v>0</v>
      </c>
      <c r="P40" s="120"/>
    </row>
    <row r="41" spans="2:16">
      <c r="B41" s="182" t="s">
        <v>18</v>
      </c>
      <c r="C41" s="168">
        <f>C24/Production!E7</f>
        <v>0</v>
      </c>
      <c r="D41" s="168">
        <f>D24/Production!F7</f>
        <v>0</v>
      </c>
      <c r="E41" s="168">
        <f>E24/Production!G7</f>
        <v>0</v>
      </c>
      <c r="F41" s="168">
        <f>F24/Production!H7</f>
        <v>0</v>
      </c>
      <c r="G41" s="168" t="e">
        <f>G24/Production!I7</f>
        <v>#DIV/0!</v>
      </c>
      <c r="H41" s="168" t="e">
        <f>H24/Production!J7</f>
        <v>#DIV/0!</v>
      </c>
      <c r="I41" s="168" t="e">
        <f>I24/Production!K7</f>
        <v>#DIV/0!</v>
      </c>
      <c r="J41" s="168" t="e">
        <f>J24/Production!L7</f>
        <v>#DIV/0!</v>
      </c>
      <c r="K41" s="168" t="e">
        <f>K24/Production!M7</f>
        <v>#DIV/0!</v>
      </c>
      <c r="L41" s="168" t="e">
        <f>L24/Production!N7</f>
        <v>#DIV/0!</v>
      </c>
      <c r="M41" s="168" t="e">
        <f>M24/Production!O7</f>
        <v>#DIV/0!</v>
      </c>
      <c r="N41" s="168" t="e">
        <f>N24/Production!P7</f>
        <v>#DIV/0!</v>
      </c>
      <c r="O41" s="168">
        <f>O24/Production!Q7</f>
        <v>0</v>
      </c>
      <c r="P41" s="120">
        <v>155</v>
      </c>
    </row>
    <row r="42" spans="2:16">
      <c r="B42" s="182" t="s">
        <v>22</v>
      </c>
      <c r="C42" s="168">
        <f>C25/Production!E11</f>
        <v>0</v>
      </c>
      <c r="D42" s="168">
        <f>D25/Production!F11</f>
        <v>0</v>
      </c>
      <c r="E42" s="168">
        <f>E25/Production!G11</f>
        <v>0</v>
      </c>
      <c r="F42" s="168">
        <f>F25/Production!H11</f>
        <v>0</v>
      </c>
      <c r="G42" s="168" t="e">
        <f>G25/Production!I11</f>
        <v>#DIV/0!</v>
      </c>
      <c r="H42" s="168" t="e">
        <f>H25/Production!J11</f>
        <v>#DIV/0!</v>
      </c>
      <c r="I42" s="168" t="e">
        <f>I25/Production!K11</f>
        <v>#DIV/0!</v>
      </c>
      <c r="J42" s="168" t="e">
        <f>J25/Production!L11</f>
        <v>#DIV/0!</v>
      </c>
      <c r="K42" s="168" t="e">
        <f>K25/Production!M11</f>
        <v>#DIV/0!</v>
      </c>
      <c r="L42" s="168" t="e">
        <f>L25/Production!N11</f>
        <v>#DIV/0!</v>
      </c>
      <c r="M42" s="168" t="e">
        <f>M25/Production!O11</f>
        <v>#DIV/0!</v>
      </c>
      <c r="N42" s="168" t="e">
        <f>N25/Production!P11</f>
        <v>#DIV/0!</v>
      </c>
      <c r="O42" s="168">
        <f>O25/Production!Q11</f>
        <v>0</v>
      </c>
      <c r="P42" s="120">
        <v>1100</v>
      </c>
    </row>
    <row r="43" spans="2:16">
      <c r="B43" s="64" t="s">
        <v>58</v>
      </c>
      <c r="C43" s="168"/>
      <c r="D43" s="16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20"/>
    </row>
    <row r="44" spans="2:16">
      <c r="B44" s="7" t="s">
        <v>24</v>
      </c>
      <c r="C44" s="168">
        <f>C27/Production!E13</f>
        <v>0</v>
      </c>
      <c r="D44" s="168">
        <f>D27/Production!F13</f>
        <v>0</v>
      </c>
      <c r="E44" s="168">
        <f>E27/Production!G13</f>
        <v>0</v>
      </c>
      <c r="F44" s="168">
        <f>F27/Production!H13</f>
        <v>0</v>
      </c>
      <c r="G44" s="168" t="e">
        <f>G27/Production!I13</f>
        <v>#DIV/0!</v>
      </c>
      <c r="H44" s="168" t="e">
        <f>H27/Production!J13</f>
        <v>#DIV/0!</v>
      </c>
      <c r="I44" s="168" t="e">
        <f>I27/Production!K13</f>
        <v>#DIV/0!</v>
      </c>
      <c r="J44" s="168" t="e">
        <f>J27/Production!L13</f>
        <v>#DIV/0!</v>
      </c>
      <c r="K44" s="168" t="e">
        <f>K27/Production!M13</f>
        <v>#DIV/0!</v>
      </c>
      <c r="L44" s="168" t="e">
        <f>L27/Production!N13</f>
        <v>#DIV/0!</v>
      </c>
      <c r="M44" s="168" t="e">
        <f>M27/Production!O13</f>
        <v>#DIV/0!</v>
      </c>
      <c r="N44" s="168" t="e">
        <f>N27/Production!P13</f>
        <v>#DIV/0!</v>
      </c>
      <c r="O44" s="168">
        <f>O27/Production!Q13</f>
        <v>0</v>
      </c>
      <c r="P44" s="120">
        <v>59</v>
      </c>
    </row>
    <row r="45" spans="2:16">
      <c r="B45" s="7" t="s">
        <v>27</v>
      </c>
      <c r="C45" s="168">
        <f>C28/Production!E16</f>
        <v>0</v>
      </c>
      <c r="D45" s="168">
        <f>D28/Production!F16</f>
        <v>0</v>
      </c>
      <c r="E45" s="168">
        <f>E28/Production!G16</f>
        <v>0</v>
      </c>
      <c r="F45" s="168">
        <f>F28/Production!H16</f>
        <v>0</v>
      </c>
      <c r="G45" s="168" t="e">
        <f>G28/Production!I16</f>
        <v>#DIV/0!</v>
      </c>
      <c r="H45" s="168" t="e">
        <f>H28/Production!J16</f>
        <v>#DIV/0!</v>
      </c>
      <c r="I45" s="168" t="e">
        <f>I28/Production!K16</f>
        <v>#DIV/0!</v>
      </c>
      <c r="J45" s="168" t="e">
        <f>J28/Production!L16</f>
        <v>#DIV/0!</v>
      </c>
      <c r="K45" s="168" t="e">
        <f>K28/Production!M16</f>
        <v>#DIV/0!</v>
      </c>
      <c r="L45" s="168" t="e">
        <f>L28/Production!N16</f>
        <v>#DIV/0!</v>
      </c>
      <c r="M45" s="168" t="e">
        <f>M28/Production!O16</f>
        <v>#DIV/0!</v>
      </c>
      <c r="N45" s="168" t="e">
        <f>N28/Production!P16</f>
        <v>#DIV/0!</v>
      </c>
      <c r="O45" s="168">
        <f>O28/Production!Q16</f>
        <v>0</v>
      </c>
      <c r="P45" s="120">
        <v>397</v>
      </c>
    </row>
    <row r="46" spans="2:16">
      <c r="B46" s="7" t="s">
        <v>59</v>
      </c>
      <c r="C46" s="168"/>
      <c r="D46" s="168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20"/>
    </row>
    <row r="47" spans="2:16">
      <c r="B47" s="7" t="s">
        <v>40</v>
      </c>
      <c r="C47" s="168"/>
      <c r="D47" s="168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20"/>
    </row>
    <row r="48" spans="2:16">
      <c r="B48" s="179" t="s">
        <v>138</v>
      </c>
      <c r="C48" s="187">
        <f>C31/Production!E33</f>
        <v>0</v>
      </c>
      <c r="D48" s="187">
        <f>D31/Production!F33</f>
        <v>0</v>
      </c>
      <c r="E48" s="187">
        <f>E31/Production!G33</f>
        <v>0</v>
      </c>
      <c r="F48" s="187">
        <f>F31/Production!H33</f>
        <v>0</v>
      </c>
      <c r="G48" s="187" t="e">
        <f>G31/Production!I33</f>
        <v>#DIV/0!</v>
      </c>
      <c r="H48" s="187" t="e">
        <f>H31/Production!J33</f>
        <v>#DIV/0!</v>
      </c>
      <c r="I48" s="187" t="e">
        <f>I31/Production!K33</f>
        <v>#DIV/0!</v>
      </c>
      <c r="J48" s="187" t="e">
        <f>J31/Production!L33</f>
        <v>#DIV/0!</v>
      </c>
      <c r="K48" s="187" t="e">
        <f>K31/Production!M33</f>
        <v>#DIV/0!</v>
      </c>
      <c r="L48" s="187" t="e">
        <f>L31/Production!N33</f>
        <v>#DIV/0!</v>
      </c>
      <c r="M48" s="187" t="e">
        <f>M31/Production!O33</f>
        <v>#DIV/0!</v>
      </c>
      <c r="N48" s="187" t="e">
        <f>N31/Production!P33</f>
        <v>#DIV/0!</v>
      </c>
      <c r="O48" s="187">
        <f>O31/Production!Q33</f>
        <v>0</v>
      </c>
      <c r="P48" s="120">
        <v>75.510000000000005</v>
      </c>
    </row>
    <row r="49" spans="2:15">
      <c r="B49" s="2" t="s">
        <v>77</v>
      </c>
      <c r="C49" s="168">
        <f>C32/Production!E32</f>
        <v>0</v>
      </c>
      <c r="D49" s="168">
        <f>D32/Production!F32</f>
        <v>0</v>
      </c>
      <c r="E49" s="168">
        <f>E32/Production!G32</f>
        <v>0</v>
      </c>
      <c r="F49" s="168">
        <f>F32/Production!H32</f>
        <v>0</v>
      </c>
      <c r="G49" s="168" t="e">
        <f>G32/Production!I32</f>
        <v>#DIV/0!</v>
      </c>
      <c r="H49" s="168" t="e">
        <f>H32/Production!J32</f>
        <v>#DIV/0!</v>
      </c>
      <c r="I49" s="168" t="e">
        <f>I32/Production!K32</f>
        <v>#DIV/0!</v>
      </c>
      <c r="J49" s="168" t="e">
        <f>J32/Production!L32</f>
        <v>#DIV/0!</v>
      </c>
      <c r="K49" s="168" t="e">
        <f>K32/Production!M32</f>
        <v>#DIV/0!</v>
      </c>
      <c r="L49" s="168" t="e">
        <f>L32/Production!N32</f>
        <v>#DIV/0!</v>
      </c>
      <c r="M49" s="168" t="e">
        <f>M32/Production!O32</f>
        <v>#DIV/0!</v>
      </c>
      <c r="N49" s="168" t="e">
        <f>N32/Production!P32</f>
        <v>#DIV/0!</v>
      </c>
      <c r="O49" s="168">
        <f>O32/Production!Q32</f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730A-53F3-4058-8FA1-EDF00831D5F3}">
  <dimension ref="B2:T33"/>
  <sheetViews>
    <sheetView topLeftCell="B1" zoomScale="70" zoomScaleNormal="70" workbookViewId="0">
      <pane xSplit="1" ySplit="4" topLeftCell="C5" activePane="bottomRight" state="frozen"/>
      <selection pane="topRight"/>
      <selection pane="bottomLeft"/>
      <selection pane="bottomRight" activeCell="Q7" sqref="Q7"/>
    </sheetView>
  </sheetViews>
  <sheetFormatPr defaultRowHeight="14.5"/>
  <cols>
    <col min="2" max="2" width="34.36328125" bestFit="1" customWidth="1"/>
    <col min="3" max="3" width="12" customWidth="1"/>
    <col min="4" max="4" width="12.6328125" customWidth="1"/>
    <col min="5" max="5" width="16.08984375" customWidth="1"/>
    <col min="6" max="6" width="14.26953125" customWidth="1"/>
    <col min="7" max="16" width="10.7265625" bestFit="1" customWidth="1"/>
    <col min="17" max="17" width="13.6328125" customWidth="1"/>
  </cols>
  <sheetData>
    <row r="2" spans="2:20" ht="18.5">
      <c r="B2" s="358" t="s">
        <v>142</v>
      </c>
    </row>
    <row r="4" spans="2:20" ht="21">
      <c r="B4" s="372" t="s">
        <v>143</v>
      </c>
      <c r="C4" s="373" t="s">
        <v>144</v>
      </c>
      <c r="D4" s="373" t="s">
        <v>4</v>
      </c>
      <c r="E4" s="374">
        <v>46023</v>
      </c>
      <c r="F4" s="374">
        <v>46054</v>
      </c>
      <c r="G4" s="374">
        <v>46082</v>
      </c>
      <c r="H4" s="374">
        <v>46113</v>
      </c>
      <c r="I4" s="374">
        <v>46143</v>
      </c>
      <c r="J4" s="374">
        <v>46174</v>
      </c>
      <c r="K4" s="374">
        <v>46204</v>
      </c>
      <c r="L4" s="374">
        <v>46235</v>
      </c>
      <c r="M4" s="374">
        <v>46266</v>
      </c>
      <c r="N4" s="374">
        <v>46296</v>
      </c>
      <c r="O4" s="374">
        <v>46327</v>
      </c>
      <c r="P4" s="374">
        <v>46357</v>
      </c>
      <c r="Q4" s="375" t="s">
        <v>105</v>
      </c>
      <c r="T4" s="392">
        <v>1</v>
      </c>
    </row>
    <row r="5" spans="2:20" ht="24">
      <c r="B5" s="376" t="s">
        <v>54</v>
      </c>
      <c r="C5" s="369" t="s">
        <v>145</v>
      </c>
      <c r="D5" s="377">
        <f>'Water withdrawal'!D77</f>
        <v>3.4</v>
      </c>
      <c r="E5" s="371">
        <f>'Water withdrawal'!E77</f>
        <v>3.12</v>
      </c>
      <c r="F5" s="371">
        <f>'Water withdrawal'!F77</f>
        <v>3.2250575468683147</v>
      </c>
      <c r="G5" s="371">
        <f>'Water withdrawal'!G77</f>
        <v>3.364838848323195</v>
      </c>
      <c r="H5" s="371">
        <f>'Water withdrawal'!H77</f>
        <v>3.3522771234063264</v>
      </c>
      <c r="I5" s="371" t="e">
        <f>'Water withdrawal'!I77</f>
        <v>#DIV/0!</v>
      </c>
      <c r="J5" s="371" t="e">
        <f>'Water withdrawal'!J77</f>
        <v>#DIV/0!</v>
      </c>
      <c r="K5" s="371" t="e">
        <f>'Water withdrawal'!K77</f>
        <v>#DIV/0!</v>
      </c>
      <c r="L5" s="371" t="e">
        <f>'Water withdrawal'!L77</f>
        <v>#DIV/0!</v>
      </c>
      <c r="M5" s="371" t="e">
        <f>'Water withdrawal'!M77</f>
        <v>#DIV/0!</v>
      </c>
      <c r="N5" s="371" t="e">
        <f>'Water withdrawal'!N77</f>
        <v>#DIV/0!</v>
      </c>
      <c r="O5" s="371" t="e">
        <f>'Water withdrawal'!O77</f>
        <v>#DIV/0!</v>
      </c>
      <c r="P5" s="371" t="e">
        <f>'Water withdrawal'!P77</f>
        <v>#DIV/0!</v>
      </c>
      <c r="Q5" s="378">
        <f>'Water withdrawal'!Q77</f>
        <v>3.2590119601299223</v>
      </c>
      <c r="S5" s="393">
        <f>Q5/D5</f>
        <v>0.95853292944997714</v>
      </c>
    </row>
    <row r="6" spans="2:20" ht="21">
      <c r="B6" s="364" t="s">
        <v>146</v>
      </c>
      <c r="C6" s="166" t="s">
        <v>88</v>
      </c>
      <c r="D6" s="253">
        <f>'Hz waste gen'!D78</f>
        <v>1.07</v>
      </c>
      <c r="E6" s="167">
        <f>'Hz waste gen'!E78</f>
        <v>0.73744883825934926</v>
      </c>
      <c r="F6" s="167">
        <f>'Hz waste gen'!F78</f>
        <v>0.8974623980779638</v>
      </c>
      <c r="G6" s="167">
        <f>'Hz waste gen'!G78</f>
        <v>0.72949870936908168</v>
      </c>
      <c r="H6" s="167">
        <f>'Hz waste gen'!H78</f>
        <v>0.31564841340192101</v>
      </c>
      <c r="I6" s="167" t="e">
        <f>'Hz waste gen'!I78</f>
        <v>#DIV/0!</v>
      </c>
      <c r="J6" s="167" t="e">
        <f>'Hz waste gen'!J78</f>
        <v>#DIV/0!</v>
      </c>
      <c r="K6" s="167" t="e">
        <f>'Hz waste gen'!K78</f>
        <v>#DIV/0!</v>
      </c>
      <c r="L6" s="167" t="e">
        <f>'Hz waste gen'!L78</f>
        <v>#DIV/0!</v>
      </c>
      <c r="M6" s="167" t="e">
        <f>'Hz waste gen'!M78</f>
        <v>#DIV/0!</v>
      </c>
      <c r="N6" s="167" t="e">
        <f>'Hz waste gen'!N78</f>
        <v>#DIV/0!</v>
      </c>
      <c r="O6" s="167" t="e">
        <f>'Hz waste gen'!O78</f>
        <v>#DIV/0!</v>
      </c>
      <c r="P6" s="167" t="e">
        <f>'Hz waste gen'!P78</f>
        <v>#DIV/0!</v>
      </c>
      <c r="Q6" s="167">
        <f>'Hz waste gen'!Q78</f>
        <v>0.68340054504295467</v>
      </c>
      <c r="S6" s="393">
        <f t="shared" ref="S6:S11" si="0">Q6/D6</f>
        <v>0.6386920981709856</v>
      </c>
    </row>
    <row r="7" spans="2:20" ht="21">
      <c r="B7" s="364" t="s">
        <v>147</v>
      </c>
      <c r="C7" s="166" t="s">
        <v>88</v>
      </c>
      <c r="D7" s="253">
        <f>'Waste disposal'!D79</f>
        <v>0.72</v>
      </c>
      <c r="E7" s="167">
        <f>'Waste disposal'!E79</f>
        <v>0.33236158204592681</v>
      </c>
      <c r="F7" s="167">
        <f>'Waste disposal'!F79</f>
        <v>0.60609868197044081</v>
      </c>
      <c r="G7" s="167">
        <f>'Waste disposal'!G79</f>
        <v>0.6512897919445596</v>
      </c>
      <c r="H7" s="167">
        <f>'Waste disposal'!H79</f>
        <v>0.51940816951716673</v>
      </c>
      <c r="I7" s="167" t="e">
        <f>'Waste disposal'!I79</f>
        <v>#DIV/0!</v>
      </c>
      <c r="J7" s="167" t="e">
        <f>'Waste disposal'!J79</f>
        <v>#DIV/0!</v>
      </c>
      <c r="K7" s="167" t="e">
        <f>'Waste disposal'!K79</f>
        <v>#DIV/0!</v>
      </c>
      <c r="L7" s="167" t="e">
        <f>'Waste disposal'!L79</f>
        <v>#DIV/0!</v>
      </c>
      <c r="M7" s="167" t="e">
        <f>'Waste disposal'!M79</f>
        <v>#DIV/0!</v>
      </c>
      <c r="N7" s="167" t="e">
        <f>'Waste disposal'!N79</f>
        <v>#DIV/0!</v>
      </c>
      <c r="O7" s="167" t="e">
        <f>'Waste disposal'!O79</f>
        <v>#DIV/0!</v>
      </c>
      <c r="P7" s="167" t="e">
        <f>'Waste disposal'!P79</f>
        <v>#DIV/0!</v>
      </c>
      <c r="Q7" s="167">
        <f>'Waste disposal'!Q79</f>
        <v>0.52167514580747143</v>
      </c>
      <c r="S7" s="393">
        <f t="shared" si="0"/>
        <v>0.72454881362148815</v>
      </c>
    </row>
    <row r="8" spans="2:20" ht="21">
      <c r="B8" s="365" t="s">
        <v>148</v>
      </c>
      <c r="C8" s="366" t="s">
        <v>14</v>
      </c>
      <c r="D8" s="367">
        <f>TSP!B53</f>
        <v>78</v>
      </c>
      <c r="E8" s="167">
        <f>TSP!D35</f>
        <v>6.3538379629999993</v>
      </c>
      <c r="F8" s="167">
        <f>TSP!E35</f>
        <v>4.9996721174999994</v>
      </c>
      <c r="G8" s="167">
        <f>TSP!F35</f>
        <v>4.1755708392999997</v>
      </c>
      <c r="H8" s="167">
        <f>TSP!G35</f>
        <v>3.2843112495</v>
      </c>
      <c r="I8" s="167">
        <f>TSP!H35</f>
        <v>0</v>
      </c>
      <c r="J8" s="167">
        <f>TSP!I35</f>
        <v>0</v>
      </c>
      <c r="K8" s="167">
        <f>TSP!J35</f>
        <v>0</v>
      </c>
      <c r="L8" s="167">
        <f>TSP!K35</f>
        <v>0</v>
      </c>
      <c r="M8" s="167">
        <f>TSP!L35</f>
        <v>0</v>
      </c>
      <c r="N8" s="167">
        <f>TSP!M35</f>
        <v>0</v>
      </c>
      <c r="O8" s="167">
        <f>TSP!N35</f>
        <v>0</v>
      </c>
      <c r="P8" s="167">
        <f>TSP!O35</f>
        <v>0</v>
      </c>
      <c r="Q8" s="167">
        <f>TSP!P35</f>
        <v>18.813392169299998</v>
      </c>
      <c r="S8" s="393">
        <f t="shared" si="0"/>
        <v>0.24119733550384614</v>
      </c>
    </row>
    <row r="9" spans="2:20" ht="21">
      <c r="B9" s="368" t="s">
        <v>149</v>
      </c>
      <c r="C9" s="369" t="s">
        <v>88</v>
      </c>
      <c r="D9" s="370">
        <f>'Non-hz waste gen'!D79</f>
        <v>3.17</v>
      </c>
      <c r="E9" s="167">
        <f>'Non-hz waste gen'!E79</f>
        <v>2.3827126809602612</v>
      </c>
      <c r="F9" s="167">
        <f>'Non-hz waste gen'!F79</f>
        <v>2.3337518998379769</v>
      </c>
      <c r="G9" s="167">
        <f>'Non-hz waste gen'!G79</f>
        <v>3.097307669248706</v>
      </c>
      <c r="H9" s="167">
        <f>'Non-hz waste gen'!H79</f>
        <v>3.2724514677427048</v>
      </c>
      <c r="I9" s="167" t="e">
        <f>'Non-hz waste gen'!I79</f>
        <v>#DIV/0!</v>
      </c>
      <c r="J9" s="167" t="e">
        <f>'Non-hz waste gen'!J79</f>
        <v>#DIV/0!</v>
      </c>
      <c r="K9" s="167" t="e">
        <f>'Non-hz waste gen'!K79</f>
        <v>#DIV/0!</v>
      </c>
      <c r="L9" s="167" t="e">
        <f>'Non-hz waste gen'!L79</f>
        <v>#DIV/0!</v>
      </c>
      <c r="M9" s="167" t="e">
        <f>'Non-hz waste gen'!M79</f>
        <v>#DIV/0!</v>
      </c>
      <c r="N9" s="167" t="e">
        <f>'Non-hz waste gen'!N79</f>
        <v>#DIV/0!</v>
      </c>
      <c r="O9" s="167" t="e">
        <f>'Non-hz waste gen'!O79</f>
        <v>#DIV/0!</v>
      </c>
      <c r="P9" s="167" t="e">
        <f>'Non-hz waste gen'!P79</f>
        <v>#DIV/0!</v>
      </c>
      <c r="Q9" s="167">
        <f>'Non-hz waste gen'!Q79</f>
        <v>2.7432980494922736</v>
      </c>
      <c r="S9" s="393">
        <f t="shared" si="0"/>
        <v>0.86539370646443969</v>
      </c>
    </row>
    <row r="10" spans="2:20" ht="21">
      <c r="B10" s="165" t="s">
        <v>150</v>
      </c>
      <c r="C10" s="166" t="s">
        <v>129</v>
      </c>
      <c r="D10" s="203">
        <f>NOx!D77</f>
        <v>205</v>
      </c>
      <c r="E10" s="167">
        <f>NOx!E77</f>
        <v>184.0399571770069</v>
      </c>
      <c r="F10" s="167">
        <f>NOx!F77</f>
        <v>172.50513536770654</v>
      </c>
      <c r="G10" s="167">
        <f>NOx!G77</f>
        <v>176.25567211372572</v>
      </c>
      <c r="H10" s="167">
        <f>NOx!H77</f>
        <v>172.08057601080947</v>
      </c>
      <c r="I10" s="167" t="e">
        <f>NOx!I77</f>
        <v>#DIV/0!</v>
      </c>
      <c r="J10" s="167" t="e">
        <f>NOx!J77</f>
        <v>#DIV/0!</v>
      </c>
      <c r="K10" s="167" t="e">
        <f>NOx!K77</f>
        <v>#DIV/0!</v>
      </c>
      <c r="L10" s="167" t="e">
        <f>NOx!L77</f>
        <v>#DIV/0!</v>
      </c>
      <c r="M10" s="167" t="e">
        <f>NOx!M77</f>
        <v>#DIV/0!</v>
      </c>
      <c r="N10" s="167" t="e">
        <f>NOx!N77</f>
        <v>#DIV/0!</v>
      </c>
      <c r="O10" s="167" t="e">
        <f>NOx!O77</f>
        <v>#DIV/0!</v>
      </c>
      <c r="P10" s="167" t="e">
        <f>NOx!P77</f>
        <v>#DIV/0!</v>
      </c>
      <c r="Q10" s="167">
        <f>NOx!Q77</f>
        <v>176.57002480853754</v>
      </c>
      <c r="S10" s="393">
        <f t="shared" si="0"/>
        <v>0.86131719418798802</v>
      </c>
    </row>
    <row r="11" spans="2:20" ht="21">
      <c r="B11" s="165" t="s">
        <v>151</v>
      </c>
      <c r="C11" s="166" t="s">
        <v>129</v>
      </c>
      <c r="D11" s="204">
        <f>SOx!D75</f>
        <v>14.87</v>
      </c>
      <c r="E11" s="167">
        <f>SOx!E75</f>
        <v>11.061020231927792</v>
      </c>
      <c r="F11" s="167">
        <f>SOx!F75</f>
        <v>15.684802036132202</v>
      </c>
      <c r="G11" s="167">
        <f>SOx!G75</f>
        <v>10.803713811208235</v>
      </c>
      <c r="H11" s="167">
        <f>SOx!H75</f>
        <v>16.422969353957999</v>
      </c>
      <c r="I11" s="167" t="e">
        <f>SOx!I75</f>
        <v>#DIV/0!</v>
      </c>
      <c r="J11" s="167" t="e">
        <f>SOx!J75</f>
        <v>#DIV/0!</v>
      </c>
      <c r="K11" s="167" t="e">
        <f>SOx!K75</f>
        <v>#DIV/0!</v>
      </c>
      <c r="L11" s="167" t="e">
        <f>SOx!L75</f>
        <v>#DIV/0!</v>
      </c>
      <c r="M11" s="167" t="e">
        <f>SOx!M75</f>
        <v>#DIV/0!</v>
      </c>
      <c r="N11" s="167" t="e">
        <f>SOx!N75</f>
        <v>#DIV/0!</v>
      </c>
      <c r="O11" s="167" t="e">
        <f>SOx!O75</f>
        <v>#DIV/0!</v>
      </c>
      <c r="P11" s="167" t="e">
        <f>SOx!P75</f>
        <v>#DIV/0!</v>
      </c>
      <c r="Q11" s="167">
        <f>SOx!Q75</f>
        <v>13.342578400496004</v>
      </c>
      <c r="S11" s="393">
        <f t="shared" si="0"/>
        <v>0.89728166782084762</v>
      </c>
    </row>
    <row r="14" spans="2:20" ht="18.5">
      <c r="B14" s="358" t="s">
        <v>152</v>
      </c>
    </row>
    <row r="15" spans="2:20" ht="21">
      <c r="B15" s="386" t="s">
        <v>143</v>
      </c>
      <c r="C15" s="387" t="s">
        <v>144</v>
      </c>
      <c r="D15" s="387" t="s">
        <v>4</v>
      </c>
      <c r="E15" s="388">
        <v>46023</v>
      </c>
      <c r="F15" s="388">
        <v>46054</v>
      </c>
      <c r="G15" s="388">
        <v>46082</v>
      </c>
      <c r="H15" s="388">
        <v>46113</v>
      </c>
      <c r="I15" s="388">
        <v>46143</v>
      </c>
      <c r="J15" s="388">
        <v>46174</v>
      </c>
      <c r="K15" s="388">
        <v>46204</v>
      </c>
      <c r="L15" s="388">
        <v>46235</v>
      </c>
      <c r="M15" s="388">
        <v>46266</v>
      </c>
      <c r="N15" s="388">
        <v>46296</v>
      </c>
      <c r="O15" s="388">
        <v>46327</v>
      </c>
      <c r="P15" s="388">
        <v>46357</v>
      </c>
      <c r="Q15" s="389" t="s">
        <v>105</v>
      </c>
    </row>
    <row r="16" spans="2:20" ht="24">
      <c r="B16" s="359" t="s">
        <v>54</v>
      </c>
      <c r="C16" s="360" t="s">
        <v>145</v>
      </c>
      <c r="D16" s="361">
        <f>'Water withdrawal'!D79</f>
        <v>3.03</v>
      </c>
      <c r="E16" s="362">
        <f>'Water withdrawal'!E79</f>
        <v>2.941370400291202</v>
      </c>
      <c r="F16" s="362">
        <f>'Water withdrawal'!F79</f>
        <v>2.9599713552347584</v>
      </c>
      <c r="G16" s="362">
        <f>'Water withdrawal'!G79</f>
        <v>3.2321934043887421</v>
      </c>
      <c r="H16" s="362">
        <f>'Water withdrawal'!H79</f>
        <v>3.2661332644409393</v>
      </c>
      <c r="I16" s="362" t="e">
        <f>'Water withdrawal'!I79</f>
        <v>#DIV/0!</v>
      </c>
      <c r="J16" s="362" t="e">
        <f>'Water withdrawal'!J79</f>
        <v>#DIV/0!</v>
      </c>
      <c r="K16" s="362" t="e">
        <f>'Water withdrawal'!K79</f>
        <v>#DIV/0!</v>
      </c>
      <c r="L16" s="362" t="e">
        <f>'Water withdrawal'!L79</f>
        <v>#DIV/0!</v>
      </c>
      <c r="M16" s="362" t="e">
        <f>'Water withdrawal'!M79</f>
        <v>#DIV/0!</v>
      </c>
      <c r="N16" s="362" t="e">
        <f>'Water withdrawal'!N79</f>
        <v>#DIV/0!</v>
      </c>
      <c r="O16" s="362" t="e">
        <f>'Water withdrawal'!O79</f>
        <v>#DIV/0!</v>
      </c>
      <c r="P16" s="362" t="e">
        <f>'Water withdrawal'!P79</f>
        <v>#DIV/0!</v>
      </c>
      <c r="Q16" s="363">
        <f>'Water withdrawal'!Q79</f>
        <v>3.0696326236575815</v>
      </c>
      <c r="S16" s="393">
        <f>Q16/D16</f>
        <v>1.0130800738143835</v>
      </c>
    </row>
    <row r="17" spans="2:19" ht="21">
      <c r="B17" s="364" t="s">
        <v>146</v>
      </c>
      <c r="C17" s="166" t="s">
        <v>88</v>
      </c>
      <c r="D17" s="377">
        <f>'Hz waste gen'!D80</f>
        <v>0.73087283109517398</v>
      </c>
      <c r="E17" s="371">
        <f>'Hz waste gen'!E80</f>
        <v>0.58238978537871988</v>
      </c>
      <c r="F17" s="371">
        <f>'Hz waste gen'!F80</f>
        <v>0.73465673367088402</v>
      </c>
      <c r="G17" s="371">
        <f>'Hz waste gen'!G80</f>
        <v>0.39706515279784366</v>
      </c>
      <c r="H17" s="371">
        <f>'Hz waste gen'!H80</f>
        <v>0.28880826508276619</v>
      </c>
      <c r="I17" s="371" t="e">
        <f>'Hz waste gen'!I80</f>
        <v>#DIV/0!</v>
      </c>
      <c r="J17" s="371" t="e">
        <f>'Hz waste gen'!J80</f>
        <v>#DIV/0!</v>
      </c>
      <c r="K17" s="371" t="e">
        <f>'Hz waste gen'!K80</f>
        <v>#DIV/0!</v>
      </c>
      <c r="L17" s="371" t="e">
        <f>'Hz waste gen'!L80</f>
        <v>#DIV/0!</v>
      </c>
      <c r="M17" s="371" t="e">
        <f>'Hz waste gen'!M80</f>
        <v>#DIV/0!</v>
      </c>
      <c r="N17" s="371" t="e">
        <f>'Hz waste gen'!N80</f>
        <v>#DIV/0!</v>
      </c>
      <c r="O17" s="371" t="e">
        <f>'Hz waste gen'!O80</f>
        <v>#DIV/0!</v>
      </c>
      <c r="P17" s="371" t="e">
        <f>'Hz waste gen'!P80</f>
        <v>#DIV/0!</v>
      </c>
      <c r="Q17" s="378">
        <f>'Hz waste gen'!Q80</f>
        <v>0.52128108907848303</v>
      </c>
      <c r="S17" s="393">
        <f t="shared" ref="S17:S22" si="1">Q17/D17</f>
        <v>0.71323090269667178</v>
      </c>
    </row>
    <row r="18" spans="2:19" ht="21">
      <c r="B18" s="364" t="s">
        <v>147</v>
      </c>
      <c r="C18" s="166" t="s">
        <v>88</v>
      </c>
      <c r="D18" s="377">
        <f>'Waste disposal'!D81</f>
        <v>0.3840594826531829</v>
      </c>
      <c r="E18" s="371">
        <f>'Waste disposal'!E81</f>
        <v>0.11968366598142159</v>
      </c>
      <c r="F18" s="371">
        <f>'Waste disposal'!F81</f>
        <v>0.27303624923262015</v>
      </c>
      <c r="G18" s="371">
        <f>'Waste disposal'!G81</f>
        <v>0.17270415754553289</v>
      </c>
      <c r="H18" s="371">
        <f>'Waste disposal'!H81</f>
        <v>8.5243987902216808E-2</v>
      </c>
      <c r="I18" s="371" t="e">
        <f>'Waste disposal'!I81</f>
        <v>#DIV/0!</v>
      </c>
      <c r="J18" s="371" t="e">
        <f>'Waste disposal'!J81</f>
        <v>#DIV/0!</v>
      </c>
      <c r="K18" s="371" t="e">
        <f>'Waste disposal'!K81</f>
        <v>#DIV/0!</v>
      </c>
      <c r="L18" s="371" t="e">
        <f>'Waste disposal'!L81</f>
        <v>#DIV/0!</v>
      </c>
      <c r="M18" s="371" t="e">
        <f>'Waste disposal'!M81</f>
        <v>#DIV/0!</v>
      </c>
      <c r="N18" s="371" t="e">
        <f>'Waste disposal'!N81</f>
        <v>#DIV/0!</v>
      </c>
      <c r="O18" s="371" t="e">
        <f>'Waste disposal'!O81</f>
        <v>#DIV/0!</v>
      </c>
      <c r="P18" s="371" t="e">
        <f>'Waste disposal'!P81</f>
        <v>#DIV/0!</v>
      </c>
      <c r="Q18" s="378">
        <f>'Waste disposal'!Q81</f>
        <v>0.16657870559426771</v>
      </c>
      <c r="S18" s="393">
        <f t="shared" si="1"/>
        <v>0.43373152628207129</v>
      </c>
    </row>
    <row r="19" spans="2:19" ht="21">
      <c r="B19" s="365" t="s">
        <v>148</v>
      </c>
      <c r="C19" s="366" t="s">
        <v>14</v>
      </c>
      <c r="D19" s="383">
        <f>TSP!B74</f>
        <v>42.18</v>
      </c>
      <c r="E19" s="384">
        <v>1.8893653371000001</v>
      </c>
      <c r="F19" s="384">
        <v>1.7105648044999999</v>
      </c>
      <c r="G19" s="384">
        <v>0</v>
      </c>
      <c r="H19" s="384">
        <v>0</v>
      </c>
      <c r="I19" s="384">
        <v>0</v>
      </c>
      <c r="J19" s="384">
        <v>0</v>
      </c>
      <c r="K19" s="384">
        <v>0</v>
      </c>
      <c r="L19" s="384">
        <v>0</v>
      </c>
      <c r="M19" s="384">
        <v>0</v>
      </c>
      <c r="N19" s="384">
        <v>0</v>
      </c>
      <c r="O19" s="384">
        <v>0</v>
      </c>
      <c r="P19" s="384">
        <v>0</v>
      </c>
      <c r="Q19" s="385">
        <v>3.5999301415999998</v>
      </c>
      <c r="S19" s="393">
        <f t="shared" si="1"/>
        <v>8.5346850203888089E-2</v>
      </c>
    </row>
    <row r="20" spans="2:19" ht="21">
      <c r="B20" s="368" t="s">
        <v>149</v>
      </c>
      <c r="C20" s="369" t="s">
        <v>88</v>
      </c>
      <c r="D20" s="377">
        <f>'Non-hz waste gen'!D81</f>
        <v>2.5870577073541514</v>
      </c>
      <c r="E20" s="371">
        <f>'Non-hz waste gen'!E81</f>
        <v>2.08321013517123</v>
      </c>
      <c r="F20" s="371">
        <f>'Non-hz waste gen'!F81</f>
        <v>1.934756393222784</v>
      </c>
      <c r="G20" s="371">
        <f>'Non-hz waste gen'!G81</f>
        <v>2.3977204630481483</v>
      </c>
      <c r="H20" s="371">
        <f>'Non-hz waste gen'!H81</f>
        <v>2.9287619170459616</v>
      </c>
      <c r="I20" s="371" t="e">
        <f>'Non-hz waste gen'!I81</f>
        <v>#DIV/0!</v>
      </c>
      <c r="J20" s="371" t="e">
        <f>'Non-hz waste gen'!J81</f>
        <v>#DIV/0!</v>
      </c>
      <c r="K20" s="371" t="e">
        <f>'Non-hz waste gen'!K81</f>
        <v>#DIV/0!</v>
      </c>
      <c r="L20" s="371" t="e">
        <f>'Non-hz waste gen'!L81</f>
        <v>#DIV/0!</v>
      </c>
      <c r="M20" s="371" t="e">
        <f>'Non-hz waste gen'!M81</f>
        <v>#DIV/0!</v>
      </c>
      <c r="N20" s="371" t="e">
        <f>'Non-hz waste gen'!N81</f>
        <v>#DIV/0!</v>
      </c>
      <c r="O20" s="371" t="e">
        <f>'Non-hz waste gen'!O81</f>
        <v>#DIV/0!</v>
      </c>
      <c r="P20" s="371" t="e">
        <f>'Non-hz waste gen'!P81</f>
        <v>#DIV/0!</v>
      </c>
      <c r="Q20" s="371">
        <f>'Non-hz waste gen'!Q81</f>
        <v>2.2781243217743881</v>
      </c>
      <c r="S20" s="393">
        <f t="shared" si="1"/>
        <v>0.88058504272959681</v>
      </c>
    </row>
    <row r="21" spans="2:19" ht="21">
      <c r="B21" s="165" t="s">
        <v>150</v>
      </c>
      <c r="C21" s="166" t="s">
        <v>129</v>
      </c>
      <c r="D21" s="379">
        <f>NOx!D79</f>
        <v>207.25534089646004</v>
      </c>
      <c r="E21" s="371">
        <f>NOx!E79</f>
        <v>170.2439191692024</v>
      </c>
      <c r="F21" s="371">
        <f>NOx!F79</f>
        <v>147.74251834320714</v>
      </c>
      <c r="G21" s="371">
        <f>NOx!G79</f>
        <v>155.14888547680255</v>
      </c>
      <c r="H21" s="371">
        <f>NOx!H79</f>
        <v>162.52629400282854</v>
      </c>
      <c r="I21" s="371" t="e">
        <f>NOx!I79</f>
        <v>#DIV/0!</v>
      </c>
      <c r="J21" s="371" t="e">
        <f>NOx!J79</f>
        <v>#DIV/0!</v>
      </c>
      <c r="K21" s="371" t="e">
        <f>NOx!K79</f>
        <v>#DIV/0!</v>
      </c>
      <c r="L21" s="371" t="e">
        <f>NOx!L79</f>
        <v>#DIV/0!</v>
      </c>
      <c r="M21" s="371" t="e">
        <f>NOx!M79</f>
        <v>#DIV/0!</v>
      </c>
      <c r="N21" s="371" t="e">
        <f>NOx!N79</f>
        <v>#DIV/0!</v>
      </c>
      <c r="O21" s="371" t="e">
        <f>NOx!O79</f>
        <v>#DIV/0!</v>
      </c>
      <c r="P21" s="371" t="e">
        <f>NOx!P79</f>
        <v>#DIV/0!</v>
      </c>
      <c r="Q21" s="371">
        <f>NOx!Q79</f>
        <v>158.60880397305854</v>
      </c>
      <c r="S21" s="393">
        <f t="shared" si="1"/>
        <v>0.7652821070232193</v>
      </c>
    </row>
    <row r="22" spans="2:19" ht="21">
      <c r="B22" s="165" t="s">
        <v>151</v>
      </c>
      <c r="C22" s="166" t="s">
        <v>129</v>
      </c>
      <c r="D22" s="377">
        <f>SOx!D77</f>
        <v>1.5732775565550901</v>
      </c>
      <c r="E22" s="371">
        <f>SOx!E77</f>
        <v>4.0055029026288347</v>
      </c>
      <c r="F22" s="371">
        <f>SOx!F77</f>
        <v>2.4557741502399368</v>
      </c>
      <c r="G22" s="371">
        <f>SOx!G77</f>
        <v>1.0017466594073849</v>
      </c>
      <c r="H22" s="371">
        <f>SOx!H77</f>
        <v>8.6219890852109071E-2</v>
      </c>
      <c r="I22" s="371" t="e">
        <f>SOx!I77</f>
        <v>#DIV/0!</v>
      </c>
      <c r="J22" s="371" t="e">
        <f>SOx!J77</f>
        <v>#DIV/0!</v>
      </c>
      <c r="K22" s="371" t="e">
        <f>SOx!K77</f>
        <v>#DIV/0!</v>
      </c>
      <c r="L22" s="371" t="e">
        <f>SOx!L77</f>
        <v>#DIV/0!</v>
      </c>
      <c r="M22" s="371" t="e">
        <f>SOx!M77</f>
        <v>#DIV/0!</v>
      </c>
      <c r="N22" s="371" t="e">
        <f>SOx!N77</f>
        <v>#DIV/0!</v>
      </c>
      <c r="O22" s="371" t="e">
        <f>SOx!O77</f>
        <v>#DIV/0!</v>
      </c>
      <c r="P22" s="371" t="e">
        <f>SOx!P77</f>
        <v>#DIV/0!</v>
      </c>
      <c r="Q22" s="371">
        <f>SOx!Q77</f>
        <v>2.1006471900603754</v>
      </c>
      <c r="S22" s="393">
        <f t="shared" si="1"/>
        <v>1.3352044471161431</v>
      </c>
    </row>
    <row r="25" spans="2:19" ht="18.5">
      <c r="B25" s="358" t="s">
        <v>153</v>
      </c>
    </row>
    <row r="26" spans="2:19" ht="21">
      <c r="B26" s="386" t="s">
        <v>143</v>
      </c>
      <c r="C26" s="387" t="s">
        <v>144</v>
      </c>
      <c r="D26" s="387" t="s">
        <v>4</v>
      </c>
      <c r="E26" s="388">
        <v>46023</v>
      </c>
      <c r="F26" s="388">
        <v>46054</v>
      </c>
      <c r="G26" s="388">
        <v>46082</v>
      </c>
      <c r="H26" s="388">
        <v>46113</v>
      </c>
      <c r="I26" s="388">
        <v>46143</v>
      </c>
      <c r="J26" s="388">
        <v>46174</v>
      </c>
      <c r="K26" s="388">
        <v>46204</v>
      </c>
      <c r="L26" s="388">
        <v>46235</v>
      </c>
      <c r="M26" s="388">
        <v>46266</v>
      </c>
      <c r="N26" s="388">
        <v>46296</v>
      </c>
      <c r="O26" s="388">
        <v>46327</v>
      </c>
      <c r="P26" s="388">
        <v>46357</v>
      </c>
      <c r="Q26" s="389" t="s">
        <v>105</v>
      </c>
    </row>
    <row r="27" spans="2:19" ht="24">
      <c r="B27" s="359" t="s">
        <v>54</v>
      </c>
      <c r="C27" s="360" t="s">
        <v>145</v>
      </c>
      <c r="D27" s="361">
        <f>'Water withdrawal'!D80</f>
        <v>4.1500000000000004</v>
      </c>
      <c r="E27" s="362">
        <f>'Water withdrawal'!E80</f>
        <v>3.5035309954641485</v>
      </c>
      <c r="F27" s="362">
        <f>'Water withdrawal'!F80</f>
        <v>3.8570080300520373</v>
      </c>
      <c r="G27" s="362">
        <f>'Water withdrawal'!G80</f>
        <v>3.5824168698969814</v>
      </c>
      <c r="H27" s="362">
        <f>'Water withdrawal'!H80</f>
        <v>3.4927919572853154</v>
      </c>
      <c r="I27" s="362" t="e">
        <f>'Water withdrawal'!I80</f>
        <v>#DIV/0!</v>
      </c>
      <c r="J27" s="362" t="e">
        <f>'Water withdrawal'!J80</f>
        <v>#DIV/0!</v>
      </c>
      <c r="K27" s="362" t="e">
        <f>'Water withdrawal'!K80</f>
        <v>#DIV/0!</v>
      </c>
      <c r="L27" s="362" t="e">
        <f>'Water withdrawal'!L80</f>
        <v>#DIV/0!</v>
      </c>
      <c r="M27" s="362" t="e">
        <f>'Water withdrawal'!M80</f>
        <v>#DIV/0!</v>
      </c>
      <c r="N27" s="362" t="e">
        <f>'Water withdrawal'!N80</f>
        <v>#DIV/0!</v>
      </c>
      <c r="O27" s="362" t="e">
        <f>'Water withdrawal'!O80</f>
        <v>#DIV/0!</v>
      </c>
      <c r="P27" s="362" t="e">
        <f>'Water withdrawal'!P80</f>
        <v>#DIV/0!</v>
      </c>
      <c r="Q27" s="363">
        <f>'Water withdrawal'!Q80</f>
        <v>3.5986639892420751</v>
      </c>
      <c r="S27" s="393">
        <f>Q27/D27</f>
        <v>0.86714794921495775</v>
      </c>
    </row>
    <row r="28" spans="2:19" ht="21">
      <c r="B28" s="364" t="s">
        <v>146</v>
      </c>
      <c r="C28" s="166" t="s">
        <v>88</v>
      </c>
      <c r="D28" s="377">
        <f>'Hz waste gen'!D81</f>
        <v>1.6552267796050846</v>
      </c>
      <c r="E28" s="362">
        <f>'Hz waste gen'!E81</f>
        <v>1.0627606789225368</v>
      </c>
      <c r="F28" s="362">
        <f>'Hz waste gen'!F81</f>
        <v>1.2760413615128361</v>
      </c>
      <c r="G28" s="362">
        <f>'Hz waste gen'!G81</f>
        <v>1.2291899269040174</v>
      </c>
      <c r="H28" s="362">
        <f>'Hz waste gen'!H81</f>
        <v>0.35501038756790498</v>
      </c>
      <c r="I28" s="362" t="e">
        <f>'Hz waste gen'!I81</f>
        <v>#DIV/0!</v>
      </c>
      <c r="J28" s="362" t="e">
        <f>'Hz waste gen'!J81</f>
        <v>#DIV/0!</v>
      </c>
      <c r="K28" s="362" t="e">
        <f>'Hz waste gen'!K81</f>
        <v>#DIV/0!</v>
      </c>
      <c r="L28" s="362" t="e">
        <f>'Hz waste gen'!L81</f>
        <v>#DIV/0!</v>
      </c>
      <c r="M28" s="362" t="e">
        <f>'Hz waste gen'!M81</f>
        <v>#DIV/0!</v>
      </c>
      <c r="N28" s="362" t="e">
        <f>'Hz waste gen'!N81</f>
        <v>#DIV/0!</v>
      </c>
      <c r="O28" s="362" t="e">
        <f>'Hz waste gen'!O81</f>
        <v>#DIV/0!</v>
      </c>
      <c r="P28" s="362" t="e">
        <f>'Hz waste gen'!P81</f>
        <v>#DIV/0!</v>
      </c>
      <c r="Q28" s="363">
        <f>'Hz waste gen'!Q81</f>
        <v>0.97416195123751681</v>
      </c>
      <c r="S28" s="393">
        <f t="shared" ref="S28:S33" si="2">Q28/D28</f>
        <v>0.58853684778465165</v>
      </c>
    </row>
    <row r="29" spans="2:19" ht="21">
      <c r="B29" s="364" t="s">
        <v>147</v>
      </c>
      <c r="C29" s="166" t="s">
        <v>88</v>
      </c>
      <c r="D29" s="377">
        <f>'Waste disposal'!D82</f>
        <v>1.3848914554950806</v>
      </c>
      <c r="E29" s="362">
        <f>'Waste disposal'!E82</f>
        <v>0.77855703505580476</v>
      </c>
      <c r="F29" s="362">
        <f>'Waste disposal'!F82</f>
        <v>1.3697507841007273</v>
      </c>
      <c r="G29" s="362">
        <f>'Waste disposal'!G82</f>
        <v>1.3683053655060242</v>
      </c>
      <c r="H29" s="362">
        <f>'Waste disposal'!H82</f>
        <v>1.1283176469288463</v>
      </c>
      <c r="I29" s="362" t="e">
        <f>'Waste disposal'!I82</f>
        <v>#DIV/0!</v>
      </c>
      <c r="J29" s="362" t="e">
        <f>'Waste disposal'!J82</f>
        <v>#DIV/0!</v>
      </c>
      <c r="K29" s="362" t="e">
        <f>'Waste disposal'!K82</f>
        <v>#DIV/0!</v>
      </c>
      <c r="L29" s="362" t="e">
        <f>'Waste disposal'!L82</f>
        <v>#DIV/0!</v>
      </c>
      <c r="M29" s="362" t="e">
        <f>'Waste disposal'!M82</f>
        <v>#DIV/0!</v>
      </c>
      <c r="N29" s="362" t="e">
        <f>'Waste disposal'!N82</f>
        <v>#DIV/0!</v>
      </c>
      <c r="O29" s="362" t="e">
        <f>'Waste disposal'!O82</f>
        <v>#DIV/0!</v>
      </c>
      <c r="P29" s="362" t="e">
        <f>'Waste disposal'!P82</f>
        <v>#DIV/0!</v>
      </c>
      <c r="Q29" s="363">
        <f>'Waste disposal'!Q82</f>
        <v>1.1585409659944155</v>
      </c>
      <c r="S29" s="393">
        <f t="shared" si="2"/>
        <v>0.83655723442979302</v>
      </c>
    </row>
    <row r="30" spans="2:19" ht="21">
      <c r="B30" s="365" t="s">
        <v>148</v>
      </c>
      <c r="C30" s="366" t="s">
        <v>14</v>
      </c>
      <c r="D30" s="383">
        <f>TSP!$B$75</f>
        <v>36</v>
      </c>
      <c r="E30" s="390">
        <f>TSP!D75</f>
        <v>4.4644726259</v>
      </c>
      <c r="F30" s="390">
        <f>TSP!E75</f>
        <v>3.2891073130000006</v>
      </c>
      <c r="G30" s="390">
        <f>TSP!F75</f>
        <v>2.3196390746</v>
      </c>
      <c r="H30" s="390">
        <f>TSP!G75</f>
        <v>1.4950399999999999</v>
      </c>
      <c r="I30" s="390">
        <f>TSP!H75</f>
        <v>0</v>
      </c>
      <c r="J30" s="390">
        <f>TSP!I75</f>
        <v>0</v>
      </c>
      <c r="K30" s="390">
        <f>TSP!J75</f>
        <v>0</v>
      </c>
      <c r="L30" s="390">
        <f>TSP!K75</f>
        <v>0</v>
      </c>
      <c r="M30" s="390">
        <f>TSP!L75</f>
        <v>0</v>
      </c>
      <c r="N30" s="390">
        <f>TSP!M75</f>
        <v>0</v>
      </c>
      <c r="O30" s="390">
        <f>TSP!N75</f>
        <v>0</v>
      </c>
      <c r="P30" s="390">
        <f>TSP!O75</f>
        <v>0</v>
      </c>
      <c r="Q30" s="391">
        <f>TSP!P75</f>
        <v>11.568259013500001</v>
      </c>
      <c r="S30" s="393">
        <f t="shared" si="2"/>
        <v>0.3213405281527778</v>
      </c>
    </row>
    <row r="31" spans="2:19" ht="21">
      <c r="B31" s="368" t="s">
        <v>149</v>
      </c>
      <c r="C31" s="369" t="s">
        <v>88</v>
      </c>
      <c r="D31" s="377">
        <f>'Non-hz waste gen'!D82</f>
        <v>4.3596743510252631</v>
      </c>
      <c r="E31" s="371">
        <f>'Non-hz waste gen'!E82</f>
        <v>3.0110650579668921</v>
      </c>
      <c r="F31" s="371">
        <f>'Non-hz waste gen'!F82</f>
        <v>3.262736006947708</v>
      </c>
      <c r="G31" s="371">
        <f>'Non-hz waste gen'!G82</f>
        <v>4.1581256256157202</v>
      </c>
      <c r="H31" s="371">
        <f>'Non-hz waste gen'!H82</f>
        <v>3.7718187286999267</v>
      </c>
      <c r="I31" s="371" t="e">
        <f>'Non-hz waste gen'!I82</f>
        <v>#DIV/0!</v>
      </c>
      <c r="J31" s="371" t="e">
        <f>'Non-hz waste gen'!J82</f>
        <v>#DIV/0!</v>
      </c>
      <c r="K31" s="371" t="e">
        <f>'Non-hz waste gen'!K82</f>
        <v>#DIV/0!</v>
      </c>
      <c r="L31" s="371" t="e">
        <f>'Non-hz waste gen'!L82</f>
        <v>#DIV/0!</v>
      </c>
      <c r="M31" s="371" t="e">
        <f>'Non-hz waste gen'!M82</f>
        <v>#DIV/0!</v>
      </c>
      <c r="N31" s="371" t="e">
        <f>'Non-hz waste gen'!N82</f>
        <v>#DIV/0!</v>
      </c>
      <c r="O31" s="371" t="e">
        <f>'Non-hz waste gen'!O82</f>
        <v>#DIV/0!</v>
      </c>
      <c r="P31" s="371" t="e">
        <f>'Non-hz waste gen'!P82</f>
        <v>#DIV/0!</v>
      </c>
      <c r="Q31" s="378">
        <f>'Non-hz waste gen'!Q82</f>
        <v>3.5775875947622735</v>
      </c>
      <c r="S31" s="393">
        <f t="shared" si="2"/>
        <v>0.82060890486486304</v>
      </c>
    </row>
    <row r="32" spans="2:19" ht="21">
      <c r="B32" s="165" t="s">
        <v>150</v>
      </c>
      <c r="C32" s="166" t="s">
        <v>129</v>
      </c>
      <c r="D32" s="377">
        <f>NOx!D80</f>
        <v>201.61093813113604</v>
      </c>
      <c r="E32" s="362">
        <f>NOx!E80</f>
        <v>212.98386232025084</v>
      </c>
      <c r="F32" s="362">
        <f>NOx!F80</f>
        <v>230.40378749072858</v>
      </c>
      <c r="G32" s="362">
        <f>NOx!G80</f>
        <v>208.75108580074578</v>
      </c>
      <c r="H32" s="362">
        <f>NOx!H80</f>
        <v>186.45431303707244</v>
      </c>
      <c r="I32" s="362" t="e">
        <f>NOx!I80</f>
        <v>#DIV/0!</v>
      </c>
      <c r="J32" s="362" t="e">
        <f>NOx!J80</f>
        <v>#DIV/0!</v>
      </c>
      <c r="K32" s="362" t="e">
        <f>NOx!K80</f>
        <v>#DIV/0!</v>
      </c>
      <c r="L32" s="362" t="e">
        <f>NOx!L80</f>
        <v>#DIV/0!</v>
      </c>
      <c r="M32" s="362" t="e">
        <f>NOx!M80</f>
        <v>#DIV/0!</v>
      </c>
      <c r="N32" s="362" t="e">
        <f>NOx!N80</f>
        <v>#DIV/0!</v>
      </c>
      <c r="O32" s="362" t="e">
        <f>NOx!O80</f>
        <v>#DIV/0!</v>
      </c>
      <c r="P32" s="362" t="e">
        <f>NOx!P80</f>
        <v>#DIV/0!</v>
      </c>
      <c r="Q32" s="363">
        <f>NOx!Q80</f>
        <v>208.78349231634519</v>
      </c>
      <c r="S32" s="393">
        <f t="shared" si="2"/>
        <v>1.0355762155153696</v>
      </c>
    </row>
    <row r="33" spans="2:19" ht="21">
      <c r="B33" s="165" t="s">
        <v>151</v>
      </c>
      <c r="C33" s="166" t="s">
        <v>129</v>
      </c>
      <c r="D33" s="377">
        <f>SOx!D78</f>
        <v>42.335293190048382</v>
      </c>
      <c r="E33" s="362">
        <f>SOx!E78</f>
        <v>25.863402205666723</v>
      </c>
      <c r="F33" s="362">
        <f>SOx!F78</f>
        <v>45.942692040021953</v>
      </c>
      <c r="G33" s="362">
        <f>SOx!G78</f>
        <v>25.473983859714043</v>
      </c>
      <c r="H33" s="362">
        <f>SOx!H78</f>
        <v>39.316118765760805</v>
      </c>
      <c r="I33" s="362" t="e">
        <f>SOx!I78</f>
        <v>#DIV/0!</v>
      </c>
      <c r="J33" s="362" t="e">
        <f>SOx!J78</f>
        <v>#DIV/0!</v>
      </c>
      <c r="K33" s="362" t="e">
        <f>SOx!K78</f>
        <v>#DIV/0!</v>
      </c>
      <c r="L33" s="362" t="e">
        <f>SOx!L78</f>
        <v>#DIV/0!</v>
      </c>
      <c r="M33" s="362" t="e">
        <f>SOx!M78</f>
        <v>#DIV/0!</v>
      </c>
      <c r="N33" s="362" t="e">
        <f>SOx!N78</f>
        <v>#DIV/0!</v>
      </c>
      <c r="O33" s="362" t="e">
        <f>SOx!O78</f>
        <v>#DIV/0!</v>
      </c>
      <c r="P33" s="362" t="e">
        <f>SOx!P78</f>
        <v>#DIV/0!</v>
      </c>
      <c r="Q33" s="363">
        <f>SOx!Q78</f>
        <v>33.504993254670801</v>
      </c>
      <c r="S33" s="393">
        <f t="shared" si="2"/>
        <v>0.79141989413567371</v>
      </c>
    </row>
  </sheetData>
  <conditionalFormatting sqref="E5:Q5">
    <cfRule type="cellIs" dxfId="46" priority="64" operator="lessThanOrEqual">
      <formula>$D$5</formula>
    </cfRule>
    <cfRule type="cellIs" dxfId="45" priority="65" operator="greaterThan">
      <formula>$D$5</formula>
    </cfRule>
  </conditionalFormatting>
  <conditionalFormatting sqref="E6:Q6">
    <cfRule type="cellIs" dxfId="44" priority="62" operator="lessThanOrEqual">
      <formula>$D6</formula>
    </cfRule>
    <cfRule type="cellIs" dxfId="43" priority="63" operator="greaterThan">
      <formula>$D6</formula>
    </cfRule>
  </conditionalFormatting>
  <conditionalFormatting sqref="E16:Q16">
    <cfRule type="cellIs" dxfId="42" priority="48" operator="lessThanOrEqual">
      <formula>$D16</formula>
    </cfRule>
    <cfRule type="cellIs" dxfId="41" priority="49" operator="greaterThan">
      <formula>$D16</formula>
    </cfRule>
  </conditionalFormatting>
  <conditionalFormatting sqref="E17:E22">
    <cfRule type="cellIs" dxfId="40" priority="40" operator="lessThanOrEqual">
      <formula>$D17</formula>
    </cfRule>
    <cfRule type="cellIs" dxfId="39" priority="41" operator="greaterThan">
      <formula>$D17</formula>
    </cfRule>
  </conditionalFormatting>
  <conditionalFormatting sqref="F17:Q17">
    <cfRule type="cellIs" dxfId="38" priority="38" operator="lessThanOrEqual">
      <formula>$D17</formula>
    </cfRule>
    <cfRule type="cellIs" dxfId="37" priority="39" operator="greaterThan">
      <formula>$D17</formula>
    </cfRule>
  </conditionalFormatting>
  <conditionalFormatting sqref="F18:Q18">
    <cfRule type="cellIs" dxfId="36" priority="36" operator="lessThanOrEqual">
      <formula>$D18</formula>
    </cfRule>
    <cfRule type="cellIs" dxfId="35" priority="37" operator="greaterThan">
      <formula>$D18</formula>
    </cfRule>
  </conditionalFormatting>
  <conditionalFormatting sqref="F19:Q19">
    <cfRule type="cellIs" dxfId="34" priority="34" operator="lessThanOrEqual">
      <formula>$D19</formula>
    </cfRule>
    <cfRule type="cellIs" dxfId="33" priority="35" operator="greaterThan">
      <formula>$D19</formula>
    </cfRule>
  </conditionalFormatting>
  <conditionalFormatting sqref="F20:Q20">
    <cfRule type="cellIs" dxfId="32" priority="32" operator="lessThanOrEqual">
      <formula>$D20</formula>
    </cfRule>
    <cfRule type="cellIs" dxfId="31" priority="33" operator="greaterThan">
      <formula>$D20</formula>
    </cfRule>
  </conditionalFormatting>
  <conditionalFormatting sqref="F21:Q21">
    <cfRule type="cellIs" dxfId="30" priority="30" operator="lessThanOrEqual">
      <formula>$D21</formula>
    </cfRule>
    <cfRule type="cellIs" dxfId="29" priority="31" operator="greaterThan">
      <formula>$D21</formula>
    </cfRule>
  </conditionalFormatting>
  <conditionalFormatting sqref="F22:Q22">
    <cfRule type="cellIs" dxfId="28" priority="28" operator="lessThanOrEqual">
      <formula>$D22</formula>
    </cfRule>
    <cfRule type="cellIs" dxfId="27" priority="29" operator="greaterThan">
      <formula>$D22</formula>
    </cfRule>
  </conditionalFormatting>
  <conditionalFormatting sqref="E27:Q27">
    <cfRule type="cellIs" dxfId="26" priority="26" operator="lessThanOrEqual">
      <formula>$D27</formula>
    </cfRule>
    <cfRule type="cellIs" dxfId="25" priority="27" operator="greaterThan">
      <formula>$D27</formula>
    </cfRule>
  </conditionalFormatting>
  <conditionalFormatting sqref="E28:Q28">
    <cfRule type="cellIs" dxfId="24" priority="24" operator="lessThanOrEqual">
      <formula>$D28</formula>
    </cfRule>
    <cfRule type="cellIs" dxfId="23" priority="25" operator="greaterThan">
      <formula>$D28</formula>
    </cfRule>
  </conditionalFormatting>
  <conditionalFormatting sqref="E29:Q29">
    <cfRule type="cellIs" dxfId="22" priority="22" operator="lessThanOrEqual">
      <formula>$D29</formula>
    </cfRule>
    <cfRule type="cellIs" dxfId="21" priority="23" operator="greaterThan">
      <formula>$D29</formula>
    </cfRule>
  </conditionalFormatting>
  <conditionalFormatting sqref="E30:Q30">
    <cfRule type="cellIs" dxfId="20" priority="20" operator="lessThanOrEqual">
      <formula>$D30</formula>
    </cfRule>
    <cfRule type="cellIs" dxfId="19" priority="21" operator="greaterThan">
      <formula>$D30</formula>
    </cfRule>
  </conditionalFormatting>
  <conditionalFormatting sqref="E31:Q31">
    <cfRule type="cellIs" dxfId="18" priority="18" operator="lessThanOrEqual">
      <formula>$D31</formula>
    </cfRule>
    <cfRule type="cellIs" dxfId="17" priority="19" operator="greaterThan">
      <formula>$D31</formula>
    </cfRule>
  </conditionalFormatting>
  <conditionalFormatting sqref="E32:Q32">
    <cfRule type="cellIs" dxfId="16" priority="16" operator="lessThanOrEqual">
      <formula>$D32</formula>
    </cfRule>
    <cfRule type="cellIs" dxfId="15" priority="17" operator="greaterThan">
      <formula>$D32</formula>
    </cfRule>
  </conditionalFormatting>
  <conditionalFormatting sqref="E33:Q33">
    <cfRule type="cellIs" dxfId="14" priority="14" operator="lessThanOrEqual">
      <formula>$D33</formula>
    </cfRule>
    <cfRule type="cellIs" dxfId="13" priority="15" operator="greaterThan">
      <formula>$D33</formula>
    </cfRule>
  </conditionalFormatting>
  <conditionalFormatting sqref="S5:S11">
    <cfRule type="cellIs" dxfId="12" priority="13" operator="greaterThan">
      <formula>$T$4</formula>
    </cfRule>
  </conditionalFormatting>
  <conditionalFormatting sqref="S16:S22">
    <cfRule type="cellIs" dxfId="11" priority="12" operator="greaterThan">
      <formula>$T$4</formula>
    </cfRule>
  </conditionalFormatting>
  <conditionalFormatting sqref="S27:S33">
    <cfRule type="cellIs" dxfId="10" priority="11" operator="greaterThan">
      <formula>$T$4</formula>
    </cfRule>
  </conditionalFormatting>
  <conditionalFormatting sqref="E7:Q7">
    <cfRule type="cellIs" dxfId="9" priority="9" operator="lessThanOrEqual">
      <formula>$D7</formula>
    </cfRule>
    <cfRule type="cellIs" dxfId="8" priority="10" operator="greaterThan">
      <formula>$D7</formula>
    </cfRule>
  </conditionalFormatting>
  <conditionalFormatting sqref="E8:Q8">
    <cfRule type="cellIs" dxfId="7" priority="7" operator="lessThanOrEqual">
      <formula>$D8</formula>
    </cfRule>
    <cfRule type="cellIs" dxfId="6" priority="8" operator="greaterThan">
      <formula>$D8</formula>
    </cfRule>
  </conditionalFormatting>
  <conditionalFormatting sqref="E9:Q9">
    <cfRule type="cellIs" dxfId="5" priority="5" operator="lessThanOrEqual">
      <formula>$D9</formula>
    </cfRule>
    <cfRule type="cellIs" dxfId="4" priority="6" operator="greaterThan">
      <formula>$D9</formula>
    </cfRule>
  </conditionalFormatting>
  <conditionalFormatting sqref="E10:Q10">
    <cfRule type="cellIs" dxfId="3" priority="3" operator="lessThanOrEqual">
      <formula>$D10</formula>
    </cfRule>
    <cfRule type="cellIs" dxfId="2" priority="4" operator="greaterThan">
      <formula>$D10</formula>
    </cfRule>
  </conditionalFormatting>
  <conditionalFormatting sqref="E11:Q11">
    <cfRule type="cellIs" dxfId="1" priority="1" operator="lessThanOrEqual">
      <formula>$D11</formula>
    </cfRule>
    <cfRule type="cellIs" dxfId="0" priority="2" operator="greaterThan">
      <formula>$D11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E6339-B043-4C23-9F66-C7FAFEB65487}">
  <dimension ref="B1:AH37"/>
  <sheetViews>
    <sheetView workbookViewId="0">
      <pane xSplit="3" ySplit="1" topLeftCell="D8" activePane="bottomRight" state="frozen"/>
      <selection pane="topRight"/>
      <selection pane="bottomLeft"/>
      <selection pane="bottomRight" activeCell="F17" sqref="F17"/>
    </sheetView>
  </sheetViews>
  <sheetFormatPr defaultRowHeight="14.5"/>
  <cols>
    <col min="2" max="2" width="11.7265625" bestFit="1" customWidth="1"/>
    <col min="3" max="3" width="13.08984375" bestFit="1" customWidth="1"/>
    <col min="5" max="5" width="19.08984375" customWidth="1"/>
    <col min="6" max="6" width="18.90625" customWidth="1"/>
    <col min="8" max="8" width="21.26953125" customWidth="1"/>
    <col min="9" max="9" width="18.453125" customWidth="1"/>
    <col min="11" max="11" width="16.7265625" customWidth="1"/>
    <col min="12" max="12" width="17.90625" customWidth="1"/>
    <col min="14" max="14" width="9.90625" bestFit="1" customWidth="1"/>
    <col min="16" max="16" width="17.36328125" customWidth="1"/>
    <col min="17" max="17" width="15.453125" customWidth="1"/>
    <col min="19" max="19" width="19.453125" customWidth="1"/>
    <col min="20" max="20" width="18.36328125" customWidth="1"/>
    <col min="22" max="22" width="14.26953125" customWidth="1"/>
    <col min="23" max="23" width="17" customWidth="1"/>
    <col min="25" max="25" width="14.36328125" customWidth="1"/>
    <col min="26" max="26" width="15" customWidth="1"/>
  </cols>
  <sheetData>
    <row r="1" spans="2:26" ht="43.5">
      <c r="C1" s="263" t="s">
        <v>154</v>
      </c>
      <c r="E1" s="301" t="s">
        <v>155</v>
      </c>
      <c r="F1" s="301" t="s">
        <v>156</v>
      </c>
      <c r="H1" s="305" t="s">
        <v>157</v>
      </c>
      <c r="I1" s="305" t="s">
        <v>158</v>
      </c>
      <c r="K1" s="305" t="s">
        <v>159</v>
      </c>
      <c r="L1" s="305" t="s">
        <v>160</v>
      </c>
      <c r="N1" s="301" t="s">
        <v>161</v>
      </c>
      <c r="P1" s="305" t="s">
        <v>162</v>
      </c>
      <c r="Q1" s="305" t="s">
        <v>163</v>
      </c>
      <c r="S1" s="309" t="s">
        <v>164</v>
      </c>
      <c r="T1" s="309" t="s">
        <v>165</v>
      </c>
      <c r="V1" s="315" t="s">
        <v>166</v>
      </c>
      <c r="W1" s="315" t="s">
        <v>167</v>
      </c>
      <c r="Y1" s="315" t="s">
        <v>168</v>
      </c>
      <c r="Z1" s="315" t="s">
        <v>169</v>
      </c>
    </row>
    <row r="2" spans="2:26">
      <c r="B2" s="272" t="s">
        <v>13</v>
      </c>
      <c r="C2" s="264">
        <v>2356654</v>
      </c>
      <c r="E2" s="302">
        <v>3.73</v>
      </c>
      <c r="F2" s="303">
        <f>E2*C2</f>
        <v>8790319.4199999999</v>
      </c>
      <c r="H2" s="304">
        <v>0.42</v>
      </c>
      <c r="I2" s="303">
        <f t="shared" ref="I2:I12" si="0">H2*C2</f>
        <v>989794.67999999993</v>
      </c>
      <c r="K2" s="302">
        <v>0.17</v>
      </c>
      <c r="L2" s="303">
        <f t="shared" ref="L2:L12" si="1">K2*C2</f>
        <v>400631.18000000005</v>
      </c>
      <c r="N2" s="304">
        <v>19.899999999999999</v>
      </c>
      <c r="P2" s="302"/>
      <c r="Q2" s="304"/>
      <c r="S2" s="275">
        <v>1.44</v>
      </c>
      <c r="T2" s="276">
        <f>S2*C2</f>
        <v>3393581.76</v>
      </c>
      <c r="V2" s="275">
        <v>350</v>
      </c>
      <c r="W2" s="275"/>
      <c r="Y2" s="275">
        <v>4.74</v>
      </c>
      <c r="Z2" s="276">
        <f>Y2*C2</f>
        <v>11170539.960000001</v>
      </c>
    </row>
    <row r="3" spans="2:26">
      <c r="B3" s="272" t="s">
        <v>15</v>
      </c>
      <c r="C3" s="264">
        <v>1873997</v>
      </c>
      <c r="E3" s="278">
        <v>3.6</v>
      </c>
      <c r="F3" s="276">
        <f t="shared" ref="F3:F32" si="2">E3*C3</f>
        <v>6746389.2000000002</v>
      </c>
      <c r="H3" s="275">
        <v>0.57999999999999996</v>
      </c>
      <c r="I3" s="276">
        <f t="shared" si="0"/>
        <v>1086918.26</v>
      </c>
      <c r="K3" s="277">
        <v>0.11</v>
      </c>
      <c r="L3" s="276">
        <f t="shared" si="1"/>
        <v>206139.67</v>
      </c>
      <c r="N3" s="275">
        <v>12.600000000000001</v>
      </c>
      <c r="P3" s="277"/>
      <c r="Q3" s="275"/>
      <c r="S3" s="275">
        <v>1.1299999999999999</v>
      </c>
      <c r="T3" s="276">
        <f t="shared" ref="T3:T32" si="3">S3*C3</f>
        <v>2117616.61</v>
      </c>
      <c r="V3" s="275">
        <v>350</v>
      </c>
      <c r="W3" s="275"/>
      <c r="Y3" s="275">
        <v>0.21</v>
      </c>
      <c r="Z3" s="276">
        <f>Y3*C3</f>
        <v>393539.37</v>
      </c>
    </row>
    <row r="4" spans="2:26">
      <c r="B4" s="273" t="s">
        <v>16</v>
      </c>
      <c r="C4" s="274">
        <f>SUM(C2:C3)</f>
        <v>4230651</v>
      </c>
      <c r="E4" s="277">
        <v>3.67</v>
      </c>
      <c r="F4" s="276">
        <f t="shared" si="2"/>
        <v>15526489.17</v>
      </c>
      <c r="H4" s="275">
        <v>0.5</v>
      </c>
      <c r="I4" s="276">
        <f t="shared" si="0"/>
        <v>2115325.5</v>
      </c>
      <c r="K4" s="277">
        <v>0.15</v>
      </c>
      <c r="L4" s="276">
        <f t="shared" si="1"/>
        <v>634597.65</v>
      </c>
      <c r="N4" s="275">
        <f>SUM(N2:N3)</f>
        <v>32.5</v>
      </c>
      <c r="P4" s="277">
        <v>52</v>
      </c>
      <c r="Q4" s="276">
        <f>P4*C4</f>
        <v>219993852</v>
      </c>
      <c r="S4" s="310"/>
      <c r="T4" s="276">
        <f>SUM(T2:T3)</f>
        <v>5511198.3699999992</v>
      </c>
      <c r="V4" s="275">
        <v>350</v>
      </c>
      <c r="W4" s="276">
        <f>V4*C4</f>
        <v>1480727850</v>
      </c>
      <c r="Y4" s="275"/>
      <c r="Z4" s="275"/>
    </row>
    <row r="5" spans="2:26">
      <c r="B5" s="266" t="s">
        <v>17</v>
      </c>
      <c r="C5" s="264">
        <v>1155435</v>
      </c>
      <c r="E5" s="277">
        <v>2.84</v>
      </c>
      <c r="F5" s="276">
        <f t="shared" si="2"/>
        <v>3281435.4</v>
      </c>
      <c r="H5" s="275">
        <v>0.68</v>
      </c>
      <c r="I5" s="276">
        <f t="shared" si="0"/>
        <v>785695.8</v>
      </c>
      <c r="K5" s="277">
        <v>0.51</v>
      </c>
      <c r="L5" s="276">
        <f t="shared" si="1"/>
        <v>589271.85</v>
      </c>
      <c r="N5" s="275">
        <v>7.9</v>
      </c>
      <c r="P5" s="277">
        <v>25</v>
      </c>
      <c r="Q5" s="276">
        <f>P5*C5</f>
        <v>28885875</v>
      </c>
      <c r="S5" s="275">
        <v>3.08</v>
      </c>
      <c r="T5" s="276">
        <f t="shared" si="3"/>
        <v>3558739.8000000003</v>
      </c>
      <c r="V5" s="275">
        <v>36</v>
      </c>
      <c r="W5" s="276">
        <f>V5*C5</f>
        <v>41595660</v>
      </c>
      <c r="Y5" s="275"/>
      <c r="Z5" s="275"/>
    </row>
    <row r="6" spans="2:26">
      <c r="B6" s="266" t="s">
        <v>18</v>
      </c>
      <c r="C6" s="264">
        <v>1738510</v>
      </c>
      <c r="E6" s="277">
        <v>1.78</v>
      </c>
      <c r="F6" s="276">
        <f>E6*C6</f>
        <v>3094547.8</v>
      </c>
      <c r="H6" s="275">
        <v>0.68</v>
      </c>
      <c r="I6" s="276">
        <f t="shared" si="0"/>
        <v>1182186.8</v>
      </c>
      <c r="K6" s="277">
        <v>0.3</v>
      </c>
      <c r="L6" s="276">
        <f t="shared" si="1"/>
        <v>521553</v>
      </c>
      <c r="N6" s="275">
        <v>0.5</v>
      </c>
      <c r="P6" s="277">
        <v>155</v>
      </c>
      <c r="Q6" s="276">
        <f>P6*C6</f>
        <v>269469050</v>
      </c>
      <c r="S6" s="275">
        <v>3.4849999999999999</v>
      </c>
      <c r="T6" s="276">
        <f t="shared" si="3"/>
        <v>6058707.3499999996</v>
      </c>
      <c r="V6" s="275">
        <v>0.2</v>
      </c>
      <c r="W6" s="276">
        <f>V6*C6</f>
        <v>347702</v>
      </c>
      <c r="Y6" s="275"/>
      <c r="Z6" s="275"/>
    </row>
    <row r="7" spans="2:26">
      <c r="B7" s="266" t="s">
        <v>19</v>
      </c>
      <c r="C7" s="264">
        <v>45576</v>
      </c>
      <c r="E7" s="277">
        <v>1.1100000000000001</v>
      </c>
      <c r="F7" s="276">
        <f t="shared" si="2"/>
        <v>50589.360000000008</v>
      </c>
      <c r="H7" s="275">
        <v>2.0499999999999998</v>
      </c>
      <c r="I7" s="276">
        <f t="shared" si="0"/>
        <v>93430.799999999988</v>
      </c>
      <c r="K7" s="277">
        <v>1.68</v>
      </c>
      <c r="L7" s="276">
        <f t="shared" si="1"/>
        <v>76567.679999999993</v>
      </c>
      <c r="N7" s="275" t="s">
        <v>170</v>
      </c>
      <c r="P7" s="279"/>
      <c r="Q7" s="279"/>
      <c r="S7" s="275">
        <v>21.254000000000001</v>
      </c>
      <c r="T7" s="276">
        <f t="shared" si="3"/>
        <v>968672.304</v>
      </c>
      <c r="V7" s="310"/>
      <c r="W7" s="275"/>
      <c r="Y7" s="275"/>
      <c r="Z7" s="275"/>
    </row>
    <row r="8" spans="2:26">
      <c r="B8" s="266" t="s">
        <v>20</v>
      </c>
      <c r="C8" s="264">
        <v>106345</v>
      </c>
      <c r="E8" s="277">
        <v>1.1100000000000001</v>
      </c>
      <c r="F8" s="276">
        <f t="shared" si="2"/>
        <v>118042.95000000001</v>
      </c>
      <c r="H8" s="275">
        <v>2.0499999999999998</v>
      </c>
      <c r="I8" s="276">
        <f t="shared" si="0"/>
        <v>218007.24999999997</v>
      </c>
      <c r="K8" s="277">
        <v>1.68</v>
      </c>
      <c r="L8" s="276">
        <f t="shared" si="1"/>
        <v>178659.6</v>
      </c>
      <c r="N8" s="275" t="s">
        <v>170</v>
      </c>
      <c r="P8" s="279"/>
      <c r="Q8" s="279"/>
      <c r="S8" s="275">
        <v>10.02</v>
      </c>
      <c r="T8" s="276">
        <f t="shared" si="3"/>
        <v>1065576.8999999999</v>
      </c>
      <c r="V8" s="310"/>
      <c r="W8" s="275"/>
      <c r="Y8" s="275"/>
      <c r="Z8" s="275"/>
    </row>
    <row r="9" spans="2:26">
      <c r="B9" s="266" t="s">
        <v>83</v>
      </c>
      <c r="C9" s="265"/>
      <c r="E9" s="279"/>
      <c r="F9" s="276">
        <f t="shared" si="2"/>
        <v>0</v>
      </c>
      <c r="H9" s="265"/>
      <c r="I9" s="276">
        <f t="shared" si="0"/>
        <v>0</v>
      </c>
      <c r="K9" s="279"/>
      <c r="L9" s="276">
        <f t="shared" si="1"/>
        <v>0</v>
      </c>
      <c r="N9" s="265"/>
      <c r="P9" s="279"/>
      <c r="Q9" s="279"/>
      <c r="S9" s="275"/>
      <c r="T9" s="276">
        <f t="shared" si="3"/>
        <v>0</v>
      </c>
      <c r="V9" s="310"/>
      <c r="W9" s="275"/>
      <c r="Y9" s="275"/>
      <c r="Z9" s="275"/>
    </row>
    <row r="10" spans="2:26">
      <c r="B10" s="266" t="s">
        <v>21</v>
      </c>
      <c r="C10" s="264">
        <v>69216</v>
      </c>
      <c r="E10" s="277">
        <v>0.14000000000000001</v>
      </c>
      <c r="F10" s="276">
        <f t="shared" si="2"/>
        <v>9690.2400000000016</v>
      </c>
      <c r="H10" s="275">
        <v>0.1</v>
      </c>
      <c r="I10" s="276">
        <f t="shared" si="0"/>
        <v>6921.6</v>
      </c>
      <c r="K10" s="277">
        <v>0.1</v>
      </c>
      <c r="L10" s="276">
        <f t="shared" si="1"/>
        <v>6921.6</v>
      </c>
      <c r="N10" s="275">
        <v>0.28000000000000003</v>
      </c>
      <c r="P10" s="279"/>
      <c r="Q10" s="279"/>
      <c r="S10" s="275">
        <v>6.5</v>
      </c>
      <c r="T10" s="276">
        <f t="shared" si="3"/>
        <v>449904</v>
      </c>
      <c r="V10" s="310"/>
      <c r="W10" s="275"/>
      <c r="Y10" s="275"/>
      <c r="Z10" s="275"/>
    </row>
    <row r="11" spans="2:26">
      <c r="B11" s="266" t="s">
        <v>22</v>
      </c>
      <c r="C11" s="264">
        <v>1440</v>
      </c>
      <c r="E11" s="277">
        <v>5.21</v>
      </c>
      <c r="F11" s="276">
        <f t="shared" si="2"/>
        <v>7502.4</v>
      </c>
      <c r="H11" s="275">
        <v>305.26</v>
      </c>
      <c r="I11" s="276">
        <f t="shared" si="0"/>
        <v>439574.39999999997</v>
      </c>
      <c r="K11" s="277">
        <v>460</v>
      </c>
      <c r="L11" s="276">
        <f t="shared" si="1"/>
        <v>662400</v>
      </c>
      <c r="N11" s="265"/>
      <c r="P11" s="277">
        <v>116</v>
      </c>
      <c r="Q11" s="276">
        <f>P11*C11</f>
        <v>167040</v>
      </c>
      <c r="S11" s="275">
        <v>50</v>
      </c>
      <c r="T11" s="276">
        <f t="shared" si="3"/>
        <v>72000</v>
      </c>
      <c r="V11" s="275">
        <v>500</v>
      </c>
      <c r="W11" s="276">
        <f>V11*C11</f>
        <v>720000</v>
      </c>
      <c r="Y11" s="275"/>
      <c r="Z11" s="275"/>
    </row>
    <row r="12" spans="2:26">
      <c r="B12" s="266" t="s">
        <v>23</v>
      </c>
      <c r="C12" s="264">
        <v>3138</v>
      </c>
      <c r="E12" s="277">
        <v>2.84</v>
      </c>
      <c r="F12" s="276">
        <f t="shared" si="2"/>
        <v>8911.92</v>
      </c>
      <c r="H12" s="275">
        <v>21.67</v>
      </c>
      <c r="I12" s="276">
        <f t="shared" si="0"/>
        <v>68000.460000000006</v>
      </c>
      <c r="K12" s="277">
        <v>1.27</v>
      </c>
      <c r="L12" s="276">
        <f t="shared" si="1"/>
        <v>3985.26</v>
      </c>
      <c r="N12" s="294">
        <v>1</v>
      </c>
      <c r="P12" s="279"/>
      <c r="Q12" s="279"/>
      <c r="S12" s="318">
        <f>T12/C12</f>
        <v>124.282982791587</v>
      </c>
      <c r="T12" s="313">
        <v>390000</v>
      </c>
      <c r="V12" s="310"/>
      <c r="W12" s="275"/>
      <c r="Y12" s="275"/>
      <c r="Z12" s="275"/>
    </row>
    <row r="13" spans="2:26">
      <c r="B13" s="266" t="s">
        <v>58</v>
      </c>
      <c r="C13" s="265"/>
      <c r="E13" s="280">
        <v>163000</v>
      </c>
      <c r="F13" s="276">
        <f>E13</f>
        <v>163000</v>
      </c>
      <c r="H13" s="282" t="s">
        <v>171</v>
      </c>
      <c r="I13" s="276">
        <f>463*1000</f>
        <v>463000</v>
      </c>
      <c r="J13" s="316">
        <f>I13/12</f>
        <v>38583.333333333336</v>
      </c>
      <c r="K13" s="290" t="s">
        <v>172</v>
      </c>
      <c r="L13" s="276">
        <f>149*1000</f>
        <v>149000</v>
      </c>
      <c r="N13" s="265"/>
      <c r="P13" s="306" t="s">
        <v>173</v>
      </c>
      <c r="Q13" s="276">
        <f>19*10^6</f>
        <v>19000000</v>
      </c>
      <c r="S13" s="311"/>
      <c r="T13" s="313">
        <v>150000</v>
      </c>
      <c r="V13" s="310"/>
      <c r="W13" s="275"/>
      <c r="Y13" s="275"/>
      <c r="Z13" s="275"/>
    </row>
    <row r="14" spans="2:26">
      <c r="B14" s="266" t="s">
        <v>84</v>
      </c>
      <c r="C14" s="265"/>
      <c r="E14" s="279"/>
      <c r="F14" s="276">
        <f t="shared" si="2"/>
        <v>0</v>
      </c>
      <c r="H14" s="265"/>
      <c r="I14" s="276">
        <f>H14*C14</f>
        <v>0</v>
      </c>
      <c r="K14" s="279"/>
      <c r="L14" s="276">
        <f>K14*C14</f>
        <v>0</v>
      </c>
      <c r="N14" s="265"/>
      <c r="P14" s="279"/>
      <c r="Q14" s="279"/>
      <c r="S14" s="312" t="s">
        <v>174</v>
      </c>
      <c r="T14" s="276">
        <f>790880</f>
        <v>790880</v>
      </c>
      <c r="V14" s="310"/>
      <c r="W14" s="275"/>
      <c r="Y14" s="275"/>
      <c r="Z14" s="275"/>
    </row>
    <row r="15" spans="2:26">
      <c r="B15" s="267" t="s">
        <v>24</v>
      </c>
      <c r="C15" s="264">
        <v>361512</v>
      </c>
      <c r="E15" s="277">
        <v>5.62</v>
      </c>
      <c r="F15" s="276">
        <f t="shared" si="2"/>
        <v>2031697.44</v>
      </c>
      <c r="H15" s="275">
        <v>4.78</v>
      </c>
      <c r="I15" s="276">
        <f>H15*C15</f>
        <v>1728027.36</v>
      </c>
      <c r="K15" s="277">
        <v>2.99</v>
      </c>
      <c r="L15" s="276">
        <f>K15*C15</f>
        <v>1080920.8800000001</v>
      </c>
      <c r="N15" s="265"/>
      <c r="P15" s="277">
        <v>59</v>
      </c>
      <c r="Q15" s="276">
        <f>P15*C15</f>
        <v>21329208</v>
      </c>
      <c r="S15" s="275">
        <v>3.65</v>
      </c>
      <c r="T15" s="276">
        <f t="shared" si="3"/>
        <v>1319518.8</v>
      </c>
      <c r="V15" s="275">
        <v>105</v>
      </c>
      <c r="W15" s="276">
        <f>V15*C15</f>
        <v>37958760</v>
      </c>
      <c r="Y15" s="275"/>
      <c r="Z15" s="275"/>
    </row>
    <row r="16" spans="2:26">
      <c r="B16" s="267" t="s">
        <v>25</v>
      </c>
      <c r="C16" s="264">
        <v>154424</v>
      </c>
      <c r="E16" s="277">
        <v>0.57999999999999996</v>
      </c>
      <c r="F16" s="276">
        <f t="shared" si="2"/>
        <v>89565.92</v>
      </c>
      <c r="H16" s="275">
        <v>1.1000000000000001</v>
      </c>
      <c r="I16" s="276">
        <f>H16*C16</f>
        <v>169866.40000000002</v>
      </c>
      <c r="K16" s="277">
        <v>2.4500000000000002</v>
      </c>
      <c r="L16" s="276">
        <f>K16*C16</f>
        <v>378338.80000000005</v>
      </c>
      <c r="N16" s="265"/>
      <c r="P16" s="279"/>
      <c r="Q16" s="279"/>
      <c r="S16" s="275">
        <v>15.54</v>
      </c>
      <c r="T16" s="276">
        <f t="shared" si="3"/>
        <v>2399748.96</v>
      </c>
      <c r="V16" s="310"/>
      <c r="W16" s="275"/>
      <c r="Y16" s="275"/>
      <c r="Z16" s="275"/>
    </row>
    <row r="17" spans="2:29">
      <c r="B17" s="267" t="s">
        <v>26</v>
      </c>
      <c r="C17" s="264">
        <v>10990</v>
      </c>
      <c r="E17" s="277">
        <v>1.23</v>
      </c>
      <c r="F17" s="276">
        <f t="shared" si="2"/>
        <v>13517.699999999999</v>
      </c>
      <c r="H17" s="275">
        <v>0.39</v>
      </c>
      <c r="I17" s="276">
        <f>H17*C17</f>
        <v>4286.1000000000004</v>
      </c>
      <c r="K17" s="277">
        <v>0.28000000000000003</v>
      </c>
      <c r="L17" s="276">
        <f>K17*C17</f>
        <v>3077.2000000000003</v>
      </c>
      <c r="N17" s="265"/>
      <c r="P17" s="279"/>
      <c r="Q17" s="279"/>
      <c r="S17" s="275">
        <v>55</v>
      </c>
      <c r="T17" s="276">
        <f t="shared" si="3"/>
        <v>604450</v>
      </c>
      <c r="V17" s="275">
        <v>24</v>
      </c>
      <c r="W17" s="276">
        <f>V17*C17</f>
        <v>263760</v>
      </c>
      <c r="Y17" s="275">
        <v>4</v>
      </c>
      <c r="Z17" s="276">
        <f>Y17*C17</f>
        <v>43960</v>
      </c>
    </row>
    <row r="18" spans="2:29">
      <c r="B18" s="267" t="s">
        <v>27</v>
      </c>
      <c r="C18" s="264">
        <v>15500</v>
      </c>
      <c r="E18" s="277">
        <v>2.86</v>
      </c>
      <c r="F18" s="276">
        <f t="shared" si="2"/>
        <v>44330</v>
      </c>
      <c r="H18" s="275">
        <v>8.92</v>
      </c>
      <c r="I18" s="276">
        <f>H18*C18</f>
        <v>138260</v>
      </c>
      <c r="K18" s="277">
        <v>21.68</v>
      </c>
      <c r="L18" s="276">
        <f>K18*C18</f>
        <v>336040</v>
      </c>
      <c r="N18" s="265"/>
      <c r="P18" s="277">
        <v>26</v>
      </c>
      <c r="Q18" s="276">
        <f>P18*C18</f>
        <v>403000</v>
      </c>
      <c r="S18" s="275">
        <v>27.59</v>
      </c>
      <c r="T18" s="276">
        <f t="shared" si="3"/>
        <v>427645</v>
      </c>
      <c r="V18" s="275">
        <v>120</v>
      </c>
      <c r="W18" s="276">
        <f>V18*C18</f>
        <v>1860000</v>
      </c>
      <c r="Y18" s="275"/>
      <c r="Z18" s="275"/>
    </row>
    <row r="19" spans="2:29">
      <c r="B19" s="267" t="s">
        <v>59</v>
      </c>
      <c r="C19" s="265"/>
      <c r="E19" s="280">
        <v>36200</v>
      </c>
      <c r="F19" s="276">
        <f>E19</f>
        <v>36200</v>
      </c>
      <c r="H19" s="282" t="s">
        <v>175</v>
      </c>
      <c r="I19" s="276">
        <f>60*1000</f>
        <v>60000</v>
      </c>
      <c r="J19" s="316">
        <f>I19/12</f>
        <v>5000</v>
      </c>
      <c r="K19" s="290" t="s">
        <v>176</v>
      </c>
      <c r="L19" s="276">
        <f>46*1000</f>
        <v>46000</v>
      </c>
      <c r="N19" s="265"/>
      <c r="P19" s="306" t="s">
        <v>177</v>
      </c>
      <c r="Q19" s="276">
        <f>16*10^6</f>
        <v>16000000</v>
      </c>
      <c r="S19" s="311"/>
      <c r="T19" s="313">
        <v>28000</v>
      </c>
      <c r="V19" s="310"/>
      <c r="W19" s="275"/>
      <c r="Y19" s="275"/>
      <c r="Z19" s="275"/>
    </row>
    <row r="20" spans="2:29">
      <c r="B20" s="266" t="s">
        <v>29</v>
      </c>
      <c r="C20" s="264">
        <v>9748</v>
      </c>
      <c r="E20" s="277">
        <v>0.68</v>
      </c>
      <c r="F20" s="276">
        <f t="shared" si="2"/>
        <v>6628.64</v>
      </c>
      <c r="H20" s="275">
        <v>2.2999999999999998</v>
      </c>
      <c r="I20" s="276">
        <f t="shared" ref="I20:I32" si="4">H20*C20</f>
        <v>22420.399999999998</v>
      </c>
      <c r="K20" s="277">
        <v>0.85</v>
      </c>
      <c r="L20" s="276">
        <f t="shared" ref="L20:L32" si="5">K20*C20</f>
        <v>8285.7999999999993</v>
      </c>
      <c r="N20" s="265"/>
      <c r="P20" s="279"/>
      <c r="Q20" s="279"/>
      <c r="S20" s="275">
        <v>10.220000000000001</v>
      </c>
      <c r="T20" s="276">
        <f t="shared" si="3"/>
        <v>99624.560000000012</v>
      </c>
      <c r="V20" s="310"/>
      <c r="W20" s="275"/>
      <c r="Y20" s="275"/>
      <c r="Z20" s="275"/>
    </row>
    <row r="21" spans="2:29">
      <c r="B21" s="266" t="s">
        <v>30</v>
      </c>
      <c r="C21" s="264">
        <v>90000</v>
      </c>
      <c r="E21" s="277">
        <v>4.33</v>
      </c>
      <c r="F21" s="276">
        <f t="shared" si="2"/>
        <v>389700</v>
      </c>
      <c r="H21" s="275">
        <v>38.35</v>
      </c>
      <c r="I21" s="276">
        <f t="shared" si="4"/>
        <v>3451500</v>
      </c>
      <c r="K21" s="277">
        <v>0.18</v>
      </c>
      <c r="L21" s="276">
        <f t="shared" si="5"/>
        <v>16200</v>
      </c>
      <c r="N21" s="294">
        <v>6</v>
      </c>
      <c r="P21" s="279"/>
      <c r="Q21" s="279"/>
      <c r="S21" s="275">
        <v>0.23</v>
      </c>
      <c r="T21" s="276">
        <f t="shared" si="3"/>
        <v>20700</v>
      </c>
      <c r="V21" s="275">
        <v>215</v>
      </c>
      <c r="W21" s="276">
        <f>V21*C21</f>
        <v>19350000</v>
      </c>
      <c r="Y21" s="275">
        <v>24.7</v>
      </c>
      <c r="Z21" s="276">
        <f t="shared" ref="Z21:Z22" si="6">Y21*C21</f>
        <v>2223000</v>
      </c>
    </row>
    <row r="22" spans="2:29">
      <c r="B22" s="266" t="s">
        <v>31</v>
      </c>
      <c r="C22" s="264">
        <v>218000</v>
      </c>
      <c r="E22" s="277">
        <v>3.89</v>
      </c>
      <c r="F22" s="276">
        <f t="shared" si="2"/>
        <v>848020</v>
      </c>
      <c r="H22" s="275">
        <v>0.15</v>
      </c>
      <c r="I22" s="276">
        <f t="shared" si="4"/>
        <v>32700</v>
      </c>
      <c r="K22" s="277">
        <v>0.28000000000000003</v>
      </c>
      <c r="L22" s="276">
        <f t="shared" si="5"/>
        <v>61040.000000000007</v>
      </c>
      <c r="N22" s="275">
        <v>13.1</v>
      </c>
      <c r="P22" s="279"/>
      <c r="Q22" s="279"/>
      <c r="S22" s="275">
        <v>11.77</v>
      </c>
      <c r="T22" s="276">
        <f t="shared" si="3"/>
        <v>2565860</v>
      </c>
      <c r="V22" s="275">
        <v>340</v>
      </c>
      <c r="W22" s="276">
        <f>V22*C22</f>
        <v>74120000</v>
      </c>
      <c r="Y22" s="275">
        <v>240</v>
      </c>
      <c r="Z22" s="276">
        <f t="shared" si="6"/>
        <v>52320000</v>
      </c>
    </row>
    <row r="23" spans="2:29">
      <c r="B23" s="266" t="s">
        <v>32</v>
      </c>
      <c r="C23" s="264">
        <v>12000</v>
      </c>
      <c r="E23" s="277">
        <v>0.55000000000000004</v>
      </c>
      <c r="F23" s="276">
        <f t="shared" si="2"/>
        <v>6600.0000000000009</v>
      </c>
      <c r="H23" s="275">
        <v>2.15</v>
      </c>
      <c r="I23" s="276">
        <f t="shared" si="4"/>
        <v>25800</v>
      </c>
      <c r="K23" s="277">
        <v>1</v>
      </c>
      <c r="L23" s="276">
        <f t="shared" si="5"/>
        <v>12000</v>
      </c>
      <c r="N23" s="265"/>
      <c r="P23" s="279"/>
      <c r="Q23" s="279"/>
      <c r="S23" s="275">
        <v>14.5</v>
      </c>
      <c r="T23" s="276">
        <f t="shared" si="3"/>
        <v>174000</v>
      </c>
      <c r="V23" s="310"/>
      <c r="W23" s="275"/>
      <c r="Y23" s="275"/>
      <c r="Z23" s="275"/>
    </row>
    <row r="24" spans="2:29">
      <c r="B24" s="266" t="s">
        <v>33</v>
      </c>
      <c r="C24" s="264">
        <v>92800</v>
      </c>
      <c r="E24" s="277">
        <v>0.56000000000000005</v>
      </c>
      <c r="F24" s="276">
        <f t="shared" si="2"/>
        <v>51968.000000000007</v>
      </c>
      <c r="H24" s="275">
        <v>0.61</v>
      </c>
      <c r="I24" s="276">
        <f t="shared" si="4"/>
        <v>56608</v>
      </c>
      <c r="K24" s="277">
        <v>0.61</v>
      </c>
      <c r="L24" s="276">
        <f t="shared" si="5"/>
        <v>56608</v>
      </c>
      <c r="N24" s="275">
        <v>6.5</v>
      </c>
      <c r="P24" s="279"/>
      <c r="Q24" s="279"/>
      <c r="S24" s="275">
        <v>6.73</v>
      </c>
      <c r="T24" s="276">
        <f t="shared" si="3"/>
        <v>624544</v>
      </c>
      <c r="V24" s="310"/>
      <c r="W24" s="275"/>
      <c r="Y24" s="275"/>
      <c r="Z24" s="275"/>
    </row>
    <row r="25" spans="2:29">
      <c r="B25" s="266" t="s">
        <v>34</v>
      </c>
      <c r="C25" s="264">
        <v>7000</v>
      </c>
      <c r="E25" s="277">
        <v>1.1200000000000001</v>
      </c>
      <c r="F25" s="276">
        <f t="shared" si="2"/>
        <v>7840.0000000000009</v>
      </c>
      <c r="H25" s="275">
        <v>0.84</v>
      </c>
      <c r="I25" s="276">
        <f t="shared" si="4"/>
        <v>5880</v>
      </c>
      <c r="K25" s="277">
        <v>0.34</v>
      </c>
      <c r="L25" s="276">
        <f t="shared" si="5"/>
        <v>2380</v>
      </c>
      <c r="N25" s="265"/>
      <c r="P25" s="279"/>
      <c r="Q25" s="279"/>
      <c r="S25" s="275">
        <v>16.28</v>
      </c>
      <c r="T25" s="276">
        <f t="shared" si="3"/>
        <v>113960.00000000001</v>
      </c>
      <c r="V25" s="310"/>
      <c r="W25" s="275"/>
      <c r="Y25" s="275"/>
      <c r="Z25" s="275"/>
    </row>
    <row r="26" spans="2:29">
      <c r="B26" s="266" t="s">
        <v>35</v>
      </c>
      <c r="C26" s="264">
        <v>11000</v>
      </c>
      <c r="E26" s="277">
        <v>2.8</v>
      </c>
      <c r="F26" s="276">
        <f t="shared" si="2"/>
        <v>30799.999999999996</v>
      </c>
      <c r="H26" s="275">
        <v>0.99</v>
      </c>
      <c r="I26" s="276">
        <f t="shared" si="4"/>
        <v>10890</v>
      </c>
      <c r="K26" s="277">
        <v>0.27</v>
      </c>
      <c r="L26" s="276">
        <f t="shared" si="5"/>
        <v>2970</v>
      </c>
      <c r="N26" s="265"/>
      <c r="P26" s="279"/>
      <c r="Q26" s="279"/>
      <c r="S26" s="275">
        <v>6.08</v>
      </c>
      <c r="T26" s="276">
        <f t="shared" si="3"/>
        <v>66880</v>
      </c>
      <c r="V26" s="310"/>
      <c r="W26" s="275"/>
      <c r="Y26" s="275"/>
      <c r="Z26" s="275"/>
    </row>
    <row r="27" spans="2:29">
      <c r="B27" s="266" t="s">
        <v>36</v>
      </c>
      <c r="C27" s="264">
        <v>11880</v>
      </c>
      <c r="E27" s="277">
        <v>1.87</v>
      </c>
      <c r="F27" s="276">
        <f t="shared" si="2"/>
        <v>22215.600000000002</v>
      </c>
      <c r="H27" s="275">
        <v>0.18</v>
      </c>
      <c r="I27" s="276">
        <f t="shared" si="4"/>
        <v>2138.4</v>
      </c>
      <c r="K27" s="277">
        <v>0.18</v>
      </c>
      <c r="L27" s="276">
        <f t="shared" si="5"/>
        <v>2138.4</v>
      </c>
      <c r="N27" s="265"/>
      <c r="P27" s="279"/>
      <c r="Q27" s="279"/>
      <c r="S27" s="275">
        <v>3.84</v>
      </c>
      <c r="T27" s="351">
        <f t="shared" si="3"/>
        <v>45619.199999999997</v>
      </c>
      <c r="V27" s="310"/>
      <c r="W27" s="275"/>
      <c r="Y27" s="275"/>
      <c r="Z27" s="275"/>
    </row>
    <row r="28" spans="2:29">
      <c r="B28" s="266" t="s">
        <v>37</v>
      </c>
      <c r="C28" s="264">
        <v>41800</v>
      </c>
      <c r="E28" s="277">
        <v>0.56999999999999995</v>
      </c>
      <c r="F28" s="276">
        <f t="shared" si="2"/>
        <v>23825.999999999996</v>
      </c>
      <c r="H28" s="275">
        <v>0.25</v>
      </c>
      <c r="I28" s="276">
        <f t="shared" si="4"/>
        <v>10450</v>
      </c>
      <c r="K28" s="277">
        <v>95.69</v>
      </c>
      <c r="L28" s="276">
        <f t="shared" si="5"/>
        <v>3999842</v>
      </c>
      <c r="N28" s="275">
        <v>1.0900000000000001</v>
      </c>
      <c r="P28" s="279"/>
      <c r="Q28" s="279"/>
      <c r="S28" s="353">
        <f>T28/C28</f>
        <v>252.08133971291866</v>
      </c>
      <c r="T28" s="352">
        <v>10537000</v>
      </c>
      <c r="V28" s="310"/>
      <c r="W28" s="394"/>
      <c r="Y28" s="275"/>
      <c r="Z28" s="275"/>
    </row>
    <row r="29" spans="2:29">
      <c r="B29" s="266" t="s">
        <v>38</v>
      </c>
      <c r="C29" s="264">
        <v>1704305</v>
      </c>
      <c r="E29" s="279"/>
      <c r="F29" s="276">
        <f t="shared" si="2"/>
        <v>0</v>
      </c>
      <c r="H29" s="265"/>
      <c r="I29" s="276">
        <f t="shared" si="4"/>
        <v>0</v>
      </c>
      <c r="K29" s="279"/>
      <c r="L29" s="276">
        <f t="shared" si="5"/>
        <v>0</v>
      </c>
      <c r="N29" s="275">
        <v>9.31</v>
      </c>
      <c r="P29" s="279"/>
      <c r="Q29" s="279"/>
      <c r="S29" s="310"/>
      <c r="T29" s="303">
        <f t="shared" si="3"/>
        <v>0</v>
      </c>
      <c r="V29" s="277">
        <v>395</v>
      </c>
      <c r="W29" s="276">
        <f>V29*C29</f>
        <v>673200475</v>
      </c>
      <c r="Y29" s="318">
        <f>Z29/C29</f>
        <v>56.367783935387159</v>
      </c>
      <c r="Z29" s="276">
        <v>96067896.000000015</v>
      </c>
      <c r="AA29" s="212" t="s">
        <v>178</v>
      </c>
      <c r="AC29" s="317"/>
    </row>
    <row r="30" spans="2:29">
      <c r="B30" s="266" t="s">
        <v>39</v>
      </c>
      <c r="C30" s="264">
        <v>1352640</v>
      </c>
      <c r="E30" s="279"/>
      <c r="F30" s="276">
        <f t="shared" si="2"/>
        <v>0</v>
      </c>
      <c r="H30" s="265"/>
      <c r="I30" s="276">
        <f t="shared" si="4"/>
        <v>0</v>
      </c>
      <c r="K30" s="279"/>
      <c r="L30" s="276">
        <f t="shared" si="5"/>
        <v>0</v>
      </c>
      <c r="N30" s="265"/>
      <c r="P30" s="279"/>
      <c r="Q30" s="279"/>
      <c r="S30" s="310"/>
      <c r="T30" s="276">
        <f t="shared" si="3"/>
        <v>0</v>
      </c>
      <c r="V30" s="310"/>
      <c r="W30" s="304"/>
      <c r="Y30" s="275"/>
      <c r="Z30" s="275"/>
    </row>
    <row r="31" spans="2:29">
      <c r="B31" s="270" t="s">
        <v>40</v>
      </c>
      <c r="C31" s="271">
        <f>SUM(C29:C30)</f>
        <v>3056945</v>
      </c>
      <c r="E31" s="277">
        <v>4.26</v>
      </c>
      <c r="F31" s="276">
        <f t="shared" si="2"/>
        <v>13022585.699999999</v>
      </c>
      <c r="H31" s="275">
        <v>0.74</v>
      </c>
      <c r="I31" s="276">
        <f t="shared" si="4"/>
        <v>2262139.2999999998</v>
      </c>
      <c r="K31" s="277">
        <v>0.25</v>
      </c>
      <c r="L31" s="276">
        <f t="shared" si="5"/>
        <v>764236.25</v>
      </c>
      <c r="N31" s="265"/>
      <c r="P31" s="277">
        <v>113</v>
      </c>
      <c r="Q31" s="276">
        <f>P31*C31</f>
        <v>345434785</v>
      </c>
      <c r="S31" s="350">
        <f>T31/C31</f>
        <v>0.19453277700449303</v>
      </c>
      <c r="T31" s="313">
        <v>594676</v>
      </c>
      <c r="V31" s="310"/>
      <c r="W31" s="276"/>
      <c r="Y31" s="275"/>
      <c r="Z31" s="275"/>
    </row>
    <row r="32" spans="2:29">
      <c r="B32" s="266" t="s">
        <v>42</v>
      </c>
      <c r="C32" s="264">
        <v>6400</v>
      </c>
      <c r="E32" s="277">
        <v>1.1200000000000001</v>
      </c>
      <c r="F32" s="276">
        <f t="shared" si="2"/>
        <v>7168.0000000000009</v>
      </c>
      <c r="H32" s="275">
        <v>1.26</v>
      </c>
      <c r="I32" s="276">
        <f t="shared" si="4"/>
        <v>8064</v>
      </c>
      <c r="K32" s="277">
        <v>0.18</v>
      </c>
      <c r="L32" s="276">
        <f t="shared" si="5"/>
        <v>1152</v>
      </c>
      <c r="N32" s="265"/>
      <c r="P32" s="279"/>
      <c r="Q32" s="279"/>
      <c r="S32" s="275">
        <v>11.3</v>
      </c>
      <c r="T32" s="276">
        <f t="shared" si="3"/>
        <v>72320</v>
      </c>
      <c r="V32" s="310"/>
      <c r="W32" s="275"/>
      <c r="Y32" s="275"/>
      <c r="Z32" s="275"/>
    </row>
    <row r="33" spans="2:34">
      <c r="AC33" s="317"/>
      <c r="AD33" s="317"/>
      <c r="AE33" s="317"/>
      <c r="AF33" s="317"/>
      <c r="AG33" s="317"/>
      <c r="AH33" s="317"/>
    </row>
    <row r="34" spans="2:34">
      <c r="B34" s="283" t="s">
        <v>179</v>
      </c>
      <c r="C34" s="284">
        <f>SUM(C4:C8,C10:C12)</f>
        <v>7350311</v>
      </c>
      <c r="E34" s="285">
        <f>F34/C34</f>
        <v>3.0284717530999705</v>
      </c>
      <c r="F34" s="284">
        <f>SUM(F4:F14)</f>
        <v>22260209.239999998</v>
      </c>
      <c r="H34" s="285">
        <f>I34/$C$34</f>
        <v>0.73087283109517398</v>
      </c>
      <c r="I34" s="284">
        <f>SUM(I4:I14)</f>
        <v>5372142.6099999994</v>
      </c>
      <c r="K34" s="285">
        <f>L34/$C$34</f>
        <v>0.3840594826531829</v>
      </c>
      <c r="L34" s="284">
        <f>SUM(L4:L14)</f>
        <v>2822956.6399999997</v>
      </c>
      <c r="N34" s="299">
        <f>SUM(N4:N14)</f>
        <v>42.18</v>
      </c>
      <c r="P34" s="307">
        <f>Q34/$C$34</f>
        <v>73.128309400785895</v>
      </c>
      <c r="Q34" s="284">
        <f>SUM(Q4:Q14)</f>
        <v>537515817</v>
      </c>
      <c r="S34" s="285">
        <f>T34/$C$34</f>
        <v>2.5870577073541514</v>
      </c>
      <c r="T34" s="284">
        <f>SUM(T4:T14)</f>
        <v>19015678.723999999</v>
      </c>
      <c r="V34" s="307">
        <f>W34/$C$34</f>
        <v>207.25534089646004</v>
      </c>
      <c r="W34" s="284">
        <f>SUM(W4:W14)</f>
        <v>1523391212</v>
      </c>
      <c r="Y34" s="285">
        <f>Z34/$C$34</f>
        <v>1.5732775565550901</v>
      </c>
      <c r="Z34" s="284">
        <f>SUM(Z2:Z3)</f>
        <v>11564079.33</v>
      </c>
    </row>
    <row r="35" spans="2:34">
      <c r="B35" s="286" t="s">
        <v>180</v>
      </c>
      <c r="C35" s="287">
        <f>SUM(C20:C30,C32)</f>
        <v>3557573</v>
      </c>
      <c r="E35" s="288">
        <f>F35/C35</f>
        <v>4.0525807734655057</v>
      </c>
      <c r="F35" s="287">
        <f>SUM(F20:F28,F31:F32)</f>
        <v>14417351.939999999</v>
      </c>
      <c r="H35" s="288">
        <f>I35/$C$35</f>
        <v>1.6552267796050846</v>
      </c>
      <c r="I35" s="287">
        <f>SUM(I20:I28,I31:I32)</f>
        <v>5888590.0999999996</v>
      </c>
      <c r="K35" s="288">
        <f>L35/$C$35</f>
        <v>1.3848914554950806</v>
      </c>
      <c r="L35" s="287">
        <f>SUM(L20:L28,L31:L32)</f>
        <v>4926852.45</v>
      </c>
      <c r="N35" s="300">
        <f>SUM(N20:N29)</f>
        <v>36</v>
      </c>
      <c r="P35" s="308">
        <f>Q35/$C$35</f>
        <v>97.098439020084754</v>
      </c>
      <c r="Q35" s="287">
        <f>SUM(Q20:Q28,Q31:Q32)</f>
        <v>345434785</v>
      </c>
      <c r="S35" s="288">
        <f>T35/$C$35</f>
        <v>4.3596743510252631</v>
      </c>
      <c r="T35" s="287">
        <f>SUM(T20:T31,T31:T32)</f>
        <v>15509859.76</v>
      </c>
      <c r="V35" s="308">
        <f>W35/$C$35</f>
        <v>215.5037928947628</v>
      </c>
      <c r="W35" s="287">
        <f>SUM(W20:W28,W29:W32)</f>
        <v>766670475</v>
      </c>
      <c r="Y35" s="288">
        <f>Z35/$C$35</f>
        <v>42.335293190048382</v>
      </c>
      <c r="Z35" s="287">
        <f>SUM(Z20:Z28,Z29:Z32)</f>
        <v>150610896</v>
      </c>
    </row>
    <row r="36" spans="2:34" ht="15.5">
      <c r="B36" s="268" t="s">
        <v>142</v>
      </c>
      <c r="C36" s="269">
        <f>SUM(C34:C35)</f>
        <v>10907884</v>
      </c>
      <c r="E36" s="281">
        <f>F36/C36</f>
        <v>3.3624817774006397</v>
      </c>
      <c r="F36" s="289">
        <f>SUM(F34:F35)</f>
        <v>36677561.18</v>
      </c>
      <c r="H36" s="281">
        <f>I36/$C$36</f>
        <v>1.0323480438552517</v>
      </c>
      <c r="I36" s="289">
        <f>SUM(I34:I35)</f>
        <v>11260732.709999999</v>
      </c>
      <c r="K36" s="281">
        <f>L36/$C$36</f>
        <v>0.71047776910718885</v>
      </c>
      <c r="L36" s="289">
        <f>SUM(L34:L35)</f>
        <v>7749809.0899999999</v>
      </c>
      <c r="N36" s="295">
        <f>SUM(N34:N35)</f>
        <v>78.180000000000007</v>
      </c>
      <c r="O36" s="212" t="s">
        <v>181</v>
      </c>
      <c r="P36" s="276">
        <f>Q36/$C$36</f>
        <v>80.946093852849927</v>
      </c>
      <c r="Q36" s="289">
        <f>SUM(Q34:Q35)</f>
        <v>882950602</v>
      </c>
      <c r="S36" s="298">
        <f>T36/$C$36</f>
        <v>3.1651912033534639</v>
      </c>
      <c r="T36" s="295">
        <f>SUM(T34:T35)</f>
        <v>34525538.483999997</v>
      </c>
      <c r="V36" s="297">
        <f>W36/$C$36</f>
        <v>209.94554828415849</v>
      </c>
      <c r="W36" s="295">
        <f>SUM(W34:W35)</f>
        <v>2290061687</v>
      </c>
      <c r="Y36" s="298">
        <f>Z36/$C$36</f>
        <v>14.867684266719376</v>
      </c>
      <c r="Z36" s="295">
        <f>SUM(Z34:Z35)</f>
        <v>162174975.33000001</v>
      </c>
    </row>
    <row r="37" spans="2:34" ht="15.5">
      <c r="E37" s="296">
        <v>3.4</v>
      </c>
      <c r="F37" s="297">
        <f>E37*C36</f>
        <v>37086805.600000001</v>
      </c>
      <c r="G37" s="212" t="s">
        <v>181</v>
      </c>
      <c r="H37" s="296">
        <v>1.07</v>
      </c>
      <c r="I37" s="297">
        <f>H37*$C$36</f>
        <v>11671435.880000001</v>
      </c>
      <c r="J37" s="212" t="s">
        <v>181</v>
      </c>
      <c r="K37" s="298">
        <v>0.72</v>
      </c>
      <c r="L37" s="297">
        <f>K37*$C$36</f>
        <v>7853676.4799999995</v>
      </c>
      <c r="M37" s="212" t="s">
        <v>181</v>
      </c>
      <c r="P37" s="297">
        <v>87</v>
      </c>
      <c r="Q37" s="297">
        <f>P37*$C$36</f>
        <v>948985908</v>
      </c>
      <c r="R37" s="212" t="s">
        <v>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02c0fc-93bc-45db-850e-214673077a06">
      <Terms xmlns="http://schemas.microsoft.com/office/infopath/2007/PartnerControls"/>
    </lcf76f155ced4ddcb4097134ff3c332f>
    <TaxCatchAll xmlns="8bf13764-e70c-4c8d-b1e3-c6c51f30c37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8FB6A1E7878746B05546DCC6B38AF4" ma:contentTypeVersion="18" ma:contentTypeDescription="Create a new document." ma:contentTypeScope="" ma:versionID="675d8283ee474da6ce9f25d1cbb67bb6">
  <xsd:schema xmlns:xsd="http://www.w3.org/2001/XMLSchema" xmlns:xs="http://www.w3.org/2001/XMLSchema" xmlns:p="http://schemas.microsoft.com/office/2006/metadata/properties" xmlns:ns2="9302c0fc-93bc-45db-850e-214673077a06" xmlns:ns3="8bf13764-e70c-4c8d-b1e3-c6c51f30c372" targetNamespace="http://schemas.microsoft.com/office/2006/metadata/properties" ma:root="true" ma:fieldsID="20c200ef2d910e9cdcee3ca2d9f7b2a9" ns2:_="" ns3:_="">
    <xsd:import namespace="9302c0fc-93bc-45db-850e-214673077a06"/>
    <xsd:import namespace="8bf13764-e70c-4c8d-b1e3-c6c51f30c3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02c0fc-93bc-45db-850e-214673077a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2e7f9b2-38e6-4fd2-87ed-2a611b1748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13764-e70c-4c8d-b1e3-c6c51f30c37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8292cd1-e999-4514-8b98-a87a0f3da48b}" ma:internalName="TaxCatchAll" ma:showField="CatchAllData" ma:web="8bf13764-e70c-4c8d-b1e3-c6c51f30c3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E3BF71-A358-4FC0-A26E-CDBE8228D9BF}">
  <ds:schemaRefs>
    <ds:schemaRef ds:uri="http://purl.org/dc/dcmitype/"/>
    <ds:schemaRef ds:uri="http://www.w3.org/XML/1998/namespace"/>
    <ds:schemaRef ds:uri="9302c0fc-93bc-45db-850e-214673077a06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8bf13764-e70c-4c8d-b1e3-c6c51f30c37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79D9610-01CE-423D-A6D9-98F8281EFB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6D90CC-DE20-488E-8929-25FC4B453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02c0fc-93bc-45db-850e-214673077a06"/>
    <ds:schemaRef ds:uri="8bf13764-e70c-4c8d-b1e3-c6c51f30c3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Production</vt:lpstr>
      <vt:lpstr>Water withdrawal</vt:lpstr>
      <vt:lpstr>Hz waste gen</vt:lpstr>
      <vt:lpstr>Waste disposal</vt:lpstr>
      <vt:lpstr>TSP</vt:lpstr>
      <vt:lpstr>Non-hz waste gen</vt:lpstr>
      <vt:lpstr>NOx</vt:lpstr>
      <vt:lpstr>SOx</vt:lpstr>
      <vt:lpstr>VOCs</vt:lpstr>
      <vt:lpstr>Dashboard</vt:lpstr>
      <vt:lpstr>Target</vt:lpstr>
      <vt:lpstr>Production!Print_Area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Panita Meethong</dc:creator>
  <cp:keywords/>
  <dc:description/>
  <cp:lastModifiedBy>Sasithon Boonlong</cp:lastModifiedBy>
  <cp:revision/>
  <cp:lastPrinted>2026-05-18T07:45:07Z</cp:lastPrinted>
  <dcterms:created xsi:type="dcterms:W3CDTF">2024-02-06T01:22:24Z</dcterms:created>
  <dcterms:modified xsi:type="dcterms:W3CDTF">2026-05-18T08:11:30Z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0x010100328FB6A1E7878746B05546DCC6B38AF4</vt:lpwstr>
  </property>
  <property fmtid="{D5CDD505-2E9C-101B-9397-08002B2CF9AE}" pid="3" name="MediaServiceImageTags">
    <vt:lpwstr/>
  </property>
  <property fmtid="{D5CDD505-2E9C-101B-9397-08002B2CF9AE}" pid="4" name="MSIP_Label_282ec11f-0307-4ba2-9c7f-1e910abb2b8a_Enabled">
    <vt:lpwstr>true</vt:lpwstr>
  </property>
  <property fmtid="{D5CDD505-2E9C-101B-9397-08002B2CF9AE}" pid="5" name="MSIP_Label_282ec11f-0307-4ba2-9c7f-1e910abb2b8a_SetDate">
    <vt:lpwstr>2026-02-09T10:24:39Z</vt:lpwstr>
  </property>
  <property fmtid="{D5CDD505-2E9C-101B-9397-08002B2CF9AE}" pid="6" name="MSIP_Label_282ec11f-0307-4ba2-9c7f-1e910abb2b8a_Method">
    <vt:lpwstr>Standard</vt:lpwstr>
  </property>
  <property fmtid="{D5CDD505-2E9C-101B-9397-08002B2CF9AE}" pid="7" name="MSIP_Label_282ec11f-0307-4ba2-9c7f-1e910abb2b8a_Name">
    <vt:lpwstr>282ec11f-0307-4ba2-9c7f-1e910abb2b8a</vt:lpwstr>
  </property>
  <property fmtid="{D5CDD505-2E9C-101B-9397-08002B2CF9AE}" pid="8" name="MSIP_Label_282ec11f-0307-4ba2-9c7f-1e910abb2b8a_SiteId">
    <vt:lpwstr>5db8bf0e-8592-4ed0-82b2-a6d4d77933d4</vt:lpwstr>
  </property>
  <property fmtid="{D5CDD505-2E9C-101B-9397-08002B2CF9AE}" pid="9" name="MSIP_Label_282ec11f-0307-4ba2-9c7f-1e910abb2b8a_ActionId">
    <vt:lpwstr>aee806c6-a4ce-41e8-889e-875e499fcbcd</vt:lpwstr>
  </property>
  <property fmtid="{D5CDD505-2E9C-101B-9397-08002B2CF9AE}" pid="10" name="MSIP_Label_282ec11f-0307-4ba2-9c7f-1e910abb2b8a_ContentBits">
    <vt:lpwstr>0</vt:lpwstr>
  </property>
  <property fmtid="{D5CDD505-2E9C-101B-9397-08002B2CF9AE}" pid="11" name="MSIP_Label_282ec11f-0307-4ba2-9c7f-1e910abb2b8a_Tag">
    <vt:lpwstr>10, 3, 0, 2</vt:lpwstr>
  </property>
</Properties>
</file>